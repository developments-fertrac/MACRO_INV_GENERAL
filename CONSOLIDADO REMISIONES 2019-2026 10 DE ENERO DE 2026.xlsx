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server-archivos\infocompras\$CARPETA COMPRAS 2026\REMISIONES\1. ENERO\"/>
    </mc:Choice>
  </mc:AlternateContent>
  <xr:revisionPtr revIDLastSave="0" documentId="13_ncr:1_{0535C57B-79EE-4DBD-BB0F-8ADD1207F71A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RM 2019-2026 " sheetId="3" r:id="rId1"/>
    <sheet name="RM" sheetId="5" r:id="rId2"/>
    <sheet name="RMC 2019-2026" sheetId="4" r:id="rId3"/>
    <sheet name="RMC" sheetId="6" r:id="rId4"/>
  </sheets>
  <definedNames>
    <definedName name="_xlnm._FilterDatabase" localSheetId="0" hidden="1">'RM 2019-2026 '!$A$2:$L$241</definedName>
    <definedName name="_xlnm._FilterDatabase" localSheetId="2" hidden="1">'RMC 2019-2026'!$A$2:$L$1630</definedName>
  </definedNames>
  <calcPr calcId="191029"/>
  <pivotCaches>
    <pivotCache cacheId="316" r:id="rId5"/>
    <pivotCache cacheId="3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30" i="4" l="1"/>
  <c r="L1630" i="4" s="1"/>
  <c r="A1630" i="4"/>
  <c r="K1629" i="4"/>
  <c r="L1629" i="4" s="1"/>
  <c r="A1629" i="4"/>
  <c r="K1628" i="4"/>
  <c r="L1628" i="4" s="1"/>
  <c r="A1628" i="4"/>
  <c r="K1627" i="4"/>
  <c r="L1627" i="4" s="1"/>
  <c r="A1627" i="4"/>
  <c r="K1626" i="4"/>
  <c r="L1626" i="4" s="1"/>
  <c r="A1626" i="4"/>
  <c r="K1625" i="4"/>
  <c r="L1625" i="4" s="1"/>
  <c r="A1625" i="4"/>
  <c r="K1624" i="4"/>
  <c r="L1624" i="4" s="1"/>
  <c r="A1624" i="4"/>
  <c r="K1623" i="4"/>
  <c r="L1623" i="4" s="1"/>
  <c r="A1623" i="4"/>
  <c r="K1622" i="4"/>
  <c r="L1622" i="4" s="1"/>
  <c r="A1622" i="4"/>
  <c r="K1621" i="4"/>
  <c r="L1621" i="4" s="1"/>
  <c r="A1621" i="4"/>
  <c r="K1620" i="4"/>
  <c r="L1620" i="4" s="1"/>
  <c r="A1620" i="4"/>
  <c r="K1619" i="4"/>
  <c r="L1619" i="4" s="1"/>
  <c r="A1619" i="4"/>
  <c r="K1618" i="4"/>
  <c r="L1618" i="4" s="1"/>
  <c r="A1618" i="4"/>
  <c r="K1617" i="4"/>
  <c r="L1617" i="4" s="1"/>
  <c r="A1617" i="4"/>
  <c r="K1616" i="4"/>
  <c r="L1616" i="4" s="1"/>
  <c r="A1616" i="4"/>
  <c r="K1615" i="4"/>
  <c r="L1615" i="4" s="1"/>
  <c r="A1615" i="4"/>
  <c r="K1614" i="4"/>
  <c r="L1614" i="4" s="1"/>
  <c r="A1614" i="4"/>
  <c r="K1613" i="4"/>
  <c r="L1613" i="4" s="1"/>
  <c r="A1613" i="4"/>
  <c r="K1612" i="4"/>
  <c r="L1612" i="4" s="1"/>
  <c r="A1612" i="4"/>
  <c r="K1611" i="4"/>
  <c r="L1611" i="4" s="1"/>
  <c r="A1611" i="4"/>
  <c r="K1610" i="4"/>
  <c r="L1610" i="4" s="1"/>
  <c r="A1610" i="4"/>
  <c r="K1609" i="4"/>
  <c r="L1609" i="4" s="1"/>
  <c r="A1609" i="4"/>
  <c r="K1608" i="4"/>
  <c r="L1608" i="4" s="1"/>
  <c r="A1608" i="4"/>
  <c r="K1607" i="4"/>
  <c r="L1607" i="4" s="1"/>
  <c r="A1607" i="4"/>
  <c r="K1606" i="4"/>
  <c r="L1606" i="4" s="1"/>
  <c r="A1606" i="4"/>
  <c r="K1605" i="4"/>
  <c r="L1605" i="4" s="1"/>
  <c r="A1605" i="4"/>
  <c r="K1604" i="4"/>
  <c r="L1604" i="4" s="1"/>
  <c r="A1604" i="4"/>
  <c r="K1603" i="4"/>
  <c r="L1603" i="4" s="1"/>
  <c r="A1603" i="4"/>
  <c r="K1602" i="4"/>
  <c r="L1602" i="4" s="1"/>
  <c r="A1602" i="4"/>
  <c r="K1601" i="4"/>
  <c r="L1601" i="4" s="1"/>
  <c r="A1601" i="4"/>
  <c r="K1600" i="4"/>
  <c r="L1600" i="4" s="1"/>
  <c r="A1600" i="4"/>
  <c r="K1599" i="4"/>
  <c r="L1599" i="4" s="1"/>
  <c r="A1599" i="4"/>
  <c r="K1598" i="4"/>
  <c r="L1598" i="4" s="1"/>
  <c r="A1598" i="4"/>
  <c r="K1597" i="4"/>
  <c r="L1597" i="4" s="1"/>
  <c r="A1597" i="4"/>
  <c r="K1596" i="4"/>
  <c r="L1596" i="4" s="1"/>
  <c r="A1596" i="4"/>
  <c r="K1595" i="4"/>
  <c r="L1595" i="4" s="1"/>
  <c r="A1595" i="4"/>
  <c r="K1594" i="4"/>
  <c r="L1594" i="4" s="1"/>
  <c r="A1594" i="4"/>
  <c r="K1593" i="4"/>
  <c r="L1593" i="4" s="1"/>
  <c r="A1593" i="4"/>
  <c r="K1592" i="4"/>
  <c r="L1592" i="4" s="1"/>
  <c r="A1592" i="4"/>
  <c r="K1591" i="4"/>
  <c r="L1591" i="4" s="1"/>
  <c r="A1591" i="4"/>
  <c r="K1590" i="4"/>
  <c r="L1590" i="4" s="1"/>
  <c r="A1590" i="4"/>
  <c r="K1589" i="4"/>
  <c r="L1589" i="4" s="1"/>
  <c r="A1589" i="4"/>
  <c r="K1588" i="4"/>
  <c r="L1588" i="4" s="1"/>
  <c r="A1588" i="4"/>
  <c r="K1587" i="4"/>
  <c r="L1587" i="4" s="1"/>
  <c r="A1587" i="4"/>
  <c r="K1586" i="4"/>
  <c r="L1586" i="4" s="1"/>
  <c r="A1586" i="4"/>
  <c r="K1585" i="4"/>
  <c r="L1585" i="4" s="1"/>
  <c r="A1585" i="4"/>
  <c r="K1584" i="4"/>
  <c r="L1584" i="4" s="1"/>
  <c r="A1584" i="4"/>
  <c r="K1583" i="4"/>
  <c r="L1583" i="4" s="1"/>
  <c r="A1583" i="4"/>
  <c r="K1582" i="4"/>
  <c r="L1582" i="4" s="1"/>
  <c r="A1582" i="4"/>
  <c r="K1581" i="4"/>
  <c r="L1581" i="4" s="1"/>
  <c r="A1581" i="4"/>
  <c r="K1580" i="4"/>
  <c r="L1580" i="4" s="1"/>
  <c r="A1580" i="4"/>
  <c r="K1579" i="4"/>
  <c r="L1579" i="4" s="1"/>
  <c r="A1579" i="4"/>
  <c r="K1578" i="4"/>
  <c r="L1578" i="4" s="1"/>
  <c r="A1578" i="4"/>
  <c r="K1577" i="4"/>
  <c r="L1577" i="4" s="1"/>
  <c r="A1577" i="4"/>
  <c r="K1576" i="4"/>
  <c r="L1576" i="4" s="1"/>
  <c r="A1576" i="4"/>
  <c r="K1575" i="4"/>
  <c r="L1575" i="4" s="1"/>
  <c r="A1575" i="4"/>
  <c r="K1574" i="4"/>
  <c r="L1574" i="4" s="1"/>
  <c r="A1574" i="4"/>
  <c r="K1573" i="4"/>
  <c r="L1573" i="4" s="1"/>
  <c r="A1573" i="4"/>
  <c r="K1572" i="4"/>
  <c r="L1572" i="4" s="1"/>
  <c r="A1572" i="4"/>
  <c r="K1571" i="4"/>
  <c r="L1571" i="4" s="1"/>
  <c r="A1571" i="4"/>
  <c r="K1570" i="4"/>
  <c r="L1570" i="4" s="1"/>
  <c r="A1570" i="4"/>
  <c r="K1569" i="4"/>
  <c r="L1569" i="4" s="1"/>
  <c r="A1569" i="4"/>
  <c r="K1568" i="4"/>
  <c r="L1568" i="4" s="1"/>
  <c r="A1568" i="4"/>
  <c r="K1567" i="4"/>
  <c r="L1567" i="4" s="1"/>
  <c r="A1567" i="4"/>
  <c r="K1566" i="4"/>
  <c r="L1566" i="4" s="1"/>
  <c r="A1566" i="4"/>
  <c r="K1565" i="4"/>
  <c r="L1565" i="4" s="1"/>
  <c r="A1565" i="4"/>
  <c r="K1564" i="4"/>
  <c r="L1564" i="4" s="1"/>
  <c r="A1564" i="4"/>
  <c r="K1563" i="4"/>
  <c r="L1563" i="4" s="1"/>
  <c r="A1563" i="4"/>
  <c r="K1562" i="4"/>
  <c r="L1562" i="4" s="1"/>
  <c r="A1562" i="4"/>
  <c r="K1561" i="4"/>
  <c r="L1561" i="4" s="1"/>
  <c r="A1561" i="4"/>
  <c r="K1560" i="4"/>
  <c r="L1560" i="4" s="1"/>
  <c r="A1560" i="4"/>
  <c r="K1559" i="4"/>
  <c r="L1559" i="4" s="1"/>
  <c r="A1559" i="4"/>
  <c r="K1558" i="4"/>
  <c r="L1558" i="4" s="1"/>
  <c r="A1558" i="4"/>
  <c r="K1557" i="4"/>
  <c r="L1557" i="4" s="1"/>
  <c r="A1557" i="4"/>
  <c r="K1556" i="4"/>
  <c r="L1556" i="4" s="1"/>
  <c r="A1556" i="4"/>
  <c r="K1555" i="4"/>
  <c r="L1555" i="4" s="1"/>
  <c r="A1555" i="4"/>
  <c r="K1554" i="4"/>
  <c r="L1554" i="4" s="1"/>
  <c r="A1554" i="4"/>
  <c r="K1553" i="4"/>
  <c r="L1553" i="4" s="1"/>
  <c r="A1553" i="4"/>
  <c r="K1552" i="4"/>
  <c r="L1552" i="4" s="1"/>
  <c r="A1552" i="4"/>
  <c r="K1551" i="4"/>
  <c r="L1551" i="4" s="1"/>
  <c r="A1551" i="4"/>
  <c r="K1550" i="4"/>
  <c r="L1550" i="4" s="1"/>
  <c r="A1550" i="4"/>
  <c r="K1549" i="4"/>
  <c r="L1549" i="4" s="1"/>
  <c r="A1549" i="4"/>
  <c r="K1548" i="4"/>
  <c r="L1548" i="4" s="1"/>
  <c r="A1548" i="4"/>
  <c r="K1547" i="4"/>
  <c r="L1547" i="4" s="1"/>
  <c r="A1547" i="4"/>
  <c r="K1546" i="4"/>
  <c r="L1546" i="4" s="1"/>
  <c r="A1546" i="4"/>
  <c r="K1545" i="4"/>
  <c r="L1545" i="4" s="1"/>
  <c r="A1545" i="4"/>
  <c r="K1544" i="4"/>
  <c r="L1544" i="4" s="1"/>
  <c r="A1544" i="4"/>
  <c r="K1543" i="4"/>
  <c r="L1543" i="4" s="1"/>
  <c r="A1543" i="4"/>
  <c r="K1542" i="4"/>
  <c r="L1542" i="4" s="1"/>
  <c r="A1542" i="4"/>
  <c r="K1541" i="4"/>
  <c r="L1541" i="4" s="1"/>
  <c r="A1541" i="4"/>
  <c r="K1540" i="4"/>
  <c r="L1540" i="4" s="1"/>
  <c r="A1540" i="4"/>
  <c r="K1539" i="4"/>
  <c r="L1539" i="4" s="1"/>
  <c r="A1539" i="4"/>
  <c r="K1538" i="4"/>
  <c r="L1538" i="4" s="1"/>
  <c r="A1538" i="4"/>
  <c r="K1537" i="4"/>
  <c r="L1537" i="4" s="1"/>
  <c r="A1537" i="4"/>
  <c r="K1536" i="4"/>
  <c r="L1536" i="4" s="1"/>
  <c r="A1536" i="4"/>
  <c r="K1535" i="4"/>
  <c r="L1535" i="4" s="1"/>
  <c r="A1535" i="4"/>
  <c r="K1534" i="4"/>
  <c r="L1534" i="4" s="1"/>
  <c r="A1534" i="4"/>
  <c r="K1533" i="4"/>
  <c r="L1533" i="4" s="1"/>
  <c r="A1533" i="4"/>
  <c r="K1532" i="4"/>
  <c r="L1532" i="4" s="1"/>
  <c r="A1532" i="4"/>
  <c r="K1531" i="4"/>
  <c r="L1531" i="4" s="1"/>
  <c r="A1531" i="4"/>
  <c r="K1530" i="4"/>
  <c r="L1530" i="4" s="1"/>
  <c r="A1530" i="4"/>
  <c r="K1529" i="4"/>
  <c r="L1529" i="4" s="1"/>
  <c r="A1529" i="4"/>
  <c r="K1528" i="4"/>
  <c r="L1528" i="4" s="1"/>
  <c r="A1528" i="4"/>
  <c r="K1527" i="4"/>
  <c r="L1527" i="4" s="1"/>
  <c r="A1527" i="4"/>
  <c r="K1526" i="4"/>
  <c r="L1526" i="4" s="1"/>
  <c r="A1526" i="4"/>
  <c r="K1525" i="4"/>
  <c r="L1525" i="4" s="1"/>
  <c r="A1525" i="4"/>
  <c r="K1524" i="4"/>
  <c r="L1524" i="4" s="1"/>
  <c r="A1524" i="4"/>
  <c r="K1523" i="4"/>
  <c r="L1523" i="4" s="1"/>
  <c r="A1523" i="4"/>
  <c r="K1522" i="4"/>
  <c r="L1522" i="4" s="1"/>
  <c r="A1522" i="4"/>
  <c r="K1521" i="4"/>
  <c r="L1521" i="4" s="1"/>
  <c r="A1521" i="4"/>
  <c r="K1520" i="4"/>
  <c r="L1520" i="4" s="1"/>
  <c r="A1520" i="4"/>
  <c r="K1519" i="4"/>
  <c r="L1519" i="4" s="1"/>
  <c r="A1519" i="4"/>
  <c r="K1518" i="4"/>
  <c r="L1518" i="4" s="1"/>
  <c r="A1518" i="4"/>
  <c r="K1517" i="4"/>
  <c r="L1517" i="4" s="1"/>
  <c r="A1517" i="4"/>
  <c r="K1516" i="4"/>
  <c r="L1516" i="4" s="1"/>
  <c r="A1516" i="4"/>
  <c r="K1515" i="4"/>
  <c r="L1515" i="4" s="1"/>
  <c r="A1515" i="4"/>
  <c r="K1514" i="4"/>
  <c r="L1514" i="4" s="1"/>
  <c r="A1514" i="4"/>
  <c r="K1513" i="4"/>
  <c r="L1513" i="4" s="1"/>
  <c r="A1513" i="4"/>
  <c r="K1512" i="4"/>
  <c r="L1512" i="4" s="1"/>
  <c r="A1512" i="4"/>
  <c r="K1511" i="4"/>
  <c r="L1511" i="4" s="1"/>
  <c r="A1511" i="4"/>
  <c r="K1510" i="4"/>
  <c r="L1510" i="4" s="1"/>
  <c r="A1510" i="4"/>
  <c r="K1509" i="4"/>
  <c r="L1509" i="4" s="1"/>
  <c r="A1509" i="4"/>
  <c r="K1508" i="4"/>
  <c r="L1508" i="4" s="1"/>
  <c r="A1508" i="4"/>
  <c r="K1507" i="4"/>
  <c r="L1507" i="4" s="1"/>
  <c r="A1507" i="4"/>
  <c r="K1506" i="4"/>
  <c r="L1506" i="4" s="1"/>
  <c r="A1506" i="4"/>
  <c r="K1505" i="4"/>
  <c r="L1505" i="4" s="1"/>
  <c r="A1505" i="4"/>
  <c r="K1504" i="4"/>
  <c r="L1504" i="4" s="1"/>
  <c r="A1504" i="4"/>
  <c r="K1503" i="4"/>
  <c r="L1503" i="4" s="1"/>
  <c r="A1503" i="4"/>
  <c r="K1502" i="4"/>
  <c r="L1502" i="4" s="1"/>
  <c r="A1502" i="4"/>
  <c r="K1501" i="4"/>
  <c r="L1501" i="4" s="1"/>
  <c r="A1501" i="4"/>
  <c r="K1500" i="4"/>
  <c r="L1500" i="4" s="1"/>
  <c r="A1500" i="4"/>
  <c r="K1499" i="4"/>
  <c r="L1499" i="4" s="1"/>
  <c r="A1499" i="4"/>
  <c r="K1498" i="4"/>
  <c r="L1498" i="4" s="1"/>
  <c r="A1498" i="4"/>
  <c r="K1497" i="4"/>
  <c r="L1497" i="4" s="1"/>
  <c r="A1497" i="4"/>
  <c r="K1496" i="4"/>
  <c r="L1496" i="4" s="1"/>
  <c r="A1496" i="4"/>
  <c r="K1495" i="4"/>
  <c r="L1495" i="4" s="1"/>
  <c r="A1495" i="4"/>
  <c r="K1494" i="4"/>
  <c r="L1494" i="4" s="1"/>
  <c r="A1494" i="4"/>
  <c r="K1493" i="4"/>
  <c r="L1493" i="4" s="1"/>
  <c r="A1493" i="4"/>
  <c r="K1492" i="4"/>
  <c r="L1492" i="4" s="1"/>
  <c r="A1492" i="4"/>
  <c r="K1491" i="4"/>
  <c r="L1491" i="4" s="1"/>
  <c r="A1491" i="4"/>
  <c r="K1490" i="4"/>
  <c r="L1490" i="4" s="1"/>
  <c r="A1490" i="4"/>
  <c r="K1489" i="4"/>
  <c r="L1489" i="4" s="1"/>
  <c r="A1489" i="4"/>
  <c r="K1488" i="4"/>
  <c r="L1488" i="4" s="1"/>
  <c r="A1488" i="4"/>
  <c r="K1487" i="4"/>
  <c r="L1487" i="4" s="1"/>
  <c r="A1487" i="4"/>
  <c r="K1486" i="4"/>
  <c r="L1486" i="4" s="1"/>
  <c r="A1486" i="4"/>
  <c r="K1485" i="4"/>
  <c r="L1485" i="4" s="1"/>
  <c r="A1485" i="4"/>
  <c r="K1484" i="4"/>
  <c r="L1484" i="4" s="1"/>
  <c r="A1484" i="4"/>
  <c r="K1483" i="4"/>
  <c r="L1483" i="4" s="1"/>
  <c r="A1483" i="4"/>
  <c r="K1482" i="4"/>
  <c r="L1482" i="4" s="1"/>
  <c r="A1482" i="4"/>
  <c r="K1481" i="4"/>
  <c r="L1481" i="4" s="1"/>
  <c r="A1481" i="4"/>
  <c r="K1480" i="4"/>
  <c r="L1480" i="4" s="1"/>
  <c r="A1480" i="4"/>
  <c r="K1479" i="4"/>
  <c r="L1479" i="4" s="1"/>
  <c r="A1479" i="4"/>
  <c r="K1478" i="4"/>
  <c r="L1478" i="4" s="1"/>
  <c r="A1478" i="4"/>
  <c r="K1477" i="4"/>
  <c r="L1477" i="4" s="1"/>
  <c r="A1477" i="4"/>
  <c r="K1476" i="4"/>
  <c r="L1476" i="4" s="1"/>
  <c r="A1476" i="4"/>
  <c r="K1475" i="4"/>
  <c r="L1475" i="4" s="1"/>
  <c r="A1475" i="4"/>
  <c r="K1474" i="4"/>
  <c r="L1474" i="4" s="1"/>
  <c r="A1474" i="4"/>
  <c r="K1473" i="4"/>
  <c r="L1473" i="4" s="1"/>
  <c r="A1473" i="4"/>
  <c r="K1472" i="4"/>
  <c r="L1472" i="4" s="1"/>
  <c r="A1472" i="4"/>
  <c r="K1471" i="4"/>
  <c r="L1471" i="4" s="1"/>
  <c r="A1471" i="4"/>
  <c r="K1470" i="4"/>
  <c r="L1470" i="4" s="1"/>
  <c r="A1470" i="4"/>
  <c r="K1469" i="4"/>
  <c r="L1469" i="4" s="1"/>
  <c r="A1469" i="4"/>
  <c r="K1468" i="4"/>
  <c r="L1468" i="4" s="1"/>
  <c r="A1468" i="4"/>
  <c r="K1467" i="4"/>
  <c r="L1467" i="4" s="1"/>
  <c r="A1467" i="4"/>
  <c r="K1466" i="4"/>
  <c r="L1466" i="4" s="1"/>
  <c r="A1466" i="4"/>
  <c r="K1465" i="4"/>
  <c r="L1465" i="4" s="1"/>
  <c r="A1465" i="4"/>
  <c r="K1464" i="4"/>
  <c r="L1464" i="4" s="1"/>
  <c r="A1464" i="4"/>
  <c r="K1463" i="4"/>
  <c r="L1463" i="4" s="1"/>
  <c r="A1463" i="4"/>
  <c r="K1462" i="4"/>
  <c r="L1462" i="4" s="1"/>
  <c r="A1462" i="4"/>
  <c r="K1461" i="4"/>
  <c r="L1461" i="4" s="1"/>
  <c r="A1461" i="4"/>
  <c r="K1460" i="4"/>
  <c r="L1460" i="4" s="1"/>
  <c r="A1460" i="4"/>
  <c r="K1459" i="4"/>
  <c r="L1459" i="4" s="1"/>
  <c r="A1459" i="4"/>
  <c r="K1458" i="4"/>
  <c r="L1458" i="4" s="1"/>
  <c r="A1458" i="4"/>
  <c r="K1457" i="4"/>
  <c r="L1457" i="4" s="1"/>
  <c r="A1457" i="4"/>
  <c r="K1456" i="4"/>
  <c r="L1456" i="4" s="1"/>
  <c r="A1456" i="4"/>
  <c r="K1455" i="4"/>
  <c r="L1455" i="4" s="1"/>
  <c r="A1455" i="4"/>
  <c r="K1454" i="4"/>
  <c r="L1454" i="4" s="1"/>
  <c r="A1454" i="4"/>
  <c r="K1453" i="4"/>
  <c r="L1453" i="4" s="1"/>
  <c r="A1453" i="4"/>
  <c r="K1452" i="4"/>
  <c r="L1452" i="4" s="1"/>
  <c r="A1452" i="4"/>
  <c r="K1451" i="4"/>
  <c r="L1451" i="4" s="1"/>
  <c r="A1451" i="4"/>
  <c r="K1450" i="4"/>
  <c r="L1450" i="4" s="1"/>
  <c r="A1450" i="4"/>
  <c r="K1449" i="4"/>
  <c r="L1449" i="4" s="1"/>
  <c r="A1449" i="4"/>
  <c r="K1448" i="4"/>
  <c r="L1448" i="4" s="1"/>
  <c r="A1448" i="4"/>
  <c r="K1447" i="4"/>
  <c r="L1447" i="4" s="1"/>
  <c r="A1447" i="4"/>
  <c r="K1446" i="4"/>
  <c r="L1446" i="4" s="1"/>
  <c r="A1446" i="4"/>
  <c r="K1445" i="4"/>
  <c r="L1445" i="4" s="1"/>
  <c r="A1445" i="4"/>
  <c r="K1444" i="4"/>
  <c r="L1444" i="4" s="1"/>
  <c r="A1444" i="4"/>
  <c r="K1443" i="4"/>
  <c r="L1443" i="4" s="1"/>
  <c r="A1443" i="4"/>
  <c r="K1442" i="4"/>
  <c r="L1442" i="4" s="1"/>
  <c r="A1442" i="4"/>
  <c r="K1441" i="4"/>
  <c r="L1441" i="4" s="1"/>
  <c r="A1441" i="4"/>
  <c r="K1440" i="4"/>
  <c r="L1440" i="4" s="1"/>
  <c r="A1440" i="4"/>
  <c r="K1439" i="4"/>
  <c r="L1439" i="4" s="1"/>
  <c r="A1439" i="4"/>
  <c r="K1438" i="4"/>
  <c r="L1438" i="4" s="1"/>
  <c r="A1438" i="4"/>
  <c r="K1437" i="4"/>
  <c r="L1437" i="4" s="1"/>
  <c r="A1437" i="4"/>
  <c r="K1436" i="4"/>
  <c r="L1436" i="4" s="1"/>
  <c r="A1436" i="4"/>
  <c r="K1435" i="4"/>
  <c r="L1435" i="4" s="1"/>
  <c r="A1435" i="4"/>
  <c r="K1434" i="4"/>
  <c r="L1434" i="4" s="1"/>
  <c r="A1434" i="4"/>
  <c r="K1433" i="4"/>
  <c r="L1433" i="4" s="1"/>
  <c r="A1433" i="4"/>
  <c r="K1432" i="4"/>
  <c r="L1432" i="4" s="1"/>
  <c r="A1432" i="4"/>
  <c r="K1431" i="4"/>
  <c r="L1431" i="4" s="1"/>
  <c r="A1431" i="4"/>
  <c r="K1430" i="4"/>
  <c r="L1430" i="4" s="1"/>
  <c r="A1430" i="4"/>
  <c r="K1429" i="4"/>
  <c r="L1429" i="4" s="1"/>
  <c r="A1429" i="4"/>
  <c r="K1428" i="4"/>
  <c r="L1428" i="4" s="1"/>
  <c r="A1428" i="4"/>
  <c r="K1427" i="4"/>
  <c r="L1427" i="4" s="1"/>
  <c r="A1427" i="4"/>
  <c r="K1426" i="4"/>
  <c r="L1426" i="4" s="1"/>
  <c r="A1426" i="4"/>
  <c r="K1425" i="4"/>
  <c r="L1425" i="4" s="1"/>
  <c r="A1425" i="4"/>
  <c r="K1424" i="4"/>
  <c r="L1424" i="4" s="1"/>
  <c r="A1424" i="4"/>
  <c r="K1423" i="4"/>
  <c r="L1423" i="4" s="1"/>
  <c r="A1423" i="4"/>
  <c r="K1422" i="4"/>
  <c r="L1422" i="4" s="1"/>
  <c r="A1422" i="4"/>
  <c r="K1421" i="4"/>
  <c r="L1421" i="4" s="1"/>
  <c r="A1421" i="4"/>
  <c r="K1420" i="4"/>
  <c r="L1420" i="4" s="1"/>
  <c r="A1420" i="4"/>
  <c r="K1419" i="4"/>
  <c r="L1419" i="4" s="1"/>
  <c r="A1419" i="4"/>
  <c r="K1418" i="4"/>
  <c r="L1418" i="4" s="1"/>
  <c r="A1418" i="4"/>
  <c r="K1417" i="4"/>
  <c r="L1417" i="4" s="1"/>
  <c r="A1417" i="4"/>
  <c r="K1416" i="4"/>
  <c r="L1416" i="4" s="1"/>
  <c r="A1416" i="4"/>
  <c r="K1415" i="4"/>
  <c r="L1415" i="4" s="1"/>
  <c r="A1415" i="4"/>
  <c r="K1414" i="4"/>
  <c r="L1414" i="4" s="1"/>
  <c r="A1414" i="4"/>
  <c r="K1413" i="4"/>
  <c r="L1413" i="4" s="1"/>
  <c r="A1413" i="4"/>
  <c r="K1412" i="4"/>
  <c r="L1412" i="4" s="1"/>
  <c r="A1412" i="4"/>
  <c r="K1411" i="4"/>
  <c r="L1411" i="4" s="1"/>
  <c r="A1411" i="4"/>
  <c r="K1410" i="4"/>
  <c r="L1410" i="4" s="1"/>
  <c r="A1410" i="4"/>
  <c r="K1409" i="4"/>
  <c r="L1409" i="4" s="1"/>
  <c r="A1409" i="4"/>
  <c r="K1408" i="4"/>
  <c r="L1408" i="4" s="1"/>
  <c r="A1408" i="4"/>
  <c r="K1407" i="4"/>
  <c r="L1407" i="4" s="1"/>
  <c r="A1407" i="4"/>
  <c r="K1406" i="4"/>
  <c r="L1406" i="4" s="1"/>
  <c r="A1406" i="4"/>
  <c r="K1405" i="4"/>
  <c r="L1405" i="4" s="1"/>
  <c r="A1405" i="4"/>
  <c r="K1404" i="4"/>
  <c r="L1404" i="4" s="1"/>
  <c r="A1404" i="4"/>
  <c r="K1403" i="4"/>
  <c r="L1403" i="4" s="1"/>
  <c r="A1403" i="4"/>
  <c r="K1402" i="4"/>
  <c r="L1402" i="4" s="1"/>
  <c r="A1402" i="4"/>
  <c r="K1401" i="4"/>
  <c r="L1401" i="4" s="1"/>
  <c r="A1401" i="4"/>
  <c r="K1400" i="4"/>
  <c r="L1400" i="4" s="1"/>
  <c r="A1400" i="4"/>
  <c r="K1399" i="4"/>
  <c r="L1399" i="4" s="1"/>
  <c r="A1399" i="4"/>
  <c r="K1398" i="4"/>
  <c r="L1398" i="4" s="1"/>
  <c r="A1398" i="4"/>
  <c r="K1397" i="4"/>
  <c r="L1397" i="4" s="1"/>
  <c r="A1397" i="4"/>
  <c r="K1396" i="4"/>
  <c r="L1396" i="4" s="1"/>
  <c r="A1396" i="4"/>
  <c r="K1395" i="4"/>
  <c r="L1395" i="4" s="1"/>
  <c r="A1395" i="4"/>
  <c r="K1394" i="4"/>
  <c r="L1394" i="4" s="1"/>
  <c r="A1394" i="4"/>
  <c r="K1393" i="4"/>
  <c r="L1393" i="4" s="1"/>
  <c r="A1393" i="4"/>
  <c r="K1392" i="4"/>
  <c r="L1392" i="4" s="1"/>
  <c r="A1392" i="4"/>
  <c r="K1391" i="4"/>
  <c r="L1391" i="4" s="1"/>
  <c r="A1391" i="4"/>
  <c r="K1390" i="4"/>
  <c r="L1390" i="4" s="1"/>
  <c r="A1390" i="4"/>
  <c r="K1389" i="4"/>
  <c r="L1389" i="4" s="1"/>
  <c r="A1389" i="4"/>
  <c r="K1388" i="4"/>
  <c r="L1388" i="4" s="1"/>
  <c r="A1388" i="4"/>
  <c r="K1387" i="4"/>
  <c r="L1387" i="4" s="1"/>
  <c r="A1387" i="4"/>
  <c r="K1386" i="4"/>
  <c r="L1386" i="4" s="1"/>
  <c r="A1386" i="4"/>
  <c r="K1385" i="4"/>
  <c r="L1385" i="4" s="1"/>
  <c r="A1385" i="4"/>
  <c r="K1384" i="4"/>
  <c r="L1384" i="4" s="1"/>
  <c r="A1384" i="4"/>
  <c r="K1383" i="4"/>
  <c r="L1383" i="4" s="1"/>
  <c r="A1383" i="4"/>
  <c r="K1382" i="4"/>
  <c r="L1382" i="4" s="1"/>
  <c r="A1382" i="4"/>
  <c r="K1381" i="4"/>
  <c r="L1381" i="4" s="1"/>
  <c r="A1381" i="4"/>
  <c r="K1380" i="4"/>
  <c r="L1380" i="4" s="1"/>
  <c r="A1380" i="4"/>
  <c r="K1379" i="4"/>
  <c r="L1379" i="4" s="1"/>
  <c r="A1379" i="4"/>
  <c r="K1378" i="4"/>
  <c r="L1378" i="4" s="1"/>
  <c r="A1378" i="4"/>
  <c r="K1377" i="4"/>
  <c r="L1377" i="4" s="1"/>
  <c r="A1377" i="4"/>
  <c r="K1376" i="4"/>
  <c r="L1376" i="4" s="1"/>
  <c r="A1376" i="4"/>
  <c r="K1375" i="4"/>
  <c r="L1375" i="4" s="1"/>
  <c r="A1375" i="4"/>
  <c r="K1374" i="4"/>
  <c r="L1374" i="4" s="1"/>
  <c r="A1374" i="4"/>
  <c r="K1373" i="4"/>
  <c r="L1373" i="4" s="1"/>
  <c r="A1373" i="4"/>
  <c r="K1372" i="4"/>
  <c r="L1372" i="4" s="1"/>
  <c r="A1372" i="4"/>
  <c r="K1371" i="4"/>
  <c r="L1371" i="4" s="1"/>
  <c r="A1371" i="4"/>
  <c r="K1370" i="4"/>
  <c r="L1370" i="4" s="1"/>
  <c r="A1370" i="4"/>
  <c r="K1369" i="4"/>
  <c r="L1369" i="4" s="1"/>
  <c r="A1369" i="4"/>
  <c r="K1368" i="4"/>
  <c r="L1368" i="4" s="1"/>
  <c r="A1368" i="4"/>
  <c r="K1367" i="4"/>
  <c r="L1367" i="4" s="1"/>
  <c r="A1367" i="4"/>
  <c r="K1366" i="4"/>
  <c r="L1366" i="4" s="1"/>
  <c r="A1366" i="4"/>
  <c r="K1365" i="4"/>
  <c r="L1365" i="4" s="1"/>
  <c r="A1365" i="4"/>
  <c r="K1364" i="4"/>
  <c r="L1364" i="4" s="1"/>
  <c r="A1364" i="4"/>
  <c r="K1363" i="4"/>
  <c r="L1363" i="4" s="1"/>
  <c r="A1363" i="4"/>
  <c r="K1362" i="4"/>
  <c r="L1362" i="4" s="1"/>
  <c r="A1362" i="4"/>
  <c r="K1361" i="4"/>
  <c r="L1361" i="4" s="1"/>
  <c r="A1361" i="4"/>
  <c r="K1360" i="4"/>
  <c r="L1360" i="4" s="1"/>
  <c r="A1360" i="4"/>
  <c r="K1359" i="4"/>
  <c r="L1359" i="4" s="1"/>
  <c r="A1359" i="4"/>
  <c r="K1358" i="4"/>
  <c r="L1358" i="4" s="1"/>
  <c r="A1358" i="4"/>
  <c r="K1357" i="4"/>
  <c r="L1357" i="4" s="1"/>
  <c r="A1357" i="4"/>
  <c r="K1356" i="4"/>
  <c r="L1356" i="4" s="1"/>
  <c r="A1356" i="4"/>
  <c r="K1355" i="4"/>
  <c r="L1355" i="4" s="1"/>
  <c r="A1355" i="4"/>
  <c r="K1354" i="4"/>
  <c r="L1354" i="4" s="1"/>
  <c r="A1354" i="4"/>
  <c r="K1353" i="4"/>
  <c r="L1353" i="4" s="1"/>
  <c r="A1353" i="4"/>
  <c r="K1352" i="4"/>
  <c r="L1352" i="4" s="1"/>
  <c r="A1352" i="4"/>
  <c r="K1351" i="4"/>
  <c r="L1351" i="4" s="1"/>
  <c r="A1351" i="4"/>
  <c r="K1350" i="4"/>
  <c r="L1350" i="4" s="1"/>
  <c r="A1350" i="4"/>
  <c r="K1349" i="4"/>
  <c r="L1349" i="4" s="1"/>
  <c r="A1349" i="4"/>
  <c r="K1348" i="4"/>
  <c r="L1348" i="4" s="1"/>
  <c r="A1348" i="4"/>
  <c r="K1347" i="4"/>
  <c r="L1347" i="4" s="1"/>
  <c r="A1347" i="4"/>
  <c r="K1346" i="4"/>
  <c r="L1346" i="4" s="1"/>
  <c r="A1346" i="4"/>
  <c r="K1345" i="4"/>
  <c r="L1345" i="4" s="1"/>
  <c r="A1345" i="4"/>
  <c r="K1344" i="4"/>
  <c r="L1344" i="4" s="1"/>
  <c r="A1344" i="4"/>
  <c r="K1343" i="4"/>
  <c r="L1343" i="4" s="1"/>
  <c r="A1343" i="4"/>
  <c r="K1342" i="4"/>
  <c r="L1342" i="4" s="1"/>
  <c r="A1342" i="4"/>
  <c r="K1341" i="4"/>
  <c r="L1341" i="4" s="1"/>
  <c r="A1341" i="4"/>
  <c r="K1340" i="4"/>
  <c r="L1340" i="4" s="1"/>
  <c r="A1340" i="4"/>
  <c r="K1339" i="4"/>
  <c r="L1339" i="4" s="1"/>
  <c r="A1339" i="4"/>
  <c r="K1338" i="4"/>
  <c r="L1338" i="4" s="1"/>
  <c r="A1338" i="4"/>
  <c r="K1337" i="4"/>
  <c r="L1337" i="4" s="1"/>
  <c r="A1337" i="4"/>
  <c r="K1336" i="4"/>
  <c r="L1336" i="4" s="1"/>
  <c r="A1336" i="4"/>
  <c r="K1335" i="4"/>
  <c r="L1335" i="4" s="1"/>
  <c r="A1335" i="4"/>
  <c r="K1334" i="4"/>
  <c r="L1334" i="4" s="1"/>
  <c r="A1334" i="4"/>
  <c r="K1333" i="4"/>
  <c r="L1333" i="4" s="1"/>
  <c r="A1333" i="4"/>
  <c r="K1332" i="4"/>
  <c r="L1332" i="4" s="1"/>
  <c r="A1332" i="4"/>
  <c r="K1331" i="4"/>
  <c r="L1331" i="4" s="1"/>
  <c r="A1331" i="4"/>
  <c r="K1330" i="4"/>
  <c r="L1330" i="4" s="1"/>
  <c r="A1330" i="4"/>
  <c r="K1329" i="4"/>
  <c r="L1329" i="4" s="1"/>
  <c r="A1329" i="4"/>
  <c r="K1328" i="4"/>
  <c r="L1328" i="4" s="1"/>
  <c r="A1328" i="4"/>
  <c r="K1327" i="4"/>
  <c r="L1327" i="4" s="1"/>
  <c r="A1327" i="4"/>
  <c r="K1326" i="4"/>
  <c r="L1326" i="4" s="1"/>
  <c r="A1326" i="4"/>
  <c r="K1325" i="4"/>
  <c r="L1325" i="4" s="1"/>
  <c r="A1325" i="4"/>
  <c r="K1324" i="4"/>
  <c r="L1324" i="4" s="1"/>
  <c r="A1324" i="4"/>
  <c r="K1323" i="4"/>
  <c r="L1323" i="4" s="1"/>
  <c r="A1323" i="4"/>
  <c r="K1322" i="4"/>
  <c r="L1322" i="4" s="1"/>
  <c r="A1322" i="4"/>
  <c r="K1321" i="4"/>
  <c r="L1321" i="4" s="1"/>
  <c r="A1321" i="4"/>
  <c r="K1320" i="4"/>
  <c r="L1320" i="4" s="1"/>
  <c r="A1320" i="4"/>
  <c r="K1319" i="4"/>
  <c r="L1319" i="4" s="1"/>
  <c r="A1319" i="4"/>
  <c r="K1318" i="4"/>
  <c r="L1318" i="4" s="1"/>
  <c r="A1318" i="4"/>
  <c r="K1317" i="4"/>
  <c r="L1317" i="4" s="1"/>
  <c r="A1317" i="4"/>
  <c r="K1316" i="4"/>
  <c r="L1316" i="4" s="1"/>
  <c r="A1316" i="4"/>
  <c r="K1315" i="4"/>
  <c r="L1315" i="4" s="1"/>
  <c r="A1315" i="4"/>
  <c r="K1314" i="4"/>
  <c r="L1314" i="4" s="1"/>
  <c r="A1314" i="4"/>
  <c r="K1313" i="4"/>
  <c r="L1313" i="4" s="1"/>
  <c r="A1313" i="4"/>
  <c r="K1312" i="4"/>
  <c r="L1312" i="4" s="1"/>
  <c r="A1312" i="4"/>
  <c r="K1311" i="4"/>
  <c r="L1311" i="4" s="1"/>
  <c r="A1311" i="4"/>
  <c r="K1310" i="4"/>
  <c r="L1310" i="4" s="1"/>
  <c r="A1310" i="4"/>
  <c r="K1309" i="4"/>
  <c r="L1309" i="4" s="1"/>
  <c r="A1309" i="4"/>
  <c r="K1308" i="4"/>
  <c r="L1308" i="4" s="1"/>
  <c r="A1308" i="4"/>
  <c r="K1307" i="4"/>
  <c r="L1307" i="4" s="1"/>
  <c r="A1307" i="4"/>
  <c r="K1306" i="4"/>
  <c r="L1306" i="4" s="1"/>
  <c r="A1306" i="4"/>
  <c r="K1305" i="4"/>
  <c r="L1305" i="4" s="1"/>
  <c r="A1305" i="4"/>
  <c r="K1304" i="4"/>
  <c r="L1304" i="4" s="1"/>
  <c r="A1304" i="4"/>
  <c r="K1303" i="4"/>
  <c r="L1303" i="4" s="1"/>
  <c r="A1303" i="4"/>
  <c r="K1302" i="4"/>
  <c r="L1302" i="4" s="1"/>
  <c r="A1302" i="4"/>
  <c r="K1301" i="4"/>
  <c r="L1301" i="4" s="1"/>
  <c r="A1301" i="4"/>
  <c r="K1300" i="4"/>
  <c r="L1300" i="4" s="1"/>
  <c r="A1300" i="4"/>
  <c r="K1299" i="4"/>
  <c r="L1299" i="4" s="1"/>
  <c r="A1299" i="4"/>
  <c r="K1298" i="4"/>
  <c r="L1298" i="4" s="1"/>
  <c r="A1298" i="4"/>
  <c r="K1297" i="4"/>
  <c r="L1297" i="4" s="1"/>
  <c r="A1297" i="4"/>
  <c r="K1296" i="4"/>
  <c r="L1296" i="4" s="1"/>
  <c r="A1296" i="4"/>
  <c r="K1295" i="4"/>
  <c r="L1295" i="4" s="1"/>
  <c r="A1295" i="4"/>
  <c r="K1294" i="4"/>
  <c r="L1294" i="4" s="1"/>
  <c r="A1294" i="4"/>
  <c r="K1293" i="4"/>
  <c r="L1293" i="4" s="1"/>
  <c r="A1293" i="4"/>
  <c r="K1292" i="4"/>
  <c r="L1292" i="4" s="1"/>
  <c r="A1292" i="4"/>
  <c r="K1291" i="4"/>
  <c r="L1291" i="4" s="1"/>
  <c r="A1291" i="4"/>
  <c r="K1290" i="4"/>
  <c r="L1290" i="4" s="1"/>
  <c r="A1290" i="4"/>
  <c r="K1289" i="4"/>
  <c r="L1289" i="4" s="1"/>
  <c r="A1289" i="4"/>
  <c r="K1288" i="4"/>
  <c r="L1288" i="4" s="1"/>
  <c r="A1288" i="4"/>
  <c r="K1287" i="4"/>
  <c r="L1287" i="4" s="1"/>
  <c r="A1287" i="4"/>
  <c r="K1286" i="4"/>
  <c r="L1286" i="4" s="1"/>
  <c r="A1286" i="4"/>
  <c r="K1285" i="4"/>
  <c r="L1285" i="4" s="1"/>
  <c r="A1285" i="4"/>
  <c r="K1284" i="4"/>
  <c r="L1284" i="4" s="1"/>
  <c r="A1284" i="4"/>
  <c r="K1283" i="4"/>
  <c r="L1283" i="4" s="1"/>
  <c r="A1283" i="4"/>
  <c r="K1282" i="4"/>
  <c r="L1282" i="4" s="1"/>
  <c r="A1282" i="4"/>
  <c r="K1281" i="4"/>
  <c r="L1281" i="4" s="1"/>
  <c r="A1281" i="4"/>
  <c r="K1280" i="4"/>
  <c r="L1280" i="4" s="1"/>
  <c r="A1280" i="4"/>
  <c r="K1279" i="4"/>
  <c r="L1279" i="4" s="1"/>
  <c r="A1279" i="4"/>
  <c r="K1278" i="4"/>
  <c r="L1278" i="4" s="1"/>
  <c r="A1278" i="4"/>
  <c r="K1277" i="4"/>
  <c r="L1277" i="4" s="1"/>
  <c r="A1277" i="4"/>
  <c r="K1276" i="4"/>
  <c r="L1276" i="4" s="1"/>
  <c r="A1276" i="4"/>
  <c r="K1275" i="4"/>
  <c r="L1275" i="4" s="1"/>
  <c r="A1275" i="4"/>
  <c r="K1274" i="4"/>
  <c r="L1274" i="4" s="1"/>
  <c r="A1274" i="4"/>
  <c r="K1273" i="4"/>
  <c r="L1273" i="4" s="1"/>
  <c r="A1273" i="4"/>
  <c r="K1272" i="4"/>
  <c r="L1272" i="4" s="1"/>
  <c r="A1272" i="4"/>
  <c r="K1271" i="4"/>
  <c r="L1271" i="4" s="1"/>
  <c r="A1271" i="4"/>
  <c r="K1270" i="4"/>
  <c r="L1270" i="4" s="1"/>
  <c r="A1270" i="4"/>
  <c r="K1269" i="4"/>
  <c r="L1269" i="4" s="1"/>
  <c r="A1269" i="4"/>
  <c r="K1268" i="4"/>
  <c r="L1268" i="4" s="1"/>
  <c r="A1268" i="4"/>
  <c r="K1267" i="4"/>
  <c r="L1267" i="4" s="1"/>
  <c r="A1267" i="4"/>
  <c r="K1266" i="4"/>
  <c r="L1266" i="4" s="1"/>
  <c r="A1266" i="4"/>
  <c r="K1265" i="4"/>
  <c r="L1265" i="4" s="1"/>
  <c r="A1265" i="4"/>
  <c r="K1264" i="4"/>
  <c r="L1264" i="4" s="1"/>
  <c r="A1264" i="4"/>
  <c r="K1263" i="4"/>
  <c r="L1263" i="4" s="1"/>
  <c r="A1263" i="4"/>
  <c r="K1262" i="4"/>
  <c r="L1262" i="4" s="1"/>
  <c r="A1262" i="4"/>
  <c r="K1261" i="4"/>
  <c r="L1261" i="4" s="1"/>
  <c r="A1261" i="4"/>
  <c r="K1260" i="4"/>
  <c r="L1260" i="4" s="1"/>
  <c r="A1260" i="4"/>
  <c r="K1259" i="4"/>
  <c r="L1259" i="4" s="1"/>
  <c r="A1259" i="4"/>
  <c r="K1258" i="4"/>
  <c r="L1258" i="4" s="1"/>
  <c r="A1258" i="4"/>
  <c r="K1257" i="4"/>
  <c r="L1257" i="4" s="1"/>
  <c r="A1257" i="4"/>
  <c r="K1256" i="4"/>
  <c r="L1256" i="4" s="1"/>
  <c r="A1256" i="4"/>
  <c r="K1255" i="4"/>
  <c r="L1255" i="4" s="1"/>
  <c r="A1255" i="4"/>
  <c r="K1254" i="4"/>
  <c r="L1254" i="4" s="1"/>
  <c r="A1254" i="4"/>
  <c r="K1253" i="4"/>
  <c r="L1253" i="4" s="1"/>
  <c r="A1253" i="4"/>
  <c r="K1252" i="4"/>
  <c r="L1252" i="4" s="1"/>
  <c r="A1252" i="4"/>
  <c r="K1251" i="4"/>
  <c r="L1251" i="4" s="1"/>
  <c r="A1251" i="4"/>
  <c r="K1250" i="4"/>
  <c r="L1250" i="4" s="1"/>
  <c r="A1250" i="4"/>
  <c r="K1249" i="4"/>
  <c r="L1249" i="4" s="1"/>
  <c r="A1249" i="4"/>
  <c r="K1248" i="4"/>
  <c r="L1248" i="4" s="1"/>
  <c r="A1248" i="4"/>
  <c r="K1247" i="4"/>
  <c r="L1247" i="4" s="1"/>
  <c r="A1247" i="4"/>
  <c r="K1246" i="4"/>
  <c r="L1246" i="4" s="1"/>
  <c r="A1246" i="4"/>
  <c r="K1245" i="4"/>
  <c r="L1245" i="4" s="1"/>
  <c r="A1245" i="4"/>
  <c r="K1244" i="4"/>
  <c r="L1244" i="4" s="1"/>
  <c r="A1244" i="4"/>
  <c r="K1243" i="4"/>
  <c r="L1243" i="4" s="1"/>
  <c r="A1243" i="4"/>
  <c r="K1242" i="4"/>
  <c r="L1242" i="4" s="1"/>
  <c r="A1242" i="4"/>
  <c r="K1241" i="4"/>
  <c r="L1241" i="4" s="1"/>
  <c r="A1241" i="4"/>
  <c r="K1240" i="4"/>
  <c r="L1240" i="4" s="1"/>
  <c r="A1240" i="4"/>
  <c r="K1239" i="4"/>
  <c r="L1239" i="4" s="1"/>
  <c r="A1239" i="4"/>
  <c r="K1238" i="4"/>
  <c r="L1238" i="4" s="1"/>
  <c r="A1238" i="4"/>
  <c r="K1237" i="4"/>
  <c r="L1237" i="4" s="1"/>
  <c r="A1237" i="4"/>
  <c r="K1236" i="4"/>
  <c r="L1236" i="4" s="1"/>
  <c r="A1236" i="4"/>
  <c r="K1235" i="4"/>
  <c r="L1235" i="4" s="1"/>
  <c r="A1235" i="4"/>
  <c r="K1234" i="4"/>
  <c r="L1234" i="4" s="1"/>
  <c r="A1234" i="4"/>
  <c r="K1233" i="4"/>
  <c r="L1233" i="4" s="1"/>
  <c r="A1233" i="4"/>
  <c r="K1232" i="4"/>
  <c r="L1232" i="4" s="1"/>
  <c r="A1232" i="4"/>
  <c r="K1231" i="4"/>
  <c r="L1231" i="4" s="1"/>
  <c r="A1231" i="4"/>
  <c r="K1230" i="4"/>
  <c r="L1230" i="4" s="1"/>
  <c r="A1230" i="4"/>
  <c r="K1229" i="4"/>
  <c r="L1229" i="4" s="1"/>
  <c r="A1229" i="4"/>
  <c r="K1228" i="4"/>
  <c r="L1228" i="4" s="1"/>
  <c r="A1228" i="4"/>
  <c r="K1227" i="4"/>
  <c r="L1227" i="4" s="1"/>
  <c r="A1227" i="4"/>
  <c r="K1226" i="4"/>
  <c r="L1226" i="4" s="1"/>
  <c r="A1226" i="4"/>
  <c r="K1225" i="4"/>
  <c r="L1225" i="4" s="1"/>
  <c r="A1225" i="4"/>
  <c r="K1224" i="4"/>
  <c r="L1224" i="4" s="1"/>
  <c r="A1224" i="4"/>
  <c r="K1223" i="4"/>
  <c r="L1223" i="4" s="1"/>
  <c r="A1223" i="4"/>
  <c r="K1222" i="4"/>
  <c r="L1222" i="4" s="1"/>
  <c r="A1222" i="4"/>
  <c r="K1221" i="4"/>
  <c r="L1221" i="4" s="1"/>
  <c r="A1221" i="4"/>
  <c r="K1220" i="4"/>
  <c r="L1220" i="4" s="1"/>
  <c r="A1220" i="4"/>
  <c r="K1219" i="4"/>
  <c r="L1219" i="4" s="1"/>
  <c r="A1219" i="4"/>
  <c r="K1218" i="4"/>
  <c r="L1218" i="4" s="1"/>
  <c r="A1218" i="4"/>
  <c r="K1217" i="4"/>
  <c r="L1217" i="4" s="1"/>
  <c r="A1217" i="4"/>
  <c r="K1216" i="4"/>
  <c r="L1216" i="4" s="1"/>
  <c r="A1216" i="4"/>
  <c r="K1215" i="4"/>
  <c r="L1215" i="4" s="1"/>
  <c r="A1215" i="4"/>
  <c r="K1214" i="4"/>
  <c r="L1214" i="4" s="1"/>
  <c r="A1214" i="4"/>
  <c r="K1213" i="4"/>
  <c r="L1213" i="4" s="1"/>
  <c r="A1213" i="4"/>
  <c r="K1212" i="4"/>
  <c r="L1212" i="4" s="1"/>
  <c r="A1212" i="4"/>
  <c r="K1211" i="4"/>
  <c r="L1211" i="4" s="1"/>
  <c r="A1211" i="4"/>
  <c r="K1210" i="4"/>
  <c r="L1210" i="4" s="1"/>
  <c r="A1210" i="4"/>
  <c r="K1209" i="4"/>
  <c r="L1209" i="4" s="1"/>
  <c r="A1209" i="4"/>
  <c r="K1208" i="4"/>
  <c r="L1208" i="4" s="1"/>
  <c r="A1208" i="4"/>
  <c r="K1207" i="4"/>
  <c r="L1207" i="4" s="1"/>
  <c r="A1207" i="4"/>
  <c r="K1206" i="4"/>
  <c r="L1206" i="4" s="1"/>
  <c r="A1206" i="4"/>
  <c r="K1205" i="4"/>
  <c r="L1205" i="4" s="1"/>
  <c r="A1205" i="4"/>
  <c r="K1204" i="4"/>
  <c r="L1204" i="4" s="1"/>
  <c r="A1204" i="4"/>
  <c r="K1203" i="4"/>
  <c r="L1203" i="4" s="1"/>
  <c r="A1203" i="4"/>
  <c r="K1202" i="4"/>
  <c r="L1202" i="4" s="1"/>
  <c r="A1202" i="4"/>
  <c r="K1201" i="4"/>
  <c r="L1201" i="4" s="1"/>
  <c r="A1201" i="4"/>
  <c r="K1200" i="4"/>
  <c r="L1200" i="4" s="1"/>
  <c r="A1200" i="4"/>
  <c r="K1199" i="4"/>
  <c r="L1199" i="4" s="1"/>
  <c r="A1199" i="4"/>
  <c r="K1198" i="4"/>
  <c r="L1198" i="4" s="1"/>
  <c r="A1198" i="4"/>
  <c r="K1197" i="4"/>
  <c r="L1197" i="4" s="1"/>
  <c r="A1197" i="4"/>
  <c r="K1196" i="4"/>
  <c r="L1196" i="4" s="1"/>
  <c r="A1196" i="4"/>
  <c r="K1195" i="4"/>
  <c r="L1195" i="4" s="1"/>
  <c r="A1195" i="4"/>
  <c r="K1194" i="4"/>
  <c r="L1194" i="4" s="1"/>
  <c r="A1194" i="4"/>
  <c r="K1193" i="4"/>
  <c r="L1193" i="4" s="1"/>
  <c r="A1193" i="4"/>
  <c r="K1192" i="4"/>
  <c r="L1192" i="4" s="1"/>
  <c r="A1192" i="4"/>
  <c r="K1191" i="4"/>
  <c r="L1191" i="4" s="1"/>
  <c r="A1191" i="4"/>
  <c r="K1190" i="4"/>
  <c r="L1190" i="4" s="1"/>
  <c r="A1190" i="4"/>
  <c r="K1189" i="4"/>
  <c r="L1189" i="4" s="1"/>
  <c r="A1189" i="4"/>
  <c r="K1188" i="4"/>
  <c r="L1188" i="4" s="1"/>
  <c r="A1188" i="4"/>
  <c r="K1187" i="4"/>
  <c r="L1187" i="4" s="1"/>
  <c r="A1187" i="4"/>
  <c r="K1186" i="4"/>
  <c r="L1186" i="4" s="1"/>
  <c r="A1186" i="4"/>
  <c r="K1185" i="4"/>
  <c r="L1185" i="4" s="1"/>
  <c r="A1185" i="4"/>
  <c r="K1184" i="4"/>
  <c r="L1184" i="4" s="1"/>
  <c r="A1184" i="4"/>
  <c r="K1183" i="4"/>
  <c r="L1183" i="4" s="1"/>
  <c r="A1183" i="4"/>
  <c r="K1182" i="4"/>
  <c r="L1182" i="4" s="1"/>
  <c r="A1182" i="4"/>
  <c r="K1181" i="4"/>
  <c r="L1181" i="4" s="1"/>
  <c r="A1181" i="4"/>
  <c r="K1180" i="4"/>
  <c r="L1180" i="4" s="1"/>
  <c r="A1180" i="4"/>
  <c r="K1179" i="4"/>
  <c r="L1179" i="4" s="1"/>
  <c r="A1179" i="4"/>
  <c r="K1178" i="4"/>
  <c r="L1178" i="4" s="1"/>
  <c r="A1178" i="4"/>
  <c r="K1177" i="4"/>
  <c r="L1177" i="4" s="1"/>
  <c r="A1177" i="4"/>
  <c r="K1176" i="4"/>
  <c r="L1176" i="4" s="1"/>
  <c r="A1176" i="4"/>
  <c r="K1175" i="4"/>
  <c r="L1175" i="4" s="1"/>
  <c r="A1175" i="4"/>
  <c r="K1174" i="4"/>
  <c r="L1174" i="4" s="1"/>
  <c r="A1174" i="4"/>
  <c r="K1173" i="4"/>
  <c r="L1173" i="4" s="1"/>
  <c r="A1173" i="4"/>
  <c r="K1172" i="4"/>
  <c r="L1172" i="4" s="1"/>
  <c r="A1172" i="4"/>
  <c r="K1171" i="4"/>
  <c r="L1171" i="4" s="1"/>
  <c r="A1171" i="4"/>
  <c r="K1170" i="4"/>
  <c r="L1170" i="4" s="1"/>
  <c r="A1170" i="4"/>
  <c r="K1169" i="4"/>
  <c r="L1169" i="4" s="1"/>
  <c r="A1169" i="4"/>
  <c r="K1168" i="4"/>
  <c r="L1168" i="4" s="1"/>
  <c r="A1168" i="4"/>
  <c r="K1167" i="4"/>
  <c r="L1167" i="4" s="1"/>
  <c r="A1167" i="4"/>
  <c r="K1166" i="4"/>
  <c r="L1166" i="4" s="1"/>
  <c r="A1166" i="4"/>
  <c r="K1165" i="4"/>
  <c r="L1165" i="4" s="1"/>
  <c r="A1165" i="4"/>
  <c r="K1164" i="4"/>
  <c r="L1164" i="4" s="1"/>
  <c r="A1164" i="4"/>
  <c r="K1163" i="4"/>
  <c r="L1163" i="4" s="1"/>
  <c r="A1163" i="4"/>
  <c r="K1162" i="4"/>
  <c r="L1162" i="4" s="1"/>
  <c r="A1162" i="4"/>
  <c r="K1161" i="4"/>
  <c r="L1161" i="4" s="1"/>
  <c r="A1161" i="4"/>
  <c r="K1160" i="4"/>
  <c r="L1160" i="4" s="1"/>
  <c r="A1160" i="4"/>
  <c r="K1159" i="4"/>
  <c r="L1159" i="4" s="1"/>
  <c r="A1159" i="4"/>
  <c r="K1158" i="4"/>
  <c r="L1158" i="4" s="1"/>
  <c r="A1158" i="4"/>
  <c r="K1157" i="4"/>
  <c r="L1157" i="4" s="1"/>
  <c r="A1157" i="4"/>
  <c r="K1156" i="4"/>
  <c r="L1156" i="4" s="1"/>
  <c r="A1156" i="4"/>
  <c r="K1155" i="4"/>
  <c r="L1155" i="4" s="1"/>
  <c r="A1155" i="4"/>
  <c r="K1154" i="4"/>
  <c r="L1154" i="4" s="1"/>
  <c r="A1154" i="4"/>
  <c r="K1153" i="4"/>
  <c r="L1153" i="4" s="1"/>
  <c r="A1153" i="4"/>
  <c r="K1152" i="4"/>
  <c r="L1152" i="4" s="1"/>
  <c r="A1152" i="4"/>
  <c r="K1151" i="4"/>
  <c r="L1151" i="4" s="1"/>
  <c r="A1151" i="4"/>
  <c r="K1150" i="4"/>
  <c r="L1150" i="4" s="1"/>
  <c r="A1150" i="4"/>
  <c r="K1149" i="4"/>
  <c r="L1149" i="4" s="1"/>
  <c r="A1149" i="4"/>
  <c r="K1148" i="4"/>
  <c r="L1148" i="4" s="1"/>
  <c r="A1148" i="4"/>
  <c r="K1147" i="4"/>
  <c r="L1147" i="4" s="1"/>
  <c r="A1147" i="4"/>
  <c r="K1146" i="4"/>
  <c r="L1146" i="4" s="1"/>
  <c r="A1146" i="4"/>
  <c r="K1145" i="4"/>
  <c r="L1145" i="4" s="1"/>
  <c r="A1145" i="4"/>
  <c r="K1144" i="4"/>
  <c r="L1144" i="4" s="1"/>
  <c r="A1144" i="4"/>
  <c r="K1143" i="4"/>
  <c r="L1143" i="4" s="1"/>
  <c r="A1143" i="4"/>
  <c r="K1142" i="4"/>
  <c r="L1142" i="4" s="1"/>
  <c r="A1142" i="4"/>
  <c r="K1141" i="4"/>
  <c r="L1141" i="4" s="1"/>
  <c r="A1141" i="4"/>
  <c r="K1140" i="4"/>
  <c r="L1140" i="4" s="1"/>
  <c r="A1140" i="4"/>
  <c r="K1139" i="4"/>
  <c r="L1139" i="4" s="1"/>
  <c r="A1139" i="4"/>
  <c r="K1138" i="4"/>
  <c r="L1138" i="4" s="1"/>
  <c r="A1138" i="4"/>
  <c r="K1137" i="4"/>
  <c r="L1137" i="4" s="1"/>
  <c r="A1137" i="4"/>
  <c r="K1136" i="4"/>
  <c r="L1136" i="4" s="1"/>
  <c r="A1136" i="4"/>
  <c r="K1135" i="4"/>
  <c r="L1135" i="4" s="1"/>
  <c r="A1135" i="4"/>
  <c r="K1134" i="4"/>
  <c r="L1134" i="4" s="1"/>
  <c r="A1134" i="4"/>
  <c r="K1133" i="4"/>
  <c r="L1133" i="4" s="1"/>
  <c r="A1133" i="4"/>
  <c r="K1132" i="4"/>
  <c r="L1132" i="4" s="1"/>
  <c r="A1132" i="4"/>
  <c r="K1131" i="4"/>
  <c r="L1131" i="4" s="1"/>
  <c r="A1131" i="4"/>
  <c r="K1130" i="4"/>
  <c r="L1130" i="4" s="1"/>
  <c r="A1130" i="4"/>
  <c r="K1129" i="4"/>
  <c r="L1129" i="4" s="1"/>
  <c r="A1129" i="4"/>
  <c r="K1128" i="4"/>
  <c r="L1128" i="4" s="1"/>
  <c r="A1128" i="4"/>
  <c r="K1127" i="4"/>
  <c r="L1127" i="4" s="1"/>
  <c r="A1127" i="4"/>
  <c r="K1126" i="4"/>
  <c r="L1126" i="4" s="1"/>
  <c r="A1126" i="4"/>
  <c r="K1125" i="4"/>
  <c r="L1125" i="4" s="1"/>
  <c r="A1125" i="4"/>
  <c r="K1124" i="4"/>
  <c r="L1124" i="4" s="1"/>
  <c r="A1124" i="4"/>
  <c r="K1123" i="4"/>
  <c r="L1123" i="4" s="1"/>
  <c r="A1123" i="4"/>
  <c r="K1122" i="4"/>
  <c r="L1122" i="4" s="1"/>
  <c r="A1122" i="4"/>
  <c r="K1121" i="4"/>
  <c r="L1121" i="4" s="1"/>
  <c r="A1121" i="4"/>
  <c r="K1120" i="4"/>
  <c r="L1120" i="4" s="1"/>
  <c r="A1120" i="4"/>
  <c r="K1119" i="4"/>
  <c r="L1119" i="4" s="1"/>
  <c r="A1119" i="4"/>
  <c r="K1118" i="4"/>
  <c r="L1118" i="4" s="1"/>
  <c r="A1118" i="4"/>
  <c r="K1117" i="4"/>
  <c r="L1117" i="4" s="1"/>
  <c r="A1117" i="4"/>
  <c r="K1116" i="4"/>
  <c r="L1116" i="4" s="1"/>
  <c r="A1116" i="4"/>
  <c r="K1115" i="4"/>
  <c r="L1115" i="4" s="1"/>
  <c r="A1115" i="4"/>
  <c r="K1114" i="4"/>
  <c r="L1114" i="4" s="1"/>
  <c r="A1114" i="4"/>
  <c r="K1113" i="4"/>
  <c r="L1113" i="4" s="1"/>
  <c r="A1113" i="4"/>
  <c r="K1112" i="4"/>
  <c r="L1112" i="4" s="1"/>
  <c r="A1112" i="4"/>
  <c r="K1111" i="4"/>
  <c r="L1111" i="4" s="1"/>
  <c r="A1111" i="4"/>
  <c r="K1110" i="4"/>
  <c r="L1110" i="4" s="1"/>
  <c r="A1110" i="4"/>
  <c r="K1109" i="4"/>
  <c r="L1109" i="4" s="1"/>
  <c r="A1109" i="4"/>
  <c r="K1108" i="4"/>
  <c r="L1108" i="4" s="1"/>
  <c r="A1108" i="4"/>
  <c r="K1107" i="4"/>
  <c r="L1107" i="4" s="1"/>
  <c r="A1107" i="4"/>
  <c r="K1106" i="4"/>
  <c r="L1106" i="4" s="1"/>
  <c r="A1106" i="4"/>
  <c r="K1105" i="4"/>
  <c r="L1105" i="4" s="1"/>
  <c r="A1105" i="4"/>
  <c r="K1104" i="4"/>
  <c r="L1104" i="4" s="1"/>
  <c r="A1104" i="4"/>
  <c r="K1103" i="4"/>
  <c r="L1103" i="4" s="1"/>
  <c r="A1103" i="4"/>
  <c r="K1102" i="4"/>
  <c r="L1102" i="4" s="1"/>
  <c r="A1102" i="4"/>
  <c r="K1101" i="4"/>
  <c r="L1101" i="4" s="1"/>
  <c r="A1101" i="4"/>
  <c r="K1100" i="4"/>
  <c r="L1100" i="4" s="1"/>
  <c r="A1100" i="4"/>
  <c r="K1099" i="4"/>
  <c r="L1099" i="4" s="1"/>
  <c r="A1099" i="4"/>
  <c r="K1098" i="4"/>
  <c r="L1098" i="4" s="1"/>
  <c r="A1098" i="4"/>
  <c r="K1097" i="4"/>
  <c r="L1097" i="4" s="1"/>
  <c r="A1097" i="4"/>
  <c r="K1096" i="4"/>
  <c r="L1096" i="4" s="1"/>
  <c r="A1096" i="4"/>
  <c r="K1095" i="4"/>
  <c r="L1095" i="4" s="1"/>
  <c r="A1095" i="4"/>
  <c r="K1094" i="4"/>
  <c r="L1094" i="4" s="1"/>
  <c r="A1094" i="4"/>
  <c r="K1093" i="4"/>
  <c r="L1093" i="4" s="1"/>
  <c r="A1093" i="4"/>
  <c r="K1092" i="4"/>
  <c r="L1092" i="4" s="1"/>
  <c r="A1092" i="4"/>
  <c r="K1091" i="4"/>
  <c r="L1091" i="4" s="1"/>
  <c r="A1091" i="4"/>
  <c r="K1090" i="4"/>
  <c r="L1090" i="4" s="1"/>
  <c r="A1090" i="4"/>
  <c r="K1089" i="4"/>
  <c r="L1089" i="4" s="1"/>
  <c r="A1089" i="4"/>
  <c r="K1088" i="4"/>
  <c r="L1088" i="4" s="1"/>
  <c r="A1088" i="4"/>
  <c r="K1087" i="4"/>
  <c r="L1087" i="4" s="1"/>
  <c r="A1087" i="4"/>
  <c r="K1086" i="4"/>
  <c r="L1086" i="4" s="1"/>
  <c r="A1086" i="4"/>
  <c r="K1085" i="4"/>
  <c r="L1085" i="4" s="1"/>
  <c r="A1085" i="4"/>
  <c r="K1084" i="4"/>
  <c r="L1084" i="4" s="1"/>
  <c r="A1084" i="4"/>
  <c r="K1083" i="4"/>
  <c r="L1083" i="4" s="1"/>
  <c r="A1083" i="4"/>
  <c r="K1082" i="4"/>
  <c r="L1082" i="4" s="1"/>
  <c r="A1082" i="4"/>
  <c r="K1081" i="4"/>
  <c r="L1081" i="4" s="1"/>
  <c r="A1081" i="4"/>
  <c r="K1080" i="4"/>
  <c r="L1080" i="4" s="1"/>
  <c r="A1080" i="4"/>
  <c r="K1079" i="4"/>
  <c r="L1079" i="4" s="1"/>
  <c r="A1079" i="4"/>
  <c r="K1078" i="4"/>
  <c r="L1078" i="4" s="1"/>
  <c r="A1078" i="4"/>
  <c r="K1077" i="4"/>
  <c r="L1077" i="4" s="1"/>
  <c r="A1077" i="4"/>
  <c r="K1076" i="4"/>
  <c r="L1076" i="4" s="1"/>
  <c r="A1076" i="4"/>
  <c r="K1075" i="4"/>
  <c r="L1075" i="4" s="1"/>
  <c r="A1075" i="4"/>
  <c r="K1074" i="4"/>
  <c r="L1074" i="4" s="1"/>
  <c r="A1074" i="4"/>
  <c r="K1073" i="4"/>
  <c r="L1073" i="4" s="1"/>
  <c r="A1073" i="4"/>
  <c r="K1072" i="4"/>
  <c r="L1072" i="4" s="1"/>
  <c r="A1072" i="4"/>
  <c r="K1071" i="4"/>
  <c r="L1071" i="4" s="1"/>
  <c r="A1071" i="4"/>
  <c r="K1070" i="4"/>
  <c r="L1070" i="4" s="1"/>
  <c r="A1070" i="4"/>
  <c r="K1069" i="4"/>
  <c r="L1069" i="4" s="1"/>
  <c r="A1069" i="4"/>
  <c r="K1068" i="4"/>
  <c r="L1068" i="4" s="1"/>
  <c r="A1068" i="4"/>
  <c r="K1067" i="4"/>
  <c r="L1067" i="4" s="1"/>
  <c r="A1067" i="4"/>
  <c r="K1066" i="4"/>
  <c r="L1066" i="4" s="1"/>
  <c r="A1066" i="4"/>
  <c r="K1065" i="4"/>
  <c r="L1065" i="4" s="1"/>
  <c r="A1065" i="4"/>
  <c r="K1064" i="4"/>
  <c r="L1064" i="4" s="1"/>
  <c r="A1064" i="4"/>
  <c r="K1063" i="4"/>
  <c r="L1063" i="4" s="1"/>
  <c r="A1063" i="4"/>
  <c r="K1062" i="4"/>
  <c r="L1062" i="4" s="1"/>
  <c r="A1062" i="4"/>
  <c r="K1061" i="4"/>
  <c r="L1061" i="4" s="1"/>
  <c r="A1061" i="4"/>
  <c r="K1060" i="4"/>
  <c r="L1060" i="4" s="1"/>
  <c r="A1060" i="4"/>
  <c r="K1059" i="4"/>
  <c r="L1059" i="4" s="1"/>
  <c r="A1059" i="4"/>
  <c r="K1058" i="4"/>
  <c r="L1058" i="4" s="1"/>
  <c r="A1058" i="4"/>
  <c r="K1057" i="4"/>
  <c r="L1057" i="4" s="1"/>
  <c r="A1057" i="4"/>
  <c r="K1056" i="4"/>
  <c r="L1056" i="4" s="1"/>
  <c r="A1056" i="4"/>
  <c r="K1055" i="4"/>
  <c r="L1055" i="4" s="1"/>
  <c r="A1055" i="4"/>
  <c r="K1054" i="4"/>
  <c r="L1054" i="4" s="1"/>
  <c r="A1054" i="4"/>
  <c r="K1053" i="4"/>
  <c r="L1053" i="4" s="1"/>
  <c r="A1053" i="4"/>
  <c r="K1052" i="4"/>
  <c r="L1052" i="4" s="1"/>
  <c r="A1052" i="4"/>
  <c r="K1051" i="4"/>
  <c r="L1051" i="4" s="1"/>
  <c r="A1051" i="4"/>
  <c r="K1050" i="4"/>
  <c r="L1050" i="4" s="1"/>
  <c r="A1050" i="4"/>
  <c r="K1049" i="4"/>
  <c r="L1049" i="4" s="1"/>
  <c r="A1049" i="4"/>
  <c r="K1048" i="4"/>
  <c r="L1048" i="4" s="1"/>
  <c r="A1048" i="4"/>
  <c r="K1047" i="4"/>
  <c r="L1047" i="4" s="1"/>
  <c r="A1047" i="4"/>
  <c r="K1046" i="4"/>
  <c r="L1046" i="4" s="1"/>
  <c r="A1046" i="4"/>
  <c r="K1045" i="4"/>
  <c r="L1045" i="4" s="1"/>
  <c r="A1045" i="4"/>
  <c r="K1044" i="4"/>
  <c r="L1044" i="4" s="1"/>
  <c r="A1044" i="4"/>
  <c r="K1043" i="4"/>
  <c r="L1043" i="4" s="1"/>
  <c r="A1043" i="4"/>
  <c r="K1042" i="4"/>
  <c r="L1042" i="4" s="1"/>
  <c r="A1042" i="4"/>
  <c r="K1041" i="4"/>
  <c r="L1041" i="4" s="1"/>
  <c r="A1041" i="4"/>
  <c r="K1040" i="4"/>
  <c r="L1040" i="4" s="1"/>
  <c r="A1040" i="4"/>
  <c r="K1039" i="4"/>
  <c r="L1039" i="4" s="1"/>
  <c r="A1039" i="4"/>
  <c r="K1038" i="4"/>
  <c r="L1038" i="4" s="1"/>
  <c r="A1038" i="4"/>
  <c r="K1037" i="4"/>
  <c r="L1037" i="4" s="1"/>
  <c r="A1037" i="4"/>
  <c r="K1036" i="4"/>
  <c r="L1036" i="4" s="1"/>
  <c r="A1036" i="4"/>
  <c r="K1035" i="4"/>
  <c r="L1035" i="4" s="1"/>
  <c r="A1035" i="4"/>
  <c r="K1034" i="4"/>
  <c r="L1034" i="4" s="1"/>
  <c r="A1034" i="4"/>
  <c r="K1033" i="4"/>
  <c r="L1033" i="4" s="1"/>
  <c r="A1033" i="4"/>
  <c r="K1032" i="4"/>
  <c r="L1032" i="4" s="1"/>
  <c r="A1032" i="4"/>
  <c r="K1031" i="4"/>
  <c r="L1031" i="4" s="1"/>
  <c r="A1031" i="4"/>
  <c r="K1030" i="4"/>
  <c r="L1030" i="4" s="1"/>
  <c r="A1030" i="4"/>
  <c r="K1029" i="4"/>
  <c r="L1029" i="4" s="1"/>
  <c r="A1029" i="4"/>
  <c r="K1028" i="4"/>
  <c r="L1028" i="4" s="1"/>
  <c r="A1028" i="4"/>
  <c r="K1027" i="4"/>
  <c r="L1027" i="4" s="1"/>
  <c r="A1027" i="4"/>
  <c r="K1026" i="4"/>
  <c r="L1026" i="4" s="1"/>
  <c r="A1026" i="4"/>
  <c r="K1025" i="4"/>
  <c r="L1025" i="4" s="1"/>
  <c r="A1025" i="4"/>
  <c r="K1024" i="4"/>
  <c r="L1024" i="4" s="1"/>
  <c r="A1024" i="4"/>
  <c r="K1023" i="4"/>
  <c r="L1023" i="4" s="1"/>
  <c r="A1023" i="4"/>
  <c r="K1022" i="4"/>
  <c r="L1022" i="4" s="1"/>
  <c r="A1022" i="4"/>
  <c r="K1021" i="4"/>
  <c r="L1021" i="4" s="1"/>
  <c r="A1021" i="4"/>
  <c r="K1020" i="4"/>
  <c r="L1020" i="4" s="1"/>
  <c r="A1020" i="4"/>
  <c r="K1019" i="4"/>
  <c r="L1019" i="4" s="1"/>
  <c r="A1019" i="4"/>
  <c r="K1018" i="4"/>
  <c r="L1018" i="4" s="1"/>
  <c r="A1018" i="4"/>
  <c r="K1017" i="4"/>
  <c r="L1017" i="4" s="1"/>
  <c r="A1017" i="4"/>
  <c r="K1016" i="4"/>
  <c r="L1016" i="4" s="1"/>
  <c r="A1016" i="4"/>
  <c r="K1015" i="4"/>
  <c r="L1015" i="4" s="1"/>
  <c r="A1015" i="4"/>
  <c r="K1014" i="4"/>
  <c r="L1014" i="4" s="1"/>
  <c r="A1014" i="4"/>
  <c r="K1013" i="4"/>
  <c r="L1013" i="4" s="1"/>
  <c r="A1013" i="4"/>
  <c r="K1012" i="4"/>
  <c r="L1012" i="4" s="1"/>
  <c r="A1012" i="4"/>
  <c r="K1011" i="4"/>
  <c r="L1011" i="4" s="1"/>
  <c r="A1011" i="4"/>
  <c r="K1010" i="4"/>
  <c r="L1010" i="4" s="1"/>
  <c r="A1010" i="4"/>
  <c r="K1009" i="4"/>
  <c r="L1009" i="4" s="1"/>
  <c r="A1009" i="4"/>
  <c r="K1008" i="4"/>
  <c r="L1008" i="4" s="1"/>
  <c r="A1008" i="4"/>
  <c r="K1007" i="4"/>
  <c r="L1007" i="4" s="1"/>
  <c r="A1007" i="4"/>
  <c r="K1006" i="4"/>
  <c r="L1006" i="4" s="1"/>
  <c r="A1006" i="4"/>
  <c r="K1005" i="4"/>
  <c r="L1005" i="4" s="1"/>
  <c r="A1005" i="4"/>
  <c r="K1004" i="4"/>
  <c r="L1004" i="4" s="1"/>
  <c r="A1004" i="4"/>
  <c r="K1003" i="4"/>
  <c r="L1003" i="4" s="1"/>
  <c r="A1003" i="4"/>
  <c r="K1002" i="4"/>
  <c r="L1002" i="4" s="1"/>
  <c r="A1002" i="4"/>
  <c r="K1001" i="4"/>
  <c r="L1001" i="4" s="1"/>
  <c r="A1001" i="4"/>
  <c r="K1000" i="4"/>
  <c r="L1000" i="4" s="1"/>
  <c r="A1000" i="4"/>
  <c r="K999" i="4"/>
  <c r="L999" i="4" s="1"/>
  <c r="A999" i="4"/>
  <c r="K998" i="4"/>
  <c r="L998" i="4" s="1"/>
  <c r="A998" i="4"/>
  <c r="K997" i="4"/>
  <c r="L997" i="4" s="1"/>
  <c r="A997" i="4"/>
  <c r="K996" i="4"/>
  <c r="L996" i="4" s="1"/>
  <c r="A996" i="4"/>
  <c r="K995" i="4"/>
  <c r="L995" i="4" s="1"/>
  <c r="A995" i="4"/>
  <c r="K994" i="4"/>
  <c r="L994" i="4" s="1"/>
  <c r="A994" i="4"/>
  <c r="K993" i="4"/>
  <c r="L993" i="4" s="1"/>
  <c r="A993" i="4"/>
  <c r="K992" i="4"/>
  <c r="L992" i="4" s="1"/>
  <c r="A992" i="4"/>
  <c r="K991" i="4"/>
  <c r="L991" i="4" s="1"/>
  <c r="A991" i="4"/>
  <c r="K990" i="4"/>
  <c r="L990" i="4" s="1"/>
  <c r="A990" i="4"/>
  <c r="K989" i="4"/>
  <c r="L989" i="4" s="1"/>
  <c r="A989" i="4"/>
  <c r="K988" i="4"/>
  <c r="L988" i="4" s="1"/>
  <c r="A988" i="4"/>
  <c r="K987" i="4"/>
  <c r="L987" i="4" s="1"/>
  <c r="A987" i="4"/>
  <c r="K986" i="4"/>
  <c r="L986" i="4" s="1"/>
  <c r="A986" i="4"/>
  <c r="K985" i="4"/>
  <c r="L985" i="4" s="1"/>
  <c r="A985" i="4"/>
  <c r="K984" i="4"/>
  <c r="L984" i="4" s="1"/>
  <c r="A984" i="4"/>
  <c r="K983" i="4"/>
  <c r="L983" i="4" s="1"/>
  <c r="A983" i="4"/>
  <c r="K982" i="4"/>
  <c r="L982" i="4" s="1"/>
  <c r="A982" i="4"/>
  <c r="K981" i="4"/>
  <c r="L981" i="4" s="1"/>
  <c r="A981" i="4"/>
  <c r="K980" i="4"/>
  <c r="L980" i="4" s="1"/>
  <c r="A980" i="4"/>
  <c r="K979" i="4"/>
  <c r="L979" i="4" s="1"/>
  <c r="A979" i="4"/>
  <c r="K978" i="4"/>
  <c r="L978" i="4" s="1"/>
  <c r="A978" i="4"/>
  <c r="K977" i="4"/>
  <c r="L977" i="4" s="1"/>
  <c r="A977" i="4"/>
  <c r="K976" i="4"/>
  <c r="L976" i="4" s="1"/>
  <c r="A976" i="4"/>
  <c r="K975" i="4"/>
  <c r="L975" i="4" s="1"/>
  <c r="A975" i="4"/>
  <c r="K974" i="4"/>
  <c r="L974" i="4" s="1"/>
  <c r="A974" i="4"/>
  <c r="K973" i="4"/>
  <c r="L973" i="4" s="1"/>
  <c r="A973" i="4"/>
  <c r="K972" i="4"/>
  <c r="L972" i="4" s="1"/>
  <c r="A972" i="4"/>
  <c r="K971" i="4"/>
  <c r="L971" i="4" s="1"/>
  <c r="A971" i="4"/>
  <c r="K970" i="4"/>
  <c r="L970" i="4" s="1"/>
  <c r="A970" i="4"/>
  <c r="K969" i="4"/>
  <c r="L969" i="4" s="1"/>
  <c r="A969" i="4"/>
  <c r="K968" i="4"/>
  <c r="L968" i="4" s="1"/>
  <c r="A968" i="4"/>
  <c r="K967" i="4"/>
  <c r="L967" i="4" s="1"/>
  <c r="A967" i="4"/>
  <c r="K966" i="4"/>
  <c r="L966" i="4" s="1"/>
  <c r="A966" i="4"/>
  <c r="K965" i="4"/>
  <c r="L965" i="4" s="1"/>
  <c r="A965" i="4"/>
  <c r="K964" i="4"/>
  <c r="L964" i="4" s="1"/>
  <c r="A964" i="4"/>
  <c r="K963" i="4"/>
  <c r="L963" i="4" s="1"/>
  <c r="A963" i="4"/>
  <c r="K962" i="4"/>
  <c r="L962" i="4" s="1"/>
  <c r="A962" i="4"/>
  <c r="K961" i="4"/>
  <c r="L961" i="4" s="1"/>
  <c r="A961" i="4"/>
  <c r="K960" i="4"/>
  <c r="L960" i="4" s="1"/>
  <c r="A960" i="4"/>
  <c r="K959" i="4"/>
  <c r="L959" i="4" s="1"/>
  <c r="A959" i="4"/>
  <c r="K958" i="4"/>
  <c r="L958" i="4" s="1"/>
  <c r="A958" i="4"/>
  <c r="K957" i="4"/>
  <c r="L957" i="4" s="1"/>
  <c r="A957" i="4"/>
  <c r="K956" i="4"/>
  <c r="L956" i="4" s="1"/>
  <c r="A956" i="4"/>
  <c r="K955" i="4"/>
  <c r="L955" i="4" s="1"/>
  <c r="A955" i="4"/>
  <c r="K954" i="4"/>
  <c r="L954" i="4" s="1"/>
  <c r="A954" i="4"/>
  <c r="K953" i="4"/>
  <c r="L953" i="4" s="1"/>
  <c r="A953" i="4"/>
  <c r="K952" i="4"/>
  <c r="L952" i="4" s="1"/>
  <c r="A952" i="4"/>
  <c r="K951" i="4"/>
  <c r="L951" i="4" s="1"/>
  <c r="A951" i="4"/>
  <c r="K950" i="4"/>
  <c r="L950" i="4" s="1"/>
  <c r="A950" i="4"/>
  <c r="K949" i="4"/>
  <c r="L949" i="4" s="1"/>
  <c r="A949" i="4"/>
  <c r="K948" i="4"/>
  <c r="L948" i="4" s="1"/>
  <c r="A948" i="4"/>
  <c r="K947" i="4"/>
  <c r="L947" i="4" s="1"/>
  <c r="A947" i="4"/>
  <c r="K946" i="4"/>
  <c r="L946" i="4" s="1"/>
  <c r="A946" i="4"/>
  <c r="K945" i="4"/>
  <c r="L945" i="4" s="1"/>
  <c r="A945" i="4"/>
  <c r="K944" i="4"/>
  <c r="L944" i="4" s="1"/>
  <c r="A944" i="4"/>
  <c r="K943" i="4"/>
  <c r="L943" i="4" s="1"/>
  <c r="A943" i="4"/>
  <c r="K942" i="4"/>
  <c r="L942" i="4" s="1"/>
  <c r="A942" i="4"/>
  <c r="K941" i="4"/>
  <c r="L941" i="4" s="1"/>
  <c r="A941" i="4"/>
  <c r="K940" i="4"/>
  <c r="L940" i="4" s="1"/>
  <c r="A940" i="4"/>
  <c r="K939" i="4"/>
  <c r="L939" i="4" s="1"/>
  <c r="A939" i="4"/>
  <c r="K938" i="4"/>
  <c r="L938" i="4" s="1"/>
  <c r="A938" i="4"/>
  <c r="K937" i="4"/>
  <c r="L937" i="4" s="1"/>
  <c r="A937" i="4"/>
  <c r="K936" i="4"/>
  <c r="L936" i="4" s="1"/>
  <c r="A936" i="4"/>
  <c r="K935" i="4"/>
  <c r="L935" i="4" s="1"/>
  <c r="A935" i="4"/>
  <c r="K934" i="4"/>
  <c r="L934" i="4" s="1"/>
  <c r="A934" i="4"/>
  <c r="K933" i="4"/>
  <c r="L933" i="4" s="1"/>
  <c r="A933" i="4"/>
  <c r="K932" i="4"/>
  <c r="L932" i="4" s="1"/>
  <c r="A932" i="4"/>
  <c r="K931" i="4"/>
  <c r="L931" i="4" s="1"/>
  <c r="A931" i="4"/>
  <c r="K930" i="4"/>
  <c r="L930" i="4" s="1"/>
  <c r="A930" i="4"/>
  <c r="K929" i="4"/>
  <c r="L929" i="4" s="1"/>
  <c r="A929" i="4"/>
  <c r="K928" i="4"/>
  <c r="L928" i="4" s="1"/>
  <c r="A928" i="4"/>
  <c r="K927" i="4"/>
  <c r="L927" i="4" s="1"/>
  <c r="A927" i="4"/>
  <c r="K926" i="4"/>
  <c r="L926" i="4" s="1"/>
  <c r="A926" i="4"/>
  <c r="K925" i="4"/>
  <c r="L925" i="4" s="1"/>
  <c r="A925" i="4"/>
  <c r="K924" i="4"/>
  <c r="L924" i="4" s="1"/>
  <c r="A924" i="4"/>
  <c r="K923" i="4"/>
  <c r="L923" i="4" s="1"/>
  <c r="A923" i="4"/>
  <c r="K922" i="4"/>
  <c r="L922" i="4" s="1"/>
  <c r="A922" i="4"/>
  <c r="K921" i="4"/>
  <c r="L921" i="4" s="1"/>
  <c r="A921" i="4"/>
  <c r="K920" i="4"/>
  <c r="L920" i="4" s="1"/>
  <c r="A920" i="4"/>
  <c r="K919" i="4"/>
  <c r="L919" i="4" s="1"/>
  <c r="A919" i="4"/>
  <c r="K918" i="4"/>
  <c r="L918" i="4" s="1"/>
  <c r="A918" i="4"/>
  <c r="K917" i="4"/>
  <c r="L917" i="4" s="1"/>
  <c r="A917" i="4"/>
  <c r="K916" i="4"/>
  <c r="L916" i="4" s="1"/>
  <c r="A916" i="4"/>
  <c r="K915" i="4"/>
  <c r="L915" i="4" s="1"/>
  <c r="A915" i="4"/>
  <c r="K914" i="4"/>
  <c r="L914" i="4" s="1"/>
  <c r="A914" i="4"/>
  <c r="K913" i="4"/>
  <c r="L913" i="4" s="1"/>
  <c r="A913" i="4"/>
  <c r="K912" i="4"/>
  <c r="L912" i="4" s="1"/>
  <c r="A912" i="4"/>
  <c r="K911" i="4"/>
  <c r="L911" i="4" s="1"/>
  <c r="A911" i="4"/>
  <c r="K910" i="4"/>
  <c r="L910" i="4" s="1"/>
  <c r="A910" i="4"/>
  <c r="K909" i="4"/>
  <c r="L909" i="4" s="1"/>
  <c r="A909" i="4"/>
  <c r="K908" i="4"/>
  <c r="L908" i="4" s="1"/>
  <c r="A908" i="4"/>
  <c r="K907" i="4"/>
  <c r="L907" i="4" s="1"/>
  <c r="A907" i="4"/>
  <c r="K906" i="4"/>
  <c r="L906" i="4" s="1"/>
  <c r="A906" i="4"/>
  <c r="K905" i="4"/>
  <c r="L905" i="4" s="1"/>
  <c r="A905" i="4"/>
  <c r="K904" i="4"/>
  <c r="L904" i="4" s="1"/>
  <c r="A904" i="4"/>
  <c r="K903" i="4"/>
  <c r="L903" i="4" s="1"/>
  <c r="A903" i="4"/>
  <c r="K902" i="4"/>
  <c r="L902" i="4" s="1"/>
  <c r="A902" i="4"/>
  <c r="K901" i="4"/>
  <c r="L901" i="4" s="1"/>
  <c r="A901" i="4"/>
  <c r="K900" i="4"/>
  <c r="L900" i="4" s="1"/>
  <c r="A900" i="4"/>
  <c r="K899" i="4"/>
  <c r="L899" i="4" s="1"/>
  <c r="A899" i="4"/>
  <c r="K898" i="4"/>
  <c r="L898" i="4" s="1"/>
  <c r="A898" i="4"/>
  <c r="K897" i="4"/>
  <c r="L897" i="4" s="1"/>
  <c r="A897" i="4"/>
  <c r="K896" i="4"/>
  <c r="L896" i="4" s="1"/>
  <c r="A896" i="4"/>
  <c r="K895" i="4"/>
  <c r="L895" i="4" s="1"/>
  <c r="A895" i="4"/>
  <c r="K894" i="4"/>
  <c r="L894" i="4" s="1"/>
  <c r="A894" i="4"/>
  <c r="K893" i="4"/>
  <c r="L893" i="4" s="1"/>
  <c r="A893" i="4"/>
  <c r="K892" i="4"/>
  <c r="L892" i="4" s="1"/>
  <c r="A892" i="4"/>
  <c r="K891" i="4"/>
  <c r="L891" i="4" s="1"/>
  <c r="A891" i="4"/>
  <c r="K890" i="4"/>
  <c r="L890" i="4" s="1"/>
  <c r="A890" i="4"/>
  <c r="K889" i="4"/>
  <c r="L889" i="4" s="1"/>
  <c r="A889" i="4"/>
  <c r="K888" i="4"/>
  <c r="L888" i="4" s="1"/>
  <c r="A888" i="4"/>
  <c r="K887" i="4"/>
  <c r="L887" i="4" s="1"/>
  <c r="A887" i="4"/>
  <c r="K886" i="4"/>
  <c r="L886" i="4" s="1"/>
  <c r="A886" i="4"/>
  <c r="K885" i="4"/>
  <c r="L885" i="4" s="1"/>
  <c r="A885" i="4"/>
  <c r="K884" i="4"/>
  <c r="L884" i="4" s="1"/>
  <c r="A884" i="4"/>
  <c r="K883" i="4"/>
  <c r="L883" i="4" s="1"/>
  <c r="A883" i="4"/>
  <c r="K882" i="4"/>
  <c r="L882" i="4" s="1"/>
  <c r="A882" i="4"/>
  <c r="K881" i="4"/>
  <c r="L881" i="4" s="1"/>
  <c r="A881" i="4"/>
  <c r="K880" i="4"/>
  <c r="L880" i="4" s="1"/>
  <c r="A880" i="4"/>
  <c r="K879" i="4"/>
  <c r="L879" i="4" s="1"/>
  <c r="A879" i="4"/>
  <c r="K878" i="4"/>
  <c r="L878" i="4" s="1"/>
  <c r="A878" i="4"/>
  <c r="K877" i="4"/>
  <c r="L877" i="4" s="1"/>
  <c r="A877" i="4"/>
  <c r="K876" i="4"/>
  <c r="L876" i="4" s="1"/>
  <c r="A876" i="4"/>
  <c r="K875" i="4"/>
  <c r="L875" i="4" s="1"/>
  <c r="A875" i="4"/>
  <c r="K874" i="4"/>
  <c r="L874" i="4" s="1"/>
  <c r="A874" i="4"/>
  <c r="K873" i="4"/>
  <c r="L873" i="4" s="1"/>
  <c r="A873" i="4"/>
  <c r="K872" i="4"/>
  <c r="L872" i="4" s="1"/>
  <c r="A872" i="4"/>
  <c r="K871" i="4"/>
  <c r="L871" i="4" s="1"/>
  <c r="A871" i="4"/>
  <c r="K870" i="4"/>
  <c r="L870" i="4" s="1"/>
  <c r="A870" i="4"/>
  <c r="K869" i="4"/>
  <c r="L869" i="4" s="1"/>
  <c r="A869" i="4"/>
  <c r="K868" i="4"/>
  <c r="L868" i="4" s="1"/>
  <c r="A868" i="4"/>
  <c r="K867" i="4"/>
  <c r="L867" i="4" s="1"/>
  <c r="A867" i="4"/>
  <c r="K866" i="4"/>
  <c r="L866" i="4" s="1"/>
  <c r="A866" i="4"/>
  <c r="K865" i="4"/>
  <c r="L865" i="4" s="1"/>
  <c r="A865" i="4"/>
  <c r="K864" i="4"/>
  <c r="L864" i="4" s="1"/>
  <c r="A864" i="4"/>
  <c r="K863" i="4"/>
  <c r="L863" i="4" s="1"/>
  <c r="A863" i="4"/>
  <c r="K862" i="4"/>
  <c r="L862" i="4" s="1"/>
  <c r="A862" i="4"/>
  <c r="K861" i="4"/>
  <c r="L861" i="4" s="1"/>
  <c r="A861" i="4"/>
  <c r="K860" i="4"/>
  <c r="L860" i="4" s="1"/>
  <c r="A860" i="4"/>
  <c r="K859" i="4"/>
  <c r="L859" i="4" s="1"/>
  <c r="A859" i="4"/>
  <c r="K858" i="4"/>
  <c r="L858" i="4" s="1"/>
  <c r="A858" i="4"/>
  <c r="K857" i="4"/>
  <c r="L857" i="4" s="1"/>
  <c r="A857" i="4"/>
  <c r="K856" i="4"/>
  <c r="L856" i="4" s="1"/>
  <c r="A856" i="4"/>
  <c r="K855" i="4"/>
  <c r="L855" i="4" s="1"/>
  <c r="A855" i="4"/>
  <c r="K854" i="4"/>
  <c r="L854" i="4" s="1"/>
  <c r="A854" i="4"/>
  <c r="K853" i="4"/>
  <c r="L853" i="4" s="1"/>
  <c r="A853" i="4"/>
  <c r="K852" i="4"/>
  <c r="L852" i="4" s="1"/>
  <c r="A852" i="4"/>
  <c r="K851" i="4"/>
  <c r="L851" i="4" s="1"/>
  <c r="A851" i="4"/>
  <c r="K850" i="4"/>
  <c r="L850" i="4" s="1"/>
  <c r="A850" i="4"/>
  <c r="K849" i="4"/>
  <c r="L849" i="4" s="1"/>
  <c r="A849" i="4"/>
  <c r="K848" i="4"/>
  <c r="L848" i="4" s="1"/>
  <c r="A848" i="4"/>
  <c r="K847" i="4"/>
  <c r="L847" i="4" s="1"/>
  <c r="A847" i="4"/>
  <c r="K846" i="4"/>
  <c r="L846" i="4" s="1"/>
  <c r="A846" i="4"/>
  <c r="K845" i="4"/>
  <c r="L845" i="4" s="1"/>
  <c r="A845" i="4"/>
  <c r="K844" i="4"/>
  <c r="L844" i="4" s="1"/>
  <c r="A844" i="4"/>
  <c r="K843" i="4"/>
  <c r="L843" i="4" s="1"/>
  <c r="A843" i="4"/>
  <c r="K842" i="4"/>
  <c r="L842" i="4" s="1"/>
  <c r="A842" i="4"/>
  <c r="K841" i="4"/>
  <c r="L841" i="4" s="1"/>
  <c r="A841" i="4"/>
  <c r="K840" i="4"/>
  <c r="L840" i="4" s="1"/>
  <c r="A840" i="4"/>
  <c r="K839" i="4"/>
  <c r="L839" i="4" s="1"/>
  <c r="A839" i="4"/>
  <c r="K838" i="4"/>
  <c r="L838" i="4" s="1"/>
  <c r="A838" i="4"/>
  <c r="K837" i="4"/>
  <c r="L837" i="4" s="1"/>
  <c r="A837" i="4"/>
  <c r="K836" i="4"/>
  <c r="L836" i="4" s="1"/>
  <c r="A836" i="4"/>
  <c r="K835" i="4"/>
  <c r="L835" i="4" s="1"/>
  <c r="A835" i="4"/>
  <c r="K834" i="4"/>
  <c r="L834" i="4" s="1"/>
  <c r="A834" i="4"/>
  <c r="K833" i="4"/>
  <c r="L833" i="4" s="1"/>
  <c r="A833" i="4"/>
  <c r="K832" i="4"/>
  <c r="L832" i="4" s="1"/>
  <c r="A832" i="4"/>
  <c r="K831" i="4"/>
  <c r="L831" i="4" s="1"/>
  <c r="A831" i="4"/>
  <c r="K830" i="4"/>
  <c r="L830" i="4" s="1"/>
  <c r="A830" i="4"/>
  <c r="K829" i="4"/>
  <c r="L829" i="4" s="1"/>
  <c r="A829" i="4"/>
  <c r="K828" i="4"/>
  <c r="L828" i="4" s="1"/>
  <c r="A828" i="4"/>
  <c r="K827" i="4"/>
  <c r="L827" i="4" s="1"/>
  <c r="A827" i="4"/>
  <c r="K826" i="4"/>
  <c r="L826" i="4" s="1"/>
  <c r="A826" i="4"/>
  <c r="K825" i="4"/>
  <c r="L825" i="4" s="1"/>
  <c r="A825" i="4"/>
  <c r="K824" i="4"/>
  <c r="L824" i="4" s="1"/>
  <c r="A824" i="4"/>
  <c r="K823" i="4"/>
  <c r="L823" i="4" s="1"/>
  <c r="A823" i="4"/>
  <c r="K822" i="4"/>
  <c r="L822" i="4" s="1"/>
  <c r="A822" i="4"/>
  <c r="K821" i="4"/>
  <c r="L821" i="4" s="1"/>
  <c r="A821" i="4"/>
  <c r="K820" i="4"/>
  <c r="L820" i="4" s="1"/>
  <c r="A820" i="4"/>
  <c r="K819" i="4"/>
  <c r="L819" i="4" s="1"/>
  <c r="A819" i="4"/>
  <c r="K818" i="4"/>
  <c r="L818" i="4" s="1"/>
  <c r="A818" i="4"/>
  <c r="K817" i="4"/>
  <c r="L817" i="4" s="1"/>
  <c r="A817" i="4"/>
  <c r="K816" i="4"/>
  <c r="L816" i="4" s="1"/>
  <c r="A816" i="4"/>
  <c r="K815" i="4"/>
  <c r="L815" i="4" s="1"/>
  <c r="A815" i="4"/>
  <c r="K814" i="4"/>
  <c r="L814" i="4" s="1"/>
  <c r="A814" i="4"/>
  <c r="K813" i="4"/>
  <c r="L813" i="4" s="1"/>
  <c r="A813" i="4"/>
  <c r="K812" i="4"/>
  <c r="L812" i="4" s="1"/>
  <c r="A812" i="4"/>
  <c r="K811" i="4"/>
  <c r="L811" i="4" s="1"/>
  <c r="A811" i="4"/>
  <c r="K810" i="4"/>
  <c r="L810" i="4" s="1"/>
  <c r="A810" i="4"/>
  <c r="K809" i="4"/>
  <c r="L809" i="4" s="1"/>
  <c r="A809" i="4"/>
  <c r="K808" i="4"/>
  <c r="L808" i="4" s="1"/>
  <c r="A808" i="4"/>
  <c r="K807" i="4"/>
  <c r="L807" i="4" s="1"/>
  <c r="A807" i="4"/>
  <c r="K806" i="4"/>
  <c r="L806" i="4" s="1"/>
  <c r="A806" i="4"/>
  <c r="K805" i="4"/>
  <c r="L805" i="4" s="1"/>
  <c r="A805" i="4"/>
  <c r="K804" i="4"/>
  <c r="L804" i="4" s="1"/>
  <c r="A804" i="4"/>
  <c r="K803" i="4"/>
  <c r="L803" i="4" s="1"/>
  <c r="A803" i="4"/>
  <c r="K802" i="4"/>
  <c r="L802" i="4" s="1"/>
  <c r="A802" i="4"/>
  <c r="K801" i="4"/>
  <c r="L801" i="4" s="1"/>
  <c r="A801" i="4"/>
  <c r="K800" i="4"/>
  <c r="L800" i="4" s="1"/>
  <c r="A800" i="4"/>
  <c r="K799" i="4"/>
  <c r="L799" i="4" s="1"/>
  <c r="A799" i="4"/>
  <c r="K798" i="4"/>
  <c r="L798" i="4" s="1"/>
  <c r="A798" i="4"/>
  <c r="K797" i="4"/>
  <c r="L797" i="4" s="1"/>
  <c r="A797" i="4"/>
  <c r="K796" i="4"/>
  <c r="L796" i="4" s="1"/>
  <c r="A796" i="4"/>
  <c r="K795" i="4"/>
  <c r="L795" i="4" s="1"/>
  <c r="A795" i="4"/>
  <c r="K794" i="4"/>
  <c r="L794" i="4" s="1"/>
  <c r="A794" i="4"/>
  <c r="K793" i="4"/>
  <c r="L793" i="4" s="1"/>
  <c r="A793" i="4"/>
  <c r="K792" i="4"/>
  <c r="L792" i="4" s="1"/>
  <c r="A792" i="4"/>
  <c r="K791" i="4"/>
  <c r="L791" i="4" s="1"/>
  <c r="A791" i="4"/>
  <c r="K790" i="4"/>
  <c r="L790" i="4" s="1"/>
  <c r="A790" i="4"/>
  <c r="K789" i="4"/>
  <c r="L789" i="4" s="1"/>
  <c r="A789" i="4"/>
  <c r="K788" i="4"/>
  <c r="L788" i="4" s="1"/>
  <c r="A788" i="4"/>
  <c r="K787" i="4"/>
  <c r="L787" i="4" s="1"/>
  <c r="A787" i="4"/>
  <c r="K786" i="4"/>
  <c r="L786" i="4" s="1"/>
  <c r="A786" i="4"/>
  <c r="K785" i="4"/>
  <c r="L785" i="4" s="1"/>
  <c r="A785" i="4"/>
  <c r="K784" i="4"/>
  <c r="L784" i="4" s="1"/>
  <c r="A784" i="4"/>
  <c r="K783" i="4"/>
  <c r="L783" i="4" s="1"/>
  <c r="A783" i="4"/>
  <c r="K782" i="4"/>
  <c r="L782" i="4" s="1"/>
  <c r="A782" i="4"/>
  <c r="K781" i="4"/>
  <c r="L781" i="4" s="1"/>
  <c r="A781" i="4"/>
  <c r="K780" i="4"/>
  <c r="L780" i="4" s="1"/>
  <c r="A780" i="4"/>
  <c r="K779" i="4"/>
  <c r="L779" i="4" s="1"/>
  <c r="A779" i="4"/>
  <c r="K778" i="4"/>
  <c r="L778" i="4" s="1"/>
  <c r="A778" i="4"/>
  <c r="K777" i="4"/>
  <c r="L777" i="4" s="1"/>
  <c r="A777" i="4"/>
  <c r="K776" i="4"/>
  <c r="L776" i="4" s="1"/>
  <c r="A776" i="4"/>
  <c r="K775" i="4"/>
  <c r="L775" i="4" s="1"/>
  <c r="A775" i="4"/>
  <c r="K774" i="4"/>
  <c r="L774" i="4" s="1"/>
  <c r="A774" i="4"/>
  <c r="K773" i="4"/>
  <c r="L773" i="4" s="1"/>
  <c r="A773" i="4"/>
  <c r="K772" i="4"/>
  <c r="L772" i="4" s="1"/>
  <c r="A772" i="4"/>
  <c r="K771" i="4"/>
  <c r="L771" i="4" s="1"/>
  <c r="A771" i="4"/>
  <c r="K770" i="4"/>
  <c r="L770" i="4" s="1"/>
  <c r="A770" i="4"/>
  <c r="K769" i="4"/>
  <c r="L769" i="4" s="1"/>
  <c r="A769" i="4"/>
  <c r="K768" i="4"/>
  <c r="L768" i="4" s="1"/>
  <c r="A768" i="4"/>
  <c r="K767" i="4"/>
  <c r="L767" i="4" s="1"/>
  <c r="A767" i="4"/>
  <c r="K766" i="4"/>
  <c r="L766" i="4" s="1"/>
  <c r="A766" i="4"/>
  <c r="K765" i="4"/>
  <c r="L765" i="4" s="1"/>
  <c r="A765" i="4"/>
  <c r="K764" i="4"/>
  <c r="L764" i="4" s="1"/>
  <c r="A764" i="4"/>
  <c r="K763" i="4"/>
  <c r="L763" i="4" s="1"/>
  <c r="A763" i="4"/>
  <c r="K762" i="4"/>
  <c r="L762" i="4" s="1"/>
  <c r="A762" i="4"/>
  <c r="K761" i="4"/>
  <c r="L761" i="4" s="1"/>
  <c r="A761" i="4"/>
  <c r="K760" i="4"/>
  <c r="L760" i="4" s="1"/>
  <c r="A760" i="4"/>
  <c r="K759" i="4"/>
  <c r="L759" i="4" s="1"/>
  <c r="A759" i="4"/>
  <c r="K758" i="4"/>
  <c r="L758" i="4" s="1"/>
  <c r="A758" i="4"/>
  <c r="K757" i="4"/>
  <c r="L757" i="4" s="1"/>
  <c r="A757" i="4"/>
  <c r="K756" i="4"/>
  <c r="L756" i="4" s="1"/>
  <c r="A756" i="4"/>
  <c r="K755" i="4"/>
  <c r="L755" i="4" s="1"/>
  <c r="A755" i="4"/>
  <c r="K754" i="4"/>
  <c r="L754" i="4" s="1"/>
  <c r="A754" i="4"/>
  <c r="K753" i="4"/>
  <c r="L753" i="4" s="1"/>
  <c r="A753" i="4"/>
  <c r="K752" i="4"/>
  <c r="L752" i="4" s="1"/>
  <c r="A752" i="4"/>
  <c r="K751" i="4"/>
  <c r="L751" i="4" s="1"/>
  <c r="A751" i="4"/>
  <c r="K750" i="4"/>
  <c r="L750" i="4" s="1"/>
  <c r="A750" i="4"/>
  <c r="K749" i="4"/>
  <c r="L749" i="4" s="1"/>
  <c r="A749" i="4"/>
  <c r="K748" i="4"/>
  <c r="L748" i="4" s="1"/>
  <c r="A748" i="4"/>
  <c r="K747" i="4"/>
  <c r="L747" i="4" s="1"/>
  <c r="A747" i="4"/>
  <c r="K746" i="4"/>
  <c r="L746" i="4" s="1"/>
  <c r="A746" i="4"/>
  <c r="K745" i="4"/>
  <c r="L745" i="4" s="1"/>
  <c r="A745" i="4"/>
  <c r="K744" i="4"/>
  <c r="L744" i="4" s="1"/>
  <c r="A744" i="4"/>
  <c r="K743" i="4"/>
  <c r="L743" i="4" s="1"/>
  <c r="A743" i="4"/>
  <c r="K742" i="4"/>
  <c r="L742" i="4" s="1"/>
  <c r="A742" i="4"/>
  <c r="K741" i="4"/>
  <c r="L741" i="4" s="1"/>
  <c r="A741" i="4"/>
  <c r="K740" i="4"/>
  <c r="L740" i="4" s="1"/>
  <c r="A740" i="4"/>
  <c r="K739" i="4"/>
  <c r="L739" i="4" s="1"/>
  <c r="A739" i="4"/>
  <c r="K738" i="4"/>
  <c r="L738" i="4" s="1"/>
  <c r="A738" i="4"/>
  <c r="K737" i="4"/>
  <c r="L737" i="4" s="1"/>
  <c r="A737" i="4"/>
  <c r="K736" i="4"/>
  <c r="L736" i="4" s="1"/>
  <c r="A736" i="4"/>
  <c r="K735" i="4"/>
  <c r="L735" i="4" s="1"/>
  <c r="A735" i="4"/>
  <c r="K734" i="4"/>
  <c r="L734" i="4" s="1"/>
  <c r="A734" i="4"/>
  <c r="K733" i="4"/>
  <c r="L733" i="4" s="1"/>
  <c r="A733" i="4"/>
  <c r="K732" i="4"/>
  <c r="L732" i="4" s="1"/>
  <c r="A732" i="4"/>
  <c r="K731" i="4"/>
  <c r="L731" i="4" s="1"/>
  <c r="A731" i="4"/>
  <c r="K730" i="4"/>
  <c r="L730" i="4" s="1"/>
  <c r="A730" i="4"/>
  <c r="K729" i="4"/>
  <c r="L729" i="4" s="1"/>
  <c r="A729" i="4"/>
  <c r="K728" i="4"/>
  <c r="L728" i="4" s="1"/>
  <c r="A728" i="4"/>
  <c r="K727" i="4"/>
  <c r="L727" i="4" s="1"/>
  <c r="A727" i="4"/>
  <c r="K726" i="4"/>
  <c r="L726" i="4" s="1"/>
  <c r="A726" i="4"/>
  <c r="K725" i="4"/>
  <c r="L725" i="4" s="1"/>
  <c r="A725" i="4"/>
  <c r="K724" i="4"/>
  <c r="L724" i="4" s="1"/>
  <c r="A724" i="4"/>
  <c r="K723" i="4"/>
  <c r="L723" i="4" s="1"/>
  <c r="A723" i="4"/>
  <c r="K722" i="4"/>
  <c r="L722" i="4" s="1"/>
  <c r="A722" i="4"/>
  <c r="K721" i="4"/>
  <c r="L721" i="4" s="1"/>
  <c r="A721" i="4"/>
  <c r="K720" i="4"/>
  <c r="L720" i="4" s="1"/>
  <c r="A720" i="4"/>
  <c r="K719" i="4"/>
  <c r="L719" i="4" s="1"/>
  <c r="A719" i="4"/>
  <c r="K718" i="4"/>
  <c r="L718" i="4" s="1"/>
  <c r="A718" i="4"/>
  <c r="K717" i="4"/>
  <c r="L717" i="4" s="1"/>
  <c r="A717" i="4"/>
  <c r="K716" i="4"/>
  <c r="L716" i="4" s="1"/>
  <c r="A716" i="4"/>
  <c r="K715" i="4"/>
  <c r="L715" i="4" s="1"/>
  <c r="A715" i="4"/>
  <c r="K714" i="4"/>
  <c r="L714" i="4" s="1"/>
  <c r="A714" i="4"/>
  <c r="K713" i="4"/>
  <c r="L713" i="4" s="1"/>
  <c r="A713" i="4"/>
  <c r="K712" i="4"/>
  <c r="L712" i="4" s="1"/>
  <c r="A712" i="4"/>
  <c r="K711" i="4"/>
  <c r="L711" i="4" s="1"/>
  <c r="A711" i="4"/>
  <c r="K710" i="4"/>
  <c r="L710" i="4" s="1"/>
  <c r="A710" i="4"/>
  <c r="K709" i="4"/>
  <c r="L709" i="4" s="1"/>
  <c r="A709" i="4"/>
  <c r="K708" i="4"/>
  <c r="L708" i="4" s="1"/>
  <c r="A708" i="4"/>
  <c r="K707" i="4"/>
  <c r="L707" i="4" s="1"/>
  <c r="A707" i="4"/>
  <c r="K706" i="4"/>
  <c r="L706" i="4" s="1"/>
  <c r="A706" i="4"/>
  <c r="K705" i="4"/>
  <c r="L705" i="4" s="1"/>
  <c r="A705" i="4"/>
  <c r="K704" i="4"/>
  <c r="L704" i="4" s="1"/>
  <c r="A704" i="4"/>
  <c r="K703" i="4"/>
  <c r="L703" i="4" s="1"/>
  <c r="A703" i="4"/>
  <c r="K702" i="4"/>
  <c r="L702" i="4" s="1"/>
  <c r="A702" i="4"/>
  <c r="K701" i="4"/>
  <c r="L701" i="4" s="1"/>
  <c r="A701" i="4"/>
  <c r="K700" i="4"/>
  <c r="L700" i="4" s="1"/>
  <c r="A700" i="4"/>
  <c r="K699" i="4"/>
  <c r="L699" i="4" s="1"/>
  <c r="A699" i="4"/>
  <c r="K698" i="4"/>
  <c r="L698" i="4" s="1"/>
  <c r="A698" i="4"/>
  <c r="K697" i="4"/>
  <c r="L697" i="4" s="1"/>
  <c r="A697" i="4"/>
  <c r="K696" i="4"/>
  <c r="L696" i="4" s="1"/>
  <c r="A696" i="4"/>
  <c r="K695" i="4"/>
  <c r="L695" i="4" s="1"/>
  <c r="A695" i="4"/>
  <c r="K694" i="4"/>
  <c r="L694" i="4" s="1"/>
  <c r="A694" i="4"/>
  <c r="K693" i="4"/>
  <c r="L693" i="4" s="1"/>
  <c r="A693" i="4"/>
  <c r="K692" i="4"/>
  <c r="L692" i="4" s="1"/>
  <c r="A692" i="4"/>
  <c r="K691" i="4"/>
  <c r="L691" i="4" s="1"/>
  <c r="A691" i="4"/>
  <c r="K690" i="4"/>
  <c r="L690" i="4" s="1"/>
  <c r="A690" i="4"/>
  <c r="K689" i="4"/>
  <c r="L689" i="4" s="1"/>
  <c r="A689" i="4"/>
  <c r="K688" i="4"/>
  <c r="L688" i="4" s="1"/>
  <c r="A688" i="4"/>
  <c r="K687" i="4"/>
  <c r="L687" i="4" s="1"/>
  <c r="A687" i="4"/>
  <c r="K686" i="4"/>
  <c r="L686" i="4" s="1"/>
  <c r="A686" i="4"/>
  <c r="K685" i="4"/>
  <c r="L685" i="4" s="1"/>
  <c r="A685" i="4"/>
  <c r="K684" i="4"/>
  <c r="L684" i="4" s="1"/>
  <c r="A684" i="4"/>
  <c r="K683" i="4"/>
  <c r="L683" i="4" s="1"/>
  <c r="A683" i="4"/>
  <c r="K682" i="4"/>
  <c r="L682" i="4" s="1"/>
  <c r="A682" i="4"/>
  <c r="K681" i="4"/>
  <c r="L681" i="4" s="1"/>
  <c r="A681" i="4"/>
  <c r="K680" i="4"/>
  <c r="L680" i="4" s="1"/>
  <c r="A680" i="4"/>
  <c r="K679" i="4"/>
  <c r="L679" i="4" s="1"/>
  <c r="A679" i="4"/>
  <c r="K678" i="4"/>
  <c r="L678" i="4" s="1"/>
  <c r="A678" i="4"/>
  <c r="K677" i="4"/>
  <c r="L677" i="4" s="1"/>
  <c r="A677" i="4"/>
  <c r="K676" i="4"/>
  <c r="L676" i="4" s="1"/>
  <c r="A676" i="4"/>
  <c r="K675" i="4"/>
  <c r="L675" i="4" s="1"/>
  <c r="A675" i="4"/>
  <c r="K674" i="4"/>
  <c r="L674" i="4" s="1"/>
  <c r="A674" i="4"/>
  <c r="K673" i="4"/>
  <c r="L673" i="4" s="1"/>
  <c r="A673" i="4"/>
  <c r="K672" i="4"/>
  <c r="L672" i="4" s="1"/>
  <c r="A672" i="4"/>
  <c r="K671" i="4"/>
  <c r="L671" i="4" s="1"/>
  <c r="A671" i="4"/>
  <c r="K670" i="4"/>
  <c r="L670" i="4" s="1"/>
  <c r="A670" i="4"/>
  <c r="K669" i="4"/>
  <c r="L669" i="4" s="1"/>
  <c r="A669" i="4"/>
  <c r="K668" i="4"/>
  <c r="L668" i="4" s="1"/>
  <c r="A668" i="4"/>
  <c r="K667" i="4"/>
  <c r="L667" i="4" s="1"/>
  <c r="A667" i="4"/>
  <c r="K666" i="4"/>
  <c r="L666" i="4" s="1"/>
  <c r="A666" i="4"/>
  <c r="K665" i="4"/>
  <c r="L665" i="4" s="1"/>
  <c r="A665" i="4"/>
  <c r="K664" i="4"/>
  <c r="L664" i="4" s="1"/>
  <c r="A664" i="4"/>
  <c r="K663" i="4"/>
  <c r="L663" i="4" s="1"/>
  <c r="A663" i="4"/>
  <c r="K662" i="4"/>
  <c r="L662" i="4" s="1"/>
  <c r="A662" i="4"/>
  <c r="K661" i="4"/>
  <c r="L661" i="4" s="1"/>
  <c r="A661" i="4"/>
  <c r="K660" i="4"/>
  <c r="L660" i="4" s="1"/>
  <c r="A660" i="4"/>
  <c r="K659" i="4"/>
  <c r="L659" i="4" s="1"/>
  <c r="A659" i="4"/>
  <c r="K658" i="4"/>
  <c r="L658" i="4" s="1"/>
  <c r="A658" i="4"/>
  <c r="K657" i="4"/>
  <c r="L657" i="4" s="1"/>
  <c r="A657" i="4"/>
  <c r="K656" i="4"/>
  <c r="L656" i="4" s="1"/>
  <c r="A656" i="4"/>
  <c r="K655" i="4"/>
  <c r="L655" i="4" s="1"/>
  <c r="A655" i="4"/>
  <c r="K654" i="4"/>
  <c r="L654" i="4" s="1"/>
  <c r="A654" i="4"/>
  <c r="K653" i="4"/>
  <c r="L653" i="4" s="1"/>
  <c r="A653" i="4"/>
  <c r="K652" i="4"/>
  <c r="L652" i="4" s="1"/>
  <c r="A652" i="4"/>
  <c r="K651" i="4"/>
  <c r="L651" i="4" s="1"/>
  <c r="A651" i="4"/>
  <c r="K650" i="4"/>
  <c r="L650" i="4" s="1"/>
  <c r="A650" i="4"/>
  <c r="K649" i="4"/>
  <c r="L649" i="4" s="1"/>
  <c r="A649" i="4"/>
  <c r="K648" i="4"/>
  <c r="L648" i="4" s="1"/>
  <c r="A648" i="4"/>
  <c r="K647" i="4"/>
  <c r="L647" i="4" s="1"/>
  <c r="A647" i="4"/>
  <c r="K646" i="4"/>
  <c r="L646" i="4" s="1"/>
  <c r="A646" i="4"/>
  <c r="K645" i="4"/>
  <c r="L645" i="4" s="1"/>
  <c r="A645" i="4"/>
  <c r="K644" i="4"/>
  <c r="L644" i="4" s="1"/>
  <c r="A644" i="4"/>
  <c r="K643" i="4"/>
  <c r="L643" i="4" s="1"/>
  <c r="A643" i="4"/>
  <c r="K642" i="4"/>
  <c r="L642" i="4" s="1"/>
  <c r="A642" i="4"/>
  <c r="K641" i="4"/>
  <c r="L641" i="4" s="1"/>
  <c r="A641" i="4"/>
  <c r="K640" i="4"/>
  <c r="L640" i="4" s="1"/>
  <c r="A640" i="4"/>
  <c r="K639" i="4"/>
  <c r="L639" i="4" s="1"/>
  <c r="A639" i="4"/>
  <c r="K638" i="4"/>
  <c r="L638" i="4" s="1"/>
  <c r="A638" i="4"/>
  <c r="K637" i="4"/>
  <c r="L637" i="4" s="1"/>
  <c r="A637" i="4"/>
  <c r="K636" i="4"/>
  <c r="L636" i="4" s="1"/>
  <c r="A636" i="4"/>
  <c r="K635" i="4"/>
  <c r="L635" i="4" s="1"/>
  <c r="A635" i="4"/>
  <c r="K634" i="4"/>
  <c r="L634" i="4" s="1"/>
  <c r="A634" i="4"/>
  <c r="K633" i="4"/>
  <c r="L633" i="4" s="1"/>
  <c r="A633" i="4"/>
  <c r="K632" i="4"/>
  <c r="L632" i="4" s="1"/>
  <c r="A632" i="4"/>
  <c r="K631" i="4"/>
  <c r="L631" i="4" s="1"/>
  <c r="A631" i="4"/>
  <c r="K630" i="4"/>
  <c r="L630" i="4" s="1"/>
  <c r="A630" i="4"/>
  <c r="K629" i="4"/>
  <c r="L629" i="4" s="1"/>
  <c r="A629" i="4"/>
  <c r="K628" i="4"/>
  <c r="L628" i="4" s="1"/>
  <c r="A628" i="4"/>
  <c r="K627" i="4"/>
  <c r="L627" i="4" s="1"/>
  <c r="A627" i="4"/>
  <c r="K626" i="4"/>
  <c r="L626" i="4" s="1"/>
  <c r="A626" i="4"/>
  <c r="K625" i="4"/>
  <c r="L625" i="4" s="1"/>
  <c r="A625" i="4"/>
  <c r="K624" i="4"/>
  <c r="L624" i="4" s="1"/>
  <c r="A624" i="4"/>
  <c r="K623" i="4"/>
  <c r="L623" i="4" s="1"/>
  <c r="A623" i="4"/>
  <c r="K622" i="4"/>
  <c r="L622" i="4" s="1"/>
  <c r="A622" i="4"/>
  <c r="K621" i="4"/>
  <c r="L621" i="4" s="1"/>
  <c r="A621" i="4"/>
  <c r="K620" i="4"/>
  <c r="L620" i="4" s="1"/>
  <c r="A620" i="4"/>
  <c r="K619" i="4"/>
  <c r="L619" i="4" s="1"/>
  <c r="A619" i="4"/>
  <c r="K618" i="4"/>
  <c r="L618" i="4" s="1"/>
  <c r="A618" i="4"/>
  <c r="K617" i="4"/>
  <c r="L617" i="4" s="1"/>
  <c r="A617" i="4"/>
  <c r="K616" i="4"/>
  <c r="L616" i="4" s="1"/>
  <c r="A616" i="4"/>
  <c r="K615" i="4"/>
  <c r="L615" i="4" s="1"/>
  <c r="A615" i="4"/>
  <c r="K614" i="4"/>
  <c r="L614" i="4" s="1"/>
  <c r="A614" i="4"/>
  <c r="K613" i="4"/>
  <c r="L613" i="4" s="1"/>
  <c r="A613" i="4"/>
  <c r="K612" i="4"/>
  <c r="L612" i="4" s="1"/>
  <c r="A612" i="4"/>
  <c r="K611" i="4"/>
  <c r="L611" i="4" s="1"/>
  <c r="A611" i="4"/>
  <c r="K610" i="4"/>
  <c r="L610" i="4" s="1"/>
  <c r="A610" i="4"/>
  <c r="K609" i="4"/>
  <c r="L609" i="4" s="1"/>
  <c r="A609" i="4"/>
  <c r="K608" i="4"/>
  <c r="L608" i="4" s="1"/>
  <c r="A608" i="4"/>
  <c r="K607" i="4"/>
  <c r="L607" i="4" s="1"/>
  <c r="A607" i="4"/>
  <c r="K606" i="4"/>
  <c r="L606" i="4" s="1"/>
  <c r="A606" i="4"/>
  <c r="K605" i="4"/>
  <c r="L605" i="4" s="1"/>
  <c r="A605" i="4"/>
  <c r="K604" i="4"/>
  <c r="L604" i="4" s="1"/>
  <c r="A604" i="4"/>
  <c r="K603" i="4"/>
  <c r="L603" i="4" s="1"/>
  <c r="A603" i="4"/>
  <c r="K602" i="4"/>
  <c r="L602" i="4" s="1"/>
  <c r="A602" i="4"/>
  <c r="K601" i="4"/>
  <c r="L601" i="4" s="1"/>
  <c r="A601" i="4"/>
  <c r="K600" i="4"/>
  <c r="L600" i="4" s="1"/>
  <c r="A600" i="4"/>
  <c r="K599" i="4"/>
  <c r="L599" i="4" s="1"/>
  <c r="A599" i="4"/>
  <c r="K598" i="4"/>
  <c r="L598" i="4" s="1"/>
  <c r="A598" i="4"/>
  <c r="K597" i="4"/>
  <c r="L597" i="4" s="1"/>
  <c r="A597" i="4"/>
  <c r="K596" i="4"/>
  <c r="L596" i="4" s="1"/>
  <c r="A596" i="4"/>
  <c r="K595" i="4"/>
  <c r="L595" i="4" s="1"/>
  <c r="A595" i="4"/>
  <c r="K594" i="4"/>
  <c r="L594" i="4" s="1"/>
  <c r="A594" i="4"/>
  <c r="K593" i="4"/>
  <c r="L593" i="4" s="1"/>
  <c r="A593" i="4"/>
  <c r="K592" i="4"/>
  <c r="L592" i="4" s="1"/>
  <c r="A592" i="4"/>
  <c r="K591" i="4"/>
  <c r="L591" i="4" s="1"/>
  <c r="A591" i="4"/>
  <c r="K590" i="4"/>
  <c r="L590" i="4" s="1"/>
  <c r="A590" i="4"/>
  <c r="K589" i="4"/>
  <c r="L589" i="4" s="1"/>
  <c r="A589" i="4"/>
  <c r="K588" i="4"/>
  <c r="L588" i="4" s="1"/>
  <c r="A588" i="4"/>
  <c r="K587" i="4"/>
  <c r="L587" i="4" s="1"/>
  <c r="A587" i="4"/>
  <c r="K586" i="4"/>
  <c r="L586" i="4" s="1"/>
  <c r="A586" i="4"/>
  <c r="K585" i="4"/>
  <c r="L585" i="4" s="1"/>
  <c r="A585" i="4"/>
  <c r="K584" i="4"/>
  <c r="L584" i="4" s="1"/>
  <c r="A584" i="4"/>
  <c r="K583" i="4"/>
  <c r="L583" i="4" s="1"/>
  <c r="A583" i="4"/>
  <c r="K582" i="4"/>
  <c r="L582" i="4" s="1"/>
  <c r="A582" i="4"/>
  <c r="K581" i="4"/>
  <c r="L581" i="4" s="1"/>
  <c r="A581" i="4"/>
  <c r="K580" i="4"/>
  <c r="L580" i="4" s="1"/>
  <c r="A580" i="4"/>
  <c r="K579" i="4"/>
  <c r="L579" i="4" s="1"/>
  <c r="A579" i="4"/>
  <c r="K578" i="4"/>
  <c r="L578" i="4" s="1"/>
  <c r="A578" i="4"/>
  <c r="K577" i="4"/>
  <c r="L577" i="4" s="1"/>
  <c r="A577" i="4"/>
  <c r="K576" i="4"/>
  <c r="L576" i="4" s="1"/>
  <c r="A576" i="4"/>
  <c r="K575" i="4"/>
  <c r="L575" i="4" s="1"/>
  <c r="A575" i="4"/>
  <c r="K574" i="4"/>
  <c r="L574" i="4" s="1"/>
  <c r="A574" i="4"/>
  <c r="K573" i="4"/>
  <c r="L573" i="4" s="1"/>
  <c r="A573" i="4"/>
  <c r="K572" i="4"/>
  <c r="L572" i="4" s="1"/>
  <c r="A572" i="4"/>
  <c r="K571" i="4"/>
  <c r="L571" i="4" s="1"/>
  <c r="A571" i="4"/>
  <c r="K570" i="4"/>
  <c r="L570" i="4" s="1"/>
  <c r="A570" i="4"/>
  <c r="K569" i="4"/>
  <c r="L569" i="4" s="1"/>
  <c r="A569" i="4"/>
  <c r="K568" i="4"/>
  <c r="L568" i="4" s="1"/>
  <c r="A568" i="4"/>
  <c r="K567" i="4"/>
  <c r="L567" i="4" s="1"/>
  <c r="A567" i="4"/>
  <c r="K566" i="4"/>
  <c r="L566" i="4" s="1"/>
  <c r="A566" i="4"/>
  <c r="K565" i="4"/>
  <c r="L565" i="4" s="1"/>
  <c r="A565" i="4"/>
  <c r="K564" i="4"/>
  <c r="L564" i="4" s="1"/>
  <c r="A564" i="4"/>
  <c r="K563" i="4"/>
  <c r="L563" i="4" s="1"/>
  <c r="A563" i="4"/>
  <c r="K562" i="4"/>
  <c r="L562" i="4" s="1"/>
  <c r="A562" i="4"/>
  <c r="K561" i="4"/>
  <c r="L561" i="4" s="1"/>
  <c r="A561" i="4"/>
  <c r="K560" i="4"/>
  <c r="L560" i="4" s="1"/>
  <c r="A560" i="4"/>
  <c r="K559" i="4"/>
  <c r="L559" i="4" s="1"/>
  <c r="A559" i="4"/>
  <c r="K558" i="4"/>
  <c r="L558" i="4" s="1"/>
  <c r="A558" i="4"/>
  <c r="K557" i="4"/>
  <c r="L557" i="4" s="1"/>
  <c r="A557" i="4"/>
  <c r="K556" i="4"/>
  <c r="L556" i="4" s="1"/>
  <c r="A556" i="4"/>
  <c r="K555" i="4"/>
  <c r="L555" i="4" s="1"/>
  <c r="A555" i="4"/>
  <c r="K554" i="4"/>
  <c r="L554" i="4" s="1"/>
  <c r="A554" i="4"/>
  <c r="K553" i="4"/>
  <c r="L553" i="4" s="1"/>
  <c r="A553" i="4"/>
  <c r="K552" i="4"/>
  <c r="L552" i="4" s="1"/>
  <c r="A552" i="4"/>
  <c r="K551" i="4"/>
  <c r="L551" i="4" s="1"/>
  <c r="A551" i="4"/>
  <c r="K550" i="4"/>
  <c r="L550" i="4" s="1"/>
  <c r="A550" i="4"/>
  <c r="K549" i="4"/>
  <c r="L549" i="4" s="1"/>
  <c r="A549" i="4"/>
  <c r="K548" i="4"/>
  <c r="L548" i="4" s="1"/>
  <c r="A548" i="4"/>
  <c r="K547" i="4"/>
  <c r="L547" i="4" s="1"/>
  <c r="A547" i="4"/>
  <c r="K546" i="4"/>
  <c r="L546" i="4" s="1"/>
  <c r="A546" i="4"/>
  <c r="K545" i="4"/>
  <c r="L545" i="4" s="1"/>
  <c r="A545" i="4"/>
  <c r="K544" i="4"/>
  <c r="L544" i="4" s="1"/>
  <c r="A544" i="4"/>
  <c r="K543" i="4"/>
  <c r="L543" i="4" s="1"/>
  <c r="A543" i="4"/>
  <c r="K542" i="4"/>
  <c r="L542" i="4" s="1"/>
  <c r="A542" i="4"/>
  <c r="K541" i="4"/>
  <c r="L541" i="4" s="1"/>
  <c r="A541" i="4"/>
  <c r="K540" i="4"/>
  <c r="L540" i="4" s="1"/>
  <c r="A540" i="4"/>
  <c r="K539" i="4"/>
  <c r="L539" i="4" s="1"/>
  <c r="A539" i="4"/>
  <c r="K538" i="4"/>
  <c r="L538" i="4" s="1"/>
  <c r="A538" i="4"/>
  <c r="K537" i="4"/>
  <c r="L537" i="4" s="1"/>
  <c r="A537" i="4"/>
  <c r="K536" i="4"/>
  <c r="L536" i="4" s="1"/>
  <c r="A536" i="4"/>
  <c r="K535" i="4"/>
  <c r="L535" i="4" s="1"/>
  <c r="A535" i="4"/>
  <c r="K534" i="4"/>
  <c r="L534" i="4" s="1"/>
  <c r="A534" i="4"/>
  <c r="K533" i="4"/>
  <c r="L533" i="4" s="1"/>
  <c r="A533" i="4"/>
  <c r="K532" i="4"/>
  <c r="L532" i="4" s="1"/>
  <c r="A532" i="4"/>
  <c r="K531" i="4"/>
  <c r="L531" i="4" s="1"/>
  <c r="A531" i="4"/>
  <c r="K530" i="4"/>
  <c r="L530" i="4" s="1"/>
  <c r="A530" i="4"/>
  <c r="K529" i="4"/>
  <c r="L529" i="4" s="1"/>
  <c r="A529" i="4"/>
  <c r="K528" i="4"/>
  <c r="L528" i="4" s="1"/>
  <c r="A528" i="4"/>
  <c r="K527" i="4"/>
  <c r="L527" i="4" s="1"/>
  <c r="A527" i="4"/>
  <c r="K526" i="4"/>
  <c r="L526" i="4" s="1"/>
  <c r="A526" i="4"/>
  <c r="K525" i="4"/>
  <c r="L525" i="4" s="1"/>
  <c r="A525" i="4"/>
  <c r="K524" i="4"/>
  <c r="L524" i="4" s="1"/>
  <c r="A524" i="4"/>
  <c r="K523" i="4"/>
  <c r="L523" i="4" s="1"/>
  <c r="A523" i="4"/>
  <c r="K522" i="4"/>
  <c r="L522" i="4" s="1"/>
  <c r="A522" i="4"/>
  <c r="K521" i="4"/>
  <c r="L521" i="4" s="1"/>
  <c r="A521" i="4"/>
  <c r="K520" i="4"/>
  <c r="L520" i="4" s="1"/>
  <c r="A520" i="4"/>
  <c r="K519" i="4"/>
  <c r="L519" i="4" s="1"/>
  <c r="A519" i="4"/>
  <c r="K518" i="4"/>
  <c r="L518" i="4" s="1"/>
  <c r="A518" i="4"/>
  <c r="K517" i="4"/>
  <c r="L517" i="4" s="1"/>
  <c r="A517" i="4"/>
  <c r="K516" i="4"/>
  <c r="L516" i="4" s="1"/>
  <c r="A516" i="4"/>
  <c r="K515" i="4"/>
  <c r="L515" i="4" s="1"/>
  <c r="A515" i="4"/>
  <c r="K514" i="4"/>
  <c r="L514" i="4" s="1"/>
  <c r="A514" i="4"/>
  <c r="K513" i="4"/>
  <c r="L513" i="4" s="1"/>
  <c r="A513" i="4"/>
  <c r="K512" i="4"/>
  <c r="L512" i="4" s="1"/>
  <c r="A512" i="4"/>
  <c r="K511" i="4"/>
  <c r="L511" i="4" s="1"/>
  <c r="A511" i="4"/>
  <c r="K510" i="4"/>
  <c r="L510" i="4" s="1"/>
  <c r="A510" i="4"/>
  <c r="K509" i="4"/>
  <c r="L509" i="4" s="1"/>
  <c r="A509" i="4"/>
  <c r="K508" i="4"/>
  <c r="L508" i="4" s="1"/>
  <c r="A508" i="4"/>
  <c r="K507" i="4"/>
  <c r="L507" i="4" s="1"/>
  <c r="A507" i="4"/>
  <c r="K506" i="4"/>
  <c r="L506" i="4" s="1"/>
  <c r="A506" i="4"/>
  <c r="K505" i="4"/>
  <c r="L505" i="4" s="1"/>
  <c r="A505" i="4"/>
  <c r="K504" i="4"/>
  <c r="L504" i="4" s="1"/>
  <c r="A504" i="4"/>
  <c r="K503" i="4"/>
  <c r="L503" i="4" s="1"/>
  <c r="A503" i="4"/>
  <c r="K502" i="4"/>
  <c r="L502" i="4" s="1"/>
  <c r="A502" i="4"/>
  <c r="K501" i="4"/>
  <c r="L501" i="4" s="1"/>
  <c r="A501" i="4"/>
  <c r="K500" i="4"/>
  <c r="L500" i="4" s="1"/>
  <c r="A500" i="4"/>
  <c r="K499" i="4"/>
  <c r="L499" i="4" s="1"/>
  <c r="A499" i="4"/>
  <c r="K498" i="4"/>
  <c r="L498" i="4" s="1"/>
  <c r="A498" i="4"/>
  <c r="K497" i="4"/>
  <c r="L497" i="4" s="1"/>
  <c r="A497" i="4"/>
  <c r="K496" i="4"/>
  <c r="L496" i="4" s="1"/>
  <c r="A496" i="4"/>
  <c r="K495" i="4"/>
  <c r="L495" i="4" s="1"/>
  <c r="A495" i="4"/>
  <c r="K494" i="4"/>
  <c r="L494" i="4" s="1"/>
  <c r="A494" i="4"/>
  <c r="K493" i="4"/>
  <c r="L493" i="4" s="1"/>
  <c r="A493" i="4"/>
  <c r="K492" i="4"/>
  <c r="L492" i="4" s="1"/>
  <c r="A492" i="4"/>
  <c r="K491" i="4"/>
  <c r="L491" i="4" s="1"/>
  <c r="A491" i="4"/>
  <c r="K490" i="4"/>
  <c r="L490" i="4" s="1"/>
  <c r="A490" i="4"/>
  <c r="K489" i="4"/>
  <c r="L489" i="4" s="1"/>
  <c r="A489" i="4"/>
  <c r="K488" i="4"/>
  <c r="L488" i="4" s="1"/>
  <c r="A488" i="4"/>
  <c r="K487" i="4"/>
  <c r="L487" i="4" s="1"/>
  <c r="A487" i="4"/>
  <c r="K486" i="4"/>
  <c r="L486" i="4" s="1"/>
  <c r="A486" i="4"/>
  <c r="K485" i="4"/>
  <c r="L485" i="4" s="1"/>
  <c r="A485" i="4"/>
  <c r="K484" i="4"/>
  <c r="L484" i="4" s="1"/>
  <c r="A484" i="4"/>
  <c r="K483" i="4"/>
  <c r="L483" i="4" s="1"/>
  <c r="A483" i="4"/>
  <c r="K482" i="4"/>
  <c r="L482" i="4" s="1"/>
  <c r="A482" i="4"/>
  <c r="K481" i="4"/>
  <c r="L481" i="4" s="1"/>
  <c r="A481" i="4"/>
  <c r="K480" i="4"/>
  <c r="L480" i="4" s="1"/>
  <c r="A480" i="4"/>
  <c r="K479" i="4"/>
  <c r="L479" i="4" s="1"/>
  <c r="A479" i="4"/>
  <c r="K478" i="4"/>
  <c r="L478" i="4" s="1"/>
  <c r="A478" i="4"/>
  <c r="K477" i="4"/>
  <c r="L477" i="4" s="1"/>
  <c r="A477" i="4"/>
  <c r="K476" i="4"/>
  <c r="L476" i="4" s="1"/>
  <c r="A476" i="4"/>
  <c r="K475" i="4"/>
  <c r="L475" i="4" s="1"/>
  <c r="A475" i="4"/>
  <c r="K474" i="4"/>
  <c r="L474" i="4" s="1"/>
  <c r="A474" i="4"/>
  <c r="K473" i="4"/>
  <c r="L473" i="4" s="1"/>
  <c r="A473" i="4"/>
  <c r="K472" i="4"/>
  <c r="L472" i="4" s="1"/>
  <c r="A472" i="4"/>
  <c r="K471" i="4"/>
  <c r="L471" i="4" s="1"/>
  <c r="A471" i="4"/>
  <c r="K470" i="4"/>
  <c r="L470" i="4" s="1"/>
  <c r="A470" i="4"/>
  <c r="K469" i="4"/>
  <c r="L469" i="4" s="1"/>
  <c r="A469" i="4"/>
  <c r="K468" i="4"/>
  <c r="L468" i="4" s="1"/>
  <c r="A468" i="4"/>
  <c r="K467" i="4"/>
  <c r="L467" i="4" s="1"/>
  <c r="A467" i="4"/>
  <c r="K466" i="4"/>
  <c r="L466" i="4" s="1"/>
  <c r="A466" i="4"/>
  <c r="K465" i="4"/>
  <c r="L465" i="4" s="1"/>
  <c r="A465" i="4"/>
  <c r="K464" i="4"/>
  <c r="L464" i="4" s="1"/>
  <c r="A464" i="4"/>
  <c r="K463" i="4"/>
  <c r="L463" i="4" s="1"/>
  <c r="A463" i="4"/>
  <c r="K462" i="4"/>
  <c r="L462" i="4" s="1"/>
  <c r="A462" i="4"/>
  <c r="K461" i="4"/>
  <c r="L461" i="4" s="1"/>
  <c r="A461" i="4"/>
  <c r="K460" i="4"/>
  <c r="L460" i="4" s="1"/>
  <c r="A460" i="4"/>
  <c r="K459" i="4"/>
  <c r="L459" i="4" s="1"/>
  <c r="A459" i="4"/>
  <c r="K458" i="4"/>
  <c r="L458" i="4" s="1"/>
  <c r="A458" i="4"/>
  <c r="K457" i="4"/>
  <c r="L457" i="4" s="1"/>
  <c r="A457" i="4"/>
  <c r="K456" i="4"/>
  <c r="L456" i="4" s="1"/>
  <c r="A456" i="4"/>
  <c r="K455" i="4"/>
  <c r="L455" i="4" s="1"/>
  <c r="A455" i="4"/>
  <c r="K454" i="4"/>
  <c r="L454" i="4" s="1"/>
  <c r="A454" i="4"/>
  <c r="K453" i="4"/>
  <c r="L453" i="4" s="1"/>
  <c r="A453" i="4"/>
  <c r="K452" i="4"/>
  <c r="L452" i="4" s="1"/>
  <c r="A452" i="4"/>
  <c r="K451" i="4"/>
  <c r="L451" i="4" s="1"/>
  <c r="A451" i="4"/>
  <c r="K450" i="4"/>
  <c r="L450" i="4" s="1"/>
  <c r="A450" i="4"/>
  <c r="K449" i="4"/>
  <c r="L449" i="4" s="1"/>
  <c r="A449" i="4"/>
  <c r="K448" i="4"/>
  <c r="L448" i="4" s="1"/>
  <c r="A448" i="4"/>
  <c r="K447" i="4"/>
  <c r="L447" i="4" s="1"/>
  <c r="A447" i="4"/>
  <c r="K446" i="4"/>
  <c r="L446" i="4" s="1"/>
  <c r="A446" i="4"/>
  <c r="K445" i="4"/>
  <c r="L445" i="4" s="1"/>
  <c r="A445" i="4"/>
  <c r="K444" i="4"/>
  <c r="L444" i="4" s="1"/>
  <c r="A444" i="4"/>
  <c r="K443" i="4"/>
  <c r="L443" i="4" s="1"/>
  <c r="A443" i="4"/>
  <c r="K442" i="4"/>
  <c r="L442" i="4" s="1"/>
  <c r="A442" i="4"/>
  <c r="K441" i="4"/>
  <c r="L441" i="4" s="1"/>
  <c r="A441" i="4"/>
  <c r="K440" i="4"/>
  <c r="L440" i="4" s="1"/>
  <c r="A440" i="4"/>
  <c r="K439" i="4"/>
  <c r="L439" i="4" s="1"/>
  <c r="A439" i="4"/>
  <c r="K438" i="4"/>
  <c r="L438" i="4" s="1"/>
  <c r="A438" i="4"/>
  <c r="K437" i="4"/>
  <c r="L437" i="4" s="1"/>
  <c r="A437" i="4"/>
  <c r="K436" i="4"/>
  <c r="L436" i="4" s="1"/>
  <c r="A436" i="4"/>
  <c r="K435" i="4"/>
  <c r="L435" i="4" s="1"/>
  <c r="A435" i="4"/>
  <c r="K434" i="4"/>
  <c r="L434" i="4" s="1"/>
  <c r="A434" i="4"/>
  <c r="K433" i="4"/>
  <c r="L433" i="4" s="1"/>
  <c r="A433" i="4"/>
  <c r="K432" i="4"/>
  <c r="L432" i="4" s="1"/>
  <c r="A432" i="4"/>
  <c r="K431" i="4"/>
  <c r="L431" i="4" s="1"/>
  <c r="A431" i="4"/>
  <c r="K430" i="4"/>
  <c r="L430" i="4" s="1"/>
  <c r="A430" i="4"/>
  <c r="K429" i="4"/>
  <c r="L429" i="4" s="1"/>
  <c r="A429" i="4"/>
  <c r="K428" i="4"/>
  <c r="L428" i="4" s="1"/>
  <c r="A428" i="4"/>
  <c r="K427" i="4"/>
  <c r="L427" i="4" s="1"/>
  <c r="A427" i="4"/>
  <c r="K426" i="4"/>
  <c r="L426" i="4" s="1"/>
  <c r="A426" i="4"/>
  <c r="K425" i="4"/>
  <c r="L425" i="4" s="1"/>
  <c r="A425" i="4"/>
  <c r="K424" i="4"/>
  <c r="L424" i="4" s="1"/>
  <c r="A424" i="4"/>
  <c r="K423" i="4"/>
  <c r="L423" i="4" s="1"/>
  <c r="A423" i="4"/>
  <c r="K422" i="4"/>
  <c r="L422" i="4" s="1"/>
  <c r="A422" i="4"/>
  <c r="K421" i="4"/>
  <c r="L421" i="4" s="1"/>
  <c r="A421" i="4"/>
  <c r="K420" i="4"/>
  <c r="L420" i="4" s="1"/>
  <c r="A420" i="4"/>
  <c r="K419" i="4"/>
  <c r="L419" i="4" s="1"/>
  <c r="A419" i="4"/>
  <c r="K418" i="4"/>
  <c r="L418" i="4" s="1"/>
  <c r="A418" i="4"/>
  <c r="K417" i="4"/>
  <c r="L417" i="4" s="1"/>
  <c r="A417" i="4"/>
  <c r="K416" i="4"/>
  <c r="L416" i="4" s="1"/>
  <c r="A416" i="4"/>
  <c r="K415" i="4"/>
  <c r="L415" i="4" s="1"/>
  <c r="A415" i="4"/>
  <c r="K414" i="4"/>
  <c r="L414" i="4" s="1"/>
  <c r="A414" i="4"/>
  <c r="K413" i="4"/>
  <c r="L413" i="4" s="1"/>
  <c r="A413" i="4"/>
  <c r="K412" i="4"/>
  <c r="L412" i="4" s="1"/>
  <c r="A412" i="4"/>
  <c r="K411" i="4"/>
  <c r="L411" i="4" s="1"/>
  <c r="A411" i="4"/>
  <c r="K410" i="4"/>
  <c r="L410" i="4" s="1"/>
  <c r="A410" i="4"/>
  <c r="K409" i="4"/>
  <c r="L409" i="4" s="1"/>
  <c r="A409" i="4"/>
  <c r="K408" i="4"/>
  <c r="L408" i="4" s="1"/>
  <c r="A408" i="4"/>
  <c r="K407" i="4"/>
  <c r="L407" i="4" s="1"/>
  <c r="A407" i="4"/>
  <c r="K406" i="4"/>
  <c r="L406" i="4" s="1"/>
  <c r="A406" i="4"/>
  <c r="K405" i="4"/>
  <c r="L405" i="4" s="1"/>
  <c r="A405" i="4"/>
  <c r="K404" i="4"/>
  <c r="L404" i="4" s="1"/>
  <c r="A404" i="4"/>
  <c r="K403" i="4"/>
  <c r="L403" i="4" s="1"/>
  <c r="A403" i="4"/>
  <c r="K402" i="4"/>
  <c r="L402" i="4" s="1"/>
  <c r="A402" i="4"/>
  <c r="K401" i="4"/>
  <c r="L401" i="4" s="1"/>
  <c r="A401" i="4"/>
  <c r="K400" i="4"/>
  <c r="L400" i="4" s="1"/>
  <c r="A400" i="4"/>
  <c r="K399" i="4"/>
  <c r="L399" i="4" s="1"/>
  <c r="A399" i="4"/>
  <c r="K398" i="4"/>
  <c r="L398" i="4" s="1"/>
  <c r="A398" i="4"/>
  <c r="K397" i="4"/>
  <c r="L397" i="4" s="1"/>
  <c r="A397" i="4"/>
  <c r="K396" i="4"/>
  <c r="L396" i="4" s="1"/>
  <c r="A396" i="4"/>
  <c r="K395" i="4"/>
  <c r="L395" i="4" s="1"/>
  <c r="A395" i="4"/>
  <c r="K394" i="4"/>
  <c r="L394" i="4" s="1"/>
  <c r="A394" i="4"/>
  <c r="K393" i="4"/>
  <c r="L393" i="4" s="1"/>
  <c r="A393" i="4"/>
  <c r="K392" i="4"/>
  <c r="L392" i="4" s="1"/>
  <c r="A392" i="4"/>
  <c r="K391" i="4"/>
  <c r="L391" i="4" s="1"/>
  <c r="A391" i="4"/>
  <c r="K390" i="4"/>
  <c r="L390" i="4" s="1"/>
  <c r="A390" i="4"/>
  <c r="K389" i="4"/>
  <c r="L389" i="4" s="1"/>
  <c r="A389" i="4"/>
  <c r="K388" i="4"/>
  <c r="L388" i="4" s="1"/>
  <c r="A388" i="4"/>
  <c r="K387" i="4"/>
  <c r="L387" i="4" s="1"/>
  <c r="A387" i="4"/>
  <c r="K386" i="4"/>
  <c r="L386" i="4" s="1"/>
  <c r="A386" i="4"/>
  <c r="K385" i="4"/>
  <c r="L385" i="4" s="1"/>
  <c r="A385" i="4"/>
  <c r="K384" i="4"/>
  <c r="L384" i="4" s="1"/>
  <c r="A384" i="4"/>
  <c r="K383" i="4"/>
  <c r="L383" i="4" s="1"/>
  <c r="A383" i="4"/>
  <c r="K382" i="4"/>
  <c r="L382" i="4" s="1"/>
  <c r="A382" i="4"/>
  <c r="K381" i="4"/>
  <c r="L381" i="4" s="1"/>
  <c r="A381" i="4"/>
  <c r="K380" i="4"/>
  <c r="L380" i="4" s="1"/>
  <c r="A380" i="4"/>
  <c r="K379" i="4"/>
  <c r="L379" i="4" s="1"/>
  <c r="A379" i="4"/>
  <c r="K378" i="4"/>
  <c r="L378" i="4" s="1"/>
  <c r="A378" i="4"/>
  <c r="K377" i="4"/>
  <c r="L377" i="4" s="1"/>
  <c r="A377" i="4"/>
  <c r="K376" i="4"/>
  <c r="L376" i="4" s="1"/>
  <c r="A376" i="4"/>
  <c r="K375" i="4"/>
  <c r="L375" i="4" s="1"/>
  <c r="A375" i="4"/>
  <c r="K374" i="4"/>
  <c r="L374" i="4" s="1"/>
  <c r="A374" i="4"/>
  <c r="K373" i="4"/>
  <c r="L373" i="4" s="1"/>
  <c r="A373" i="4"/>
  <c r="K372" i="4"/>
  <c r="L372" i="4" s="1"/>
  <c r="A372" i="4"/>
  <c r="K371" i="4"/>
  <c r="L371" i="4" s="1"/>
  <c r="A371" i="4"/>
  <c r="K370" i="4"/>
  <c r="L370" i="4" s="1"/>
  <c r="A370" i="4"/>
  <c r="K369" i="4"/>
  <c r="L369" i="4" s="1"/>
  <c r="A369" i="4"/>
  <c r="K368" i="4"/>
  <c r="L368" i="4" s="1"/>
  <c r="A368" i="4"/>
  <c r="K367" i="4"/>
  <c r="L367" i="4" s="1"/>
  <c r="A367" i="4"/>
  <c r="K366" i="4"/>
  <c r="L366" i="4" s="1"/>
  <c r="A366" i="4"/>
  <c r="K365" i="4"/>
  <c r="L365" i="4" s="1"/>
  <c r="A365" i="4"/>
  <c r="K364" i="4"/>
  <c r="L364" i="4" s="1"/>
  <c r="A364" i="4"/>
  <c r="K363" i="4"/>
  <c r="L363" i="4" s="1"/>
  <c r="A363" i="4"/>
  <c r="K362" i="4"/>
  <c r="L362" i="4" s="1"/>
  <c r="A362" i="4"/>
  <c r="K361" i="4"/>
  <c r="L361" i="4" s="1"/>
  <c r="A361" i="4"/>
  <c r="K360" i="4"/>
  <c r="L360" i="4" s="1"/>
  <c r="A360" i="4"/>
  <c r="K359" i="4"/>
  <c r="L359" i="4" s="1"/>
  <c r="A359" i="4"/>
  <c r="K358" i="4"/>
  <c r="L358" i="4" s="1"/>
  <c r="A358" i="4"/>
  <c r="K357" i="4"/>
  <c r="L357" i="4" s="1"/>
  <c r="A357" i="4"/>
  <c r="K356" i="4"/>
  <c r="L356" i="4" s="1"/>
  <c r="A356" i="4"/>
  <c r="K355" i="4"/>
  <c r="L355" i="4" s="1"/>
  <c r="A355" i="4"/>
  <c r="K354" i="4"/>
  <c r="L354" i="4" s="1"/>
  <c r="A354" i="4"/>
  <c r="K353" i="4"/>
  <c r="L353" i="4" s="1"/>
  <c r="A353" i="4"/>
  <c r="K352" i="4"/>
  <c r="L352" i="4" s="1"/>
  <c r="A352" i="4"/>
  <c r="K351" i="4"/>
  <c r="L351" i="4" s="1"/>
  <c r="A351" i="4"/>
  <c r="K350" i="4"/>
  <c r="L350" i="4" s="1"/>
  <c r="A350" i="4"/>
  <c r="K349" i="4"/>
  <c r="L349" i="4" s="1"/>
  <c r="A349" i="4"/>
  <c r="K348" i="4"/>
  <c r="L348" i="4" s="1"/>
  <c r="A348" i="4"/>
  <c r="K347" i="4"/>
  <c r="L347" i="4" s="1"/>
  <c r="A347" i="4"/>
  <c r="K346" i="4"/>
  <c r="L346" i="4" s="1"/>
  <c r="A346" i="4"/>
  <c r="K345" i="4"/>
  <c r="L345" i="4" s="1"/>
  <c r="A345" i="4"/>
  <c r="K344" i="4"/>
  <c r="L344" i="4" s="1"/>
  <c r="A344" i="4"/>
  <c r="K343" i="4"/>
  <c r="L343" i="4" s="1"/>
  <c r="A343" i="4"/>
  <c r="K342" i="4"/>
  <c r="L342" i="4" s="1"/>
  <c r="A342" i="4"/>
  <c r="K341" i="4"/>
  <c r="L341" i="4" s="1"/>
  <c r="A341" i="4"/>
  <c r="K340" i="4"/>
  <c r="L340" i="4" s="1"/>
  <c r="A340" i="4"/>
  <c r="K339" i="4"/>
  <c r="L339" i="4" s="1"/>
  <c r="A339" i="4"/>
  <c r="K338" i="4"/>
  <c r="L338" i="4" s="1"/>
  <c r="A338" i="4"/>
  <c r="K337" i="4"/>
  <c r="L337" i="4" s="1"/>
  <c r="A337" i="4"/>
  <c r="K336" i="4"/>
  <c r="L336" i="4" s="1"/>
  <c r="A336" i="4"/>
  <c r="K335" i="4"/>
  <c r="L335" i="4" s="1"/>
  <c r="A335" i="4"/>
  <c r="K334" i="4"/>
  <c r="L334" i="4" s="1"/>
  <c r="A334" i="4"/>
  <c r="K333" i="4"/>
  <c r="L333" i="4" s="1"/>
  <c r="A333" i="4"/>
  <c r="K332" i="4"/>
  <c r="L332" i="4" s="1"/>
  <c r="A332" i="4"/>
  <c r="K331" i="4"/>
  <c r="L331" i="4" s="1"/>
  <c r="A331" i="4"/>
  <c r="K330" i="4"/>
  <c r="L330" i="4" s="1"/>
  <c r="A330" i="4"/>
  <c r="K329" i="4"/>
  <c r="L329" i="4" s="1"/>
  <c r="A329" i="4"/>
  <c r="K328" i="4"/>
  <c r="L328" i="4" s="1"/>
  <c r="A328" i="4"/>
  <c r="K327" i="4"/>
  <c r="L327" i="4" s="1"/>
  <c r="A327" i="4"/>
  <c r="K326" i="4"/>
  <c r="L326" i="4" s="1"/>
  <c r="A326" i="4"/>
  <c r="K325" i="4"/>
  <c r="L325" i="4" s="1"/>
  <c r="A325" i="4"/>
  <c r="K324" i="4"/>
  <c r="L324" i="4" s="1"/>
  <c r="A324" i="4"/>
  <c r="K323" i="4"/>
  <c r="L323" i="4" s="1"/>
  <c r="A323" i="4"/>
  <c r="K322" i="4"/>
  <c r="L322" i="4" s="1"/>
  <c r="A322" i="4"/>
  <c r="K321" i="4"/>
  <c r="L321" i="4" s="1"/>
  <c r="A321" i="4"/>
  <c r="K320" i="4"/>
  <c r="L320" i="4" s="1"/>
  <c r="A320" i="4"/>
  <c r="K319" i="4"/>
  <c r="L319" i="4" s="1"/>
  <c r="A319" i="4"/>
  <c r="K318" i="4"/>
  <c r="L318" i="4" s="1"/>
  <c r="A318" i="4"/>
  <c r="K317" i="4"/>
  <c r="L317" i="4" s="1"/>
  <c r="A317" i="4"/>
  <c r="K316" i="4"/>
  <c r="L316" i="4" s="1"/>
  <c r="A316" i="4"/>
  <c r="K315" i="4"/>
  <c r="L315" i="4" s="1"/>
  <c r="A315" i="4"/>
  <c r="K314" i="4"/>
  <c r="L314" i="4" s="1"/>
  <c r="A314" i="4"/>
  <c r="K313" i="4"/>
  <c r="L313" i="4" s="1"/>
  <c r="A313" i="4"/>
  <c r="K312" i="4"/>
  <c r="L312" i="4" s="1"/>
  <c r="A312" i="4"/>
  <c r="K311" i="4"/>
  <c r="L311" i="4" s="1"/>
  <c r="A311" i="4"/>
  <c r="K310" i="4"/>
  <c r="L310" i="4" s="1"/>
  <c r="A310" i="4"/>
  <c r="K309" i="4"/>
  <c r="L309" i="4" s="1"/>
  <c r="A309" i="4"/>
  <c r="K308" i="4"/>
  <c r="L308" i="4" s="1"/>
  <c r="A308" i="4"/>
  <c r="K307" i="4"/>
  <c r="L307" i="4" s="1"/>
  <c r="A307" i="4"/>
  <c r="K306" i="4"/>
  <c r="L306" i="4" s="1"/>
  <c r="A306" i="4"/>
  <c r="K305" i="4"/>
  <c r="L305" i="4" s="1"/>
  <c r="A305" i="4"/>
  <c r="K304" i="4"/>
  <c r="L304" i="4" s="1"/>
  <c r="A304" i="4"/>
  <c r="K303" i="4"/>
  <c r="L303" i="4" s="1"/>
  <c r="A303" i="4"/>
  <c r="K302" i="4"/>
  <c r="L302" i="4" s="1"/>
  <c r="A302" i="4"/>
  <c r="K301" i="4"/>
  <c r="L301" i="4" s="1"/>
  <c r="A301" i="4"/>
  <c r="K300" i="4"/>
  <c r="L300" i="4" s="1"/>
  <c r="A300" i="4"/>
  <c r="K299" i="4"/>
  <c r="L299" i="4" s="1"/>
  <c r="A299" i="4"/>
  <c r="K298" i="4"/>
  <c r="L298" i="4" s="1"/>
  <c r="A298" i="4"/>
  <c r="K297" i="4"/>
  <c r="L297" i="4" s="1"/>
  <c r="A297" i="4"/>
  <c r="K296" i="4"/>
  <c r="L296" i="4" s="1"/>
  <c r="A296" i="4"/>
  <c r="K295" i="4"/>
  <c r="L295" i="4" s="1"/>
  <c r="A295" i="4"/>
  <c r="K294" i="4"/>
  <c r="L294" i="4" s="1"/>
  <c r="A294" i="4"/>
  <c r="K293" i="4"/>
  <c r="L293" i="4" s="1"/>
  <c r="A293" i="4"/>
  <c r="K292" i="4"/>
  <c r="L292" i="4" s="1"/>
  <c r="A292" i="4"/>
  <c r="K291" i="4"/>
  <c r="L291" i="4" s="1"/>
  <c r="A291" i="4"/>
  <c r="K290" i="4"/>
  <c r="L290" i="4" s="1"/>
  <c r="A290" i="4"/>
  <c r="K289" i="4"/>
  <c r="L289" i="4" s="1"/>
  <c r="A289" i="4"/>
  <c r="K288" i="4"/>
  <c r="L288" i="4" s="1"/>
  <c r="A288" i="4"/>
  <c r="K287" i="4"/>
  <c r="L287" i="4" s="1"/>
  <c r="A287" i="4"/>
  <c r="K286" i="4"/>
  <c r="L286" i="4" s="1"/>
  <c r="A286" i="4"/>
  <c r="K285" i="4"/>
  <c r="L285" i="4" s="1"/>
  <c r="A285" i="4"/>
  <c r="K284" i="4"/>
  <c r="L284" i="4" s="1"/>
  <c r="A284" i="4"/>
  <c r="K283" i="4"/>
  <c r="L283" i="4" s="1"/>
  <c r="A283" i="4"/>
  <c r="K282" i="4"/>
  <c r="L282" i="4" s="1"/>
  <c r="A282" i="4"/>
  <c r="K281" i="4"/>
  <c r="L281" i="4" s="1"/>
  <c r="A281" i="4"/>
  <c r="K280" i="4"/>
  <c r="L280" i="4" s="1"/>
  <c r="A280" i="4"/>
  <c r="K279" i="4"/>
  <c r="L279" i="4" s="1"/>
  <c r="A279" i="4"/>
  <c r="K278" i="4"/>
  <c r="L278" i="4" s="1"/>
  <c r="A278" i="4"/>
  <c r="K277" i="4"/>
  <c r="L277" i="4" s="1"/>
  <c r="A277" i="4"/>
  <c r="K276" i="4"/>
  <c r="L276" i="4" s="1"/>
  <c r="A276" i="4"/>
  <c r="K275" i="4"/>
  <c r="L275" i="4" s="1"/>
  <c r="A275" i="4"/>
  <c r="K274" i="4"/>
  <c r="L274" i="4" s="1"/>
  <c r="A274" i="4"/>
  <c r="K273" i="4"/>
  <c r="L273" i="4" s="1"/>
  <c r="A273" i="4"/>
  <c r="K272" i="4"/>
  <c r="L272" i="4" s="1"/>
  <c r="A272" i="4"/>
  <c r="K271" i="4"/>
  <c r="L271" i="4" s="1"/>
  <c r="A271" i="4"/>
  <c r="K270" i="4"/>
  <c r="L270" i="4" s="1"/>
  <c r="A270" i="4"/>
  <c r="K269" i="4"/>
  <c r="L269" i="4" s="1"/>
  <c r="A269" i="4"/>
  <c r="K268" i="4"/>
  <c r="L268" i="4" s="1"/>
  <c r="A268" i="4"/>
  <c r="K267" i="4"/>
  <c r="L267" i="4" s="1"/>
  <c r="A267" i="4"/>
  <c r="K266" i="4"/>
  <c r="L266" i="4" s="1"/>
  <c r="A266" i="4"/>
  <c r="K265" i="4"/>
  <c r="L265" i="4" s="1"/>
  <c r="A265" i="4"/>
  <c r="K264" i="4"/>
  <c r="L264" i="4" s="1"/>
  <c r="A264" i="4"/>
  <c r="K263" i="4"/>
  <c r="L263" i="4" s="1"/>
  <c r="A263" i="4"/>
  <c r="K262" i="4"/>
  <c r="L262" i="4" s="1"/>
  <c r="A262" i="4"/>
  <c r="K261" i="4"/>
  <c r="L261" i="4" s="1"/>
  <c r="A261" i="4"/>
  <c r="K260" i="4"/>
  <c r="L260" i="4" s="1"/>
  <c r="A260" i="4"/>
  <c r="K259" i="4"/>
  <c r="L259" i="4" s="1"/>
  <c r="A259" i="4"/>
  <c r="K258" i="4"/>
  <c r="L258" i="4" s="1"/>
  <c r="A258" i="4"/>
  <c r="K257" i="4"/>
  <c r="L257" i="4" s="1"/>
  <c r="A257" i="4"/>
  <c r="K256" i="4"/>
  <c r="L256" i="4" s="1"/>
  <c r="A256" i="4"/>
  <c r="K255" i="4"/>
  <c r="L255" i="4" s="1"/>
  <c r="A255" i="4"/>
  <c r="K254" i="4"/>
  <c r="L254" i="4" s="1"/>
  <c r="A254" i="4"/>
  <c r="K253" i="4"/>
  <c r="L253" i="4" s="1"/>
  <c r="A253" i="4"/>
  <c r="K252" i="4"/>
  <c r="L252" i="4" s="1"/>
  <c r="A252" i="4"/>
  <c r="K251" i="4"/>
  <c r="L251" i="4" s="1"/>
  <c r="A251" i="4"/>
  <c r="K250" i="4"/>
  <c r="L250" i="4" s="1"/>
  <c r="A250" i="4"/>
  <c r="K249" i="4"/>
  <c r="L249" i="4" s="1"/>
  <c r="A249" i="4"/>
  <c r="K248" i="4"/>
  <c r="L248" i="4" s="1"/>
  <c r="A248" i="4"/>
  <c r="K247" i="4"/>
  <c r="L247" i="4" s="1"/>
  <c r="A247" i="4"/>
  <c r="K246" i="4"/>
  <c r="L246" i="4" s="1"/>
  <c r="A246" i="4"/>
  <c r="K245" i="4"/>
  <c r="L245" i="4" s="1"/>
  <c r="A245" i="4"/>
  <c r="K244" i="4"/>
  <c r="L244" i="4" s="1"/>
  <c r="A244" i="4"/>
  <c r="K243" i="4"/>
  <c r="L243" i="4" s="1"/>
  <c r="A243" i="4"/>
  <c r="K242" i="4"/>
  <c r="L242" i="4" s="1"/>
  <c r="A242" i="4"/>
  <c r="K241" i="4"/>
  <c r="L241" i="4" s="1"/>
  <c r="A241" i="4"/>
  <c r="K240" i="4"/>
  <c r="L240" i="4" s="1"/>
  <c r="A240" i="4"/>
  <c r="K239" i="4"/>
  <c r="L239" i="4" s="1"/>
  <c r="A239" i="4"/>
  <c r="K238" i="4"/>
  <c r="L238" i="4" s="1"/>
  <c r="A238" i="4"/>
  <c r="K237" i="4"/>
  <c r="L237" i="4" s="1"/>
  <c r="A237" i="4"/>
  <c r="K236" i="4"/>
  <c r="L236" i="4" s="1"/>
  <c r="A236" i="4"/>
  <c r="K235" i="4"/>
  <c r="L235" i="4" s="1"/>
  <c r="A235" i="4"/>
  <c r="K234" i="4"/>
  <c r="L234" i="4" s="1"/>
  <c r="A234" i="4"/>
  <c r="K233" i="4"/>
  <c r="L233" i="4" s="1"/>
  <c r="A233" i="4"/>
  <c r="K232" i="4"/>
  <c r="L232" i="4" s="1"/>
  <c r="A232" i="4"/>
  <c r="K231" i="4"/>
  <c r="L231" i="4" s="1"/>
  <c r="A231" i="4"/>
  <c r="K230" i="4"/>
  <c r="L230" i="4" s="1"/>
  <c r="A230" i="4"/>
  <c r="K229" i="4"/>
  <c r="L229" i="4" s="1"/>
  <c r="A229" i="4"/>
  <c r="K228" i="4"/>
  <c r="L228" i="4" s="1"/>
  <c r="A228" i="4"/>
  <c r="K227" i="4"/>
  <c r="L227" i="4" s="1"/>
  <c r="A227" i="4"/>
  <c r="K226" i="4"/>
  <c r="L226" i="4" s="1"/>
  <c r="A226" i="4"/>
  <c r="K225" i="4"/>
  <c r="L225" i="4" s="1"/>
  <c r="A225" i="4"/>
  <c r="K224" i="4"/>
  <c r="L224" i="4" s="1"/>
  <c r="A224" i="4"/>
  <c r="K223" i="4"/>
  <c r="L223" i="4" s="1"/>
  <c r="A223" i="4"/>
  <c r="K222" i="4"/>
  <c r="L222" i="4" s="1"/>
  <c r="A222" i="4"/>
  <c r="K221" i="4"/>
  <c r="L221" i="4" s="1"/>
  <c r="A221" i="4"/>
  <c r="K220" i="4"/>
  <c r="L220" i="4" s="1"/>
  <c r="A220" i="4"/>
  <c r="K219" i="4"/>
  <c r="L219" i="4" s="1"/>
  <c r="A219" i="4"/>
  <c r="K218" i="4"/>
  <c r="L218" i="4" s="1"/>
  <c r="A218" i="4"/>
  <c r="K217" i="4"/>
  <c r="L217" i="4" s="1"/>
  <c r="A217" i="4"/>
  <c r="K216" i="4"/>
  <c r="L216" i="4" s="1"/>
  <c r="A216" i="4"/>
  <c r="K215" i="4"/>
  <c r="L215" i="4" s="1"/>
  <c r="A215" i="4"/>
  <c r="K214" i="4"/>
  <c r="L214" i="4" s="1"/>
  <c r="A214" i="4"/>
  <c r="K213" i="4"/>
  <c r="L213" i="4" s="1"/>
  <c r="A213" i="4"/>
  <c r="K212" i="4"/>
  <c r="L212" i="4" s="1"/>
  <c r="A212" i="4"/>
  <c r="K211" i="4"/>
  <c r="L211" i="4" s="1"/>
  <c r="A211" i="4"/>
  <c r="K210" i="4"/>
  <c r="L210" i="4" s="1"/>
  <c r="A210" i="4"/>
  <c r="K209" i="4"/>
  <c r="L209" i="4" s="1"/>
  <c r="A209" i="4"/>
  <c r="K208" i="4"/>
  <c r="L208" i="4" s="1"/>
  <c r="A208" i="4"/>
  <c r="K207" i="4"/>
  <c r="L207" i="4" s="1"/>
  <c r="A207" i="4"/>
  <c r="K206" i="4"/>
  <c r="L206" i="4" s="1"/>
  <c r="A206" i="4"/>
  <c r="K205" i="4"/>
  <c r="L205" i="4" s="1"/>
  <c r="A205" i="4"/>
  <c r="K204" i="4"/>
  <c r="L204" i="4" s="1"/>
  <c r="A204" i="4"/>
  <c r="K203" i="4"/>
  <c r="L203" i="4" s="1"/>
  <c r="A203" i="4"/>
  <c r="K202" i="4"/>
  <c r="L202" i="4" s="1"/>
  <c r="A202" i="4"/>
  <c r="K201" i="4"/>
  <c r="L201" i="4" s="1"/>
  <c r="A201" i="4"/>
  <c r="K200" i="4"/>
  <c r="L200" i="4" s="1"/>
  <c r="A200" i="4"/>
  <c r="K199" i="4"/>
  <c r="L199" i="4" s="1"/>
  <c r="A199" i="4"/>
  <c r="K198" i="4"/>
  <c r="L198" i="4" s="1"/>
  <c r="A198" i="4"/>
  <c r="K197" i="4"/>
  <c r="L197" i="4" s="1"/>
  <c r="A197" i="4"/>
  <c r="K196" i="4"/>
  <c r="L196" i="4" s="1"/>
  <c r="A196" i="4"/>
  <c r="K195" i="4"/>
  <c r="L195" i="4" s="1"/>
  <c r="A195" i="4"/>
  <c r="K194" i="4"/>
  <c r="L194" i="4" s="1"/>
  <c r="A194" i="4"/>
  <c r="K193" i="4"/>
  <c r="L193" i="4" s="1"/>
  <c r="A193" i="4"/>
  <c r="K192" i="4"/>
  <c r="L192" i="4" s="1"/>
  <c r="A192" i="4"/>
  <c r="K191" i="4"/>
  <c r="L191" i="4" s="1"/>
  <c r="A191" i="4"/>
  <c r="K190" i="4"/>
  <c r="L190" i="4" s="1"/>
  <c r="A190" i="4"/>
  <c r="K189" i="4"/>
  <c r="L189" i="4" s="1"/>
  <c r="A189" i="4"/>
  <c r="K188" i="4"/>
  <c r="L188" i="4" s="1"/>
  <c r="A188" i="4"/>
  <c r="K187" i="4"/>
  <c r="L187" i="4" s="1"/>
  <c r="A187" i="4"/>
  <c r="K186" i="4"/>
  <c r="L186" i="4" s="1"/>
  <c r="A186" i="4"/>
  <c r="K185" i="4"/>
  <c r="L185" i="4" s="1"/>
  <c r="A185" i="4"/>
  <c r="K184" i="4"/>
  <c r="L184" i="4" s="1"/>
  <c r="A184" i="4"/>
  <c r="K183" i="4"/>
  <c r="L183" i="4" s="1"/>
  <c r="A183" i="4"/>
  <c r="K182" i="4"/>
  <c r="L182" i="4" s="1"/>
  <c r="A182" i="4"/>
  <c r="K181" i="4"/>
  <c r="L181" i="4" s="1"/>
  <c r="A181" i="4"/>
  <c r="K180" i="4"/>
  <c r="L180" i="4" s="1"/>
  <c r="A180" i="4"/>
  <c r="K179" i="4"/>
  <c r="L179" i="4" s="1"/>
  <c r="A179" i="4"/>
  <c r="K178" i="4"/>
  <c r="L178" i="4" s="1"/>
  <c r="A178" i="4"/>
  <c r="K177" i="4"/>
  <c r="L177" i="4" s="1"/>
  <c r="A177" i="4"/>
  <c r="K176" i="4"/>
  <c r="L176" i="4" s="1"/>
  <c r="A176" i="4"/>
  <c r="K175" i="4"/>
  <c r="L175" i="4" s="1"/>
  <c r="A175" i="4"/>
  <c r="K174" i="4"/>
  <c r="L174" i="4" s="1"/>
  <c r="A174" i="4"/>
  <c r="K173" i="4"/>
  <c r="L173" i="4" s="1"/>
  <c r="A173" i="4"/>
  <c r="K172" i="4"/>
  <c r="L172" i="4" s="1"/>
  <c r="A172" i="4"/>
  <c r="K171" i="4"/>
  <c r="L171" i="4" s="1"/>
  <c r="A171" i="4"/>
  <c r="K170" i="4"/>
  <c r="L170" i="4" s="1"/>
  <c r="A170" i="4"/>
  <c r="K169" i="4"/>
  <c r="L169" i="4" s="1"/>
  <c r="A169" i="4"/>
  <c r="K168" i="4"/>
  <c r="L168" i="4" s="1"/>
  <c r="A168" i="4"/>
  <c r="K167" i="4"/>
  <c r="L167" i="4" s="1"/>
  <c r="A167" i="4"/>
  <c r="K166" i="4"/>
  <c r="L166" i="4" s="1"/>
  <c r="A166" i="4"/>
  <c r="K165" i="4"/>
  <c r="L165" i="4" s="1"/>
  <c r="A165" i="4"/>
  <c r="K164" i="4"/>
  <c r="L164" i="4" s="1"/>
  <c r="A164" i="4"/>
  <c r="K163" i="4"/>
  <c r="L163" i="4" s="1"/>
  <c r="A163" i="4"/>
  <c r="K162" i="4"/>
  <c r="L162" i="4" s="1"/>
  <c r="A162" i="4"/>
  <c r="K161" i="4"/>
  <c r="L161" i="4" s="1"/>
  <c r="A161" i="4"/>
  <c r="K160" i="4"/>
  <c r="L160" i="4" s="1"/>
  <c r="A160" i="4"/>
  <c r="K159" i="4"/>
  <c r="L159" i="4" s="1"/>
  <c r="A159" i="4"/>
  <c r="K158" i="4"/>
  <c r="L158" i="4" s="1"/>
  <c r="A158" i="4"/>
  <c r="K157" i="4"/>
  <c r="L157" i="4" s="1"/>
  <c r="A157" i="4"/>
  <c r="K156" i="4"/>
  <c r="L156" i="4" s="1"/>
  <c r="A156" i="4"/>
  <c r="K155" i="4"/>
  <c r="L155" i="4" s="1"/>
  <c r="A155" i="4"/>
  <c r="K154" i="4"/>
  <c r="L154" i="4" s="1"/>
  <c r="A154" i="4"/>
  <c r="K153" i="4"/>
  <c r="L153" i="4" s="1"/>
  <c r="A153" i="4"/>
  <c r="K152" i="4"/>
  <c r="L152" i="4" s="1"/>
  <c r="A152" i="4"/>
  <c r="K151" i="4"/>
  <c r="L151" i="4" s="1"/>
  <c r="A151" i="4"/>
  <c r="K150" i="4"/>
  <c r="L150" i="4" s="1"/>
  <c r="A150" i="4"/>
  <c r="K149" i="4"/>
  <c r="L149" i="4" s="1"/>
  <c r="A149" i="4"/>
  <c r="K148" i="4"/>
  <c r="L148" i="4" s="1"/>
  <c r="A148" i="4"/>
  <c r="K147" i="4"/>
  <c r="L147" i="4" s="1"/>
  <c r="A147" i="4"/>
  <c r="K146" i="4"/>
  <c r="L146" i="4" s="1"/>
  <c r="A146" i="4"/>
  <c r="K145" i="4"/>
  <c r="L145" i="4" s="1"/>
  <c r="A145" i="4"/>
  <c r="K144" i="4"/>
  <c r="L144" i="4" s="1"/>
  <c r="A144" i="4"/>
  <c r="K143" i="4"/>
  <c r="L143" i="4" s="1"/>
  <c r="A143" i="4"/>
  <c r="K142" i="4"/>
  <c r="L142" i="4" s="1"/>
  <c r="A142" i="4"/>
  <c r="K141" i="4"/>
  <c r="L141" i="4" s="1"/>
  <c r="A141" i="4"/>
  <c r="K140" i="4"/>
  <c r="L140" i="4" s="1"/>
  <c r="A140" i="4"/>
  <c r="K139" i="4"/>
  <c r="L139" i="4" s="1"/>
  <c r="A139" i="4"/>
  <c r="K138" i="4"/>
  <c r="L138" i="4" s="1"/>
  <c r="A138" i="4"/>
  <c r="K137" i="4"/>
  <c r="L137" i="4" s="1"/>
  <c r="A137" i="4"/>
  <c r="K136" i="4"/>
  <c r="L136" i="4" s="1"/>
  <c r="A136" i="4"/>
  <c r="K135" i="4"/>
  <c r="L135" i="4" s="1"/>
  <c r="A135" i="4"/>
  <c r="K134" i="4"/>
  <c r="L134" i="4" s="1"/>
  <c r="A134" i="4"/>
  <c r="K133" i="4"/>
  <c r="L133" i="4" s="1"/>
  <c r="A133" i="4"/>
  <c r="K132" i="4"/>
  <c r="L132" i="4" s="1"/>
  <c r="A132" i="4"/>
  <c r="K131" i="4"/>
  <c r="L131" i="4" s="1"/>
  <c r="A131" i="4"/>
  <c r="K130" i="4"/>
  <c r="L130" i="4" s="1"/>
  <c r="A130" i="4"/>
  <c r="K129" i="4"/>
  <c r="L129" i="4" s="1"/>
  <c r="A129" i="4"/>
  <c r="K128" i="4"/>
  <c r="L128" i="4" s="1"/>
  <c r="A128" i="4"/>
  <c r="K127" i="4"/>
  <c r="L127" i="4" s="1"/>
  <c r="A127" i="4"/>
  <c r="K126" i="4"/>
  <c r="L126" i="4" s="1"/>
  <c r="A126" i="4"/>
  <c r="K125" i="4"/>
  <c r="L125" i="4" s="1"/>
  <c r="A125" i="4"/>
  <c r="K124" i="4"/>
  <c r="L124" i="4" s="1"/>
  <c r="A124" i="4"/>
  <c r="K123" i="4"/>
  <c r="L123" i="4" s="1"/>
  <c r="A123" i="4"/>
  <c r="K122" i="4"/>
  <c r="L122" i="4" s="1"/>
  <c r="A122" i="4"/>
  <c r="K121" i="4"/>
  <c r="L121" i="4" s="1"/>
  <c r="A121" i="4"/>
  <c r="K120" i="4"/>
  <c r="L120" i="4" s="1"/>
  <c r="A120" i="4"/>
  <c r="K119" i="4"/>
  <c r="L119" i="4" s="1"/>
  <c r="A119" i="4"/>
  <c r="K118" i="4"/>
  <c r="L118" i="4" s="1"/>
  <c r="A118" i="4"/>
  <c r="K117" i="4"/>
  <c r="L117" i="4" s="1"/>
  <c r="A117" i="4"/>
  <c r="K116" i="4"/>
  <c r="L116" i="4" s="1"/>
  <c r="A116" i="4"/>
  <c r="K115" i="4"/>
  <c r="L115" i="4" s="1"/>
  <c r="A115" i="4"/>
  <c r="K114" i="4"/>
  <c r="L114" i="4" s="1"/>
  <c r="A114" i="4"/>
  <c r="K113" i="4"/>
  <c r="L113" i="4" s="1"/>
  <c r="A113" i="4"/>
  <c r="K112" i="4"/>
  <c r="L112" i="4" s="1"/>
  <c r="A112" i="4"/>
  <c r="K111" i="4"/>
  <c r="L111" i="4" s="1"/>
  <c r="A111" i="4"/>
  <c r="K110" i="4"/>
  <c r="L110" i="4" s="1"/>
  <c r="A110" i="4"/>
  <c r="K109" i="4"/>
  <c r="L109" i="4" s="1"/>
  <c r="A109" i="4"/>
  <c r="K108" i="4"/>
  <c r="L108" i="4" s="1"/>
  <c r="A108" i="4"/>
  <c r="K107" i="4"/>
  <c r="L107" i="4" s="1"/>
  <c r="A107" i="4"/>
  <c r="K106" i="4"/>
  <c r="L106" i="4" s="1"/>
  <c r="A106" i="4"/>
  <c r="K105" i="4"/>
  <c r="L105" i="4" s="1"/>
  <c r="A105" i="4"/>
  <c r="K104" i="4"/>
  <c r="L104" i="4" s="1"/>
  <c r="A104" i="4"/>
  <c r="K103" i="4"/>
  <c r="L103" i="4" s="1"/>
  <c r="A103" i="4"/>
  <c r="K102" i="4"/>
  <c r="L102" i="4" s="1"/>
  <c r="A102" i="4"/>
  <c r="K101" i="4"/>
  <c r="L101" i="4" s="1"/>
  <c r="A101" i="4"/>
  <c r="K100" i="4"/>
  <c r="L100" i="4" s="1"/>
  <c r="A100" i="4"/>
  <c r="K99" i="4"/>
  <c r="L99" i="4" s="1"/>
  <c r="A99" i="4"/>
  <c r="K98" i="4"/>
  <c r="L98" i="4" s="1"/>
  <c r="A98" i="4"/>
  <c r="K97" i="4"/>
  <c r="L97" i="4" s="1"/>
  <c r="A97" i="4"/>
  <c r="K96" i="4"/>
  <c r="L96" i="4" s="1"/>
  <c r="A96" i="4"/>
  <c r="K95" i="4"/>
  <c r="L95" i="4" s="1"/>
  <c r="A95" i="4"/>
  <c r="K94" i="4"/>
  <c r="L94" i="4" s="1"/>
  <c r="A94" i="4"/>
  <c r="K93" i="4"/>
  <c r="L93" i="4" s="1"/>
  <c r="A93" i="4"/>
  <c r="K92" i="4"/>
  <c r="L92" i="4" s="1"/>
  <c r="A92" i="4"/>
  <c r="K91" i="4"/>
  <c r="L91" i="4" s="1"/>
  <c r="A91" i="4"/>
  <c r="K90" i="4"/>
  <c r="L90" i="4" s="1"/>
  <c r="A90" i="4"/>
  <c r="K89" i="4"/>
  <c r="L89" i="4" s="1"/>
  <c r="A89" i="4"/>
  <c r="K88" i="4"/>
  <c r="L88" i="4" s="1"/>
  <c r="A88" i="4"/>
  <c r="K87" i="4"/>
  <c r="L87" i="4" s="1"/>
  <c r="A87" i="4"/>
  <c r="K86" i="4"/>
  <c r="L86" i="4" s="1"/>
  <c r="A86" i="4"/>
  <c r="K85" i="4"/>
  <c r="L85" i="4" s="1"/>
  <c r="A85" i="4"/>
  <c r="K84" i="4"/>
  <c r="L84" i="4" s="1"/>
  <c r="A84" i="4"/>
  <c r="K83" i="4"/>
  <c r="L83" i="4" s="1"/>
  <c r="A83" i="4"/>
  <c r="K82" i="4"/>
  <c r="L82" i="4" s="1"/>
  <c r="A82" i="4"/>
  <c r="K81" i="4"/>
  <c r="L81" i="4" s="1"/>
  <c r="A81" i="4"/>
  <c r="K80" i="4"/>
  <c r="L80" i="4" s="1"/>
  <c r="A80" i="4"/>
  <c r="K79" i="4"/>
  <c r="L79" i="4" s="1"/>
  <c r="A79" i="4"/>
  <c r="K78" i="4"/>
  <c r="L78" i="4" s="1"/>
  <c r="A78" i="4"/>
  <c r="K77" i="4"/>
  <c r="L77" i="4" s="1"/>
  <c r="A77" i="4"/>
  <c r="K76" i="4"/>
  <c r="L76" i="4" s="1"/>
  <c r="A76" i="4"/>
  <c r="K75" i="4"/>
  <c r="L75" i="4" s="1"/>
  <c r="A75" i="4"/>
  <c r="K74" i="4"/>
  <c r="L74" i="4" s="1"/>
  <c r="A74" i="4"/>
  <c r="K73" i="4"/>
  <c r="L73" i="4" s="1"/>
  <c r="A73" i="4"/>
  <c r="K72" i="4"/>
  <c r="L72" i="4" s="1"/>
  <c r="A72" i="4"/>
  <c r="K71" i="4"/>
  <c r="L71" i="4" s="1"/>
  <c r="A71" i="4"/>
  <c r="K70" i="4"/>
  <c r="L70" i="4" s="1"/>
  <c r="A70" i="4"/>
  <c r="K69" i="4"/>
  <c r="L69" i="4" s="1"/>
  <c r="A69" i="4"/>
  <c r="K68" i="4"/>
  <c r="L68" i="4" s="1"/>
  <c r="A68" i="4"/>
  <c r="K67" i="4"/>
  <c r="L67" i="4" s="1"/>
  <c r="A67" i="4"/>
  <c r="K66" i="4"/>
  <c r="L66" i="4" s="1"/>
  <c r="A66" i="4"/>
  <c r="K65" i="4"/>
  <c r="L65" i="4" s="1"/>
  <c r="A65" i="4"/>
  <c r="K64" i="4"/>
  <c r="L64" i="4" s="1"/>
  <c r="A64" i="4"/>
  <c r="K63" i="4"/>
  <c r="L63" i="4" s="1"/>
  <c r="A63" i="4"/>
  <c r="K62" i="4"/>
  <c r="L62" i="4" s="1"/>
  <c r="A62" i="4"/>
  <c r="K61" i="4"/>
  <c r="L61" i="4" s="1"/>
  <c r="A61" i="4"/>
  <c r="K60" i="4"/>
  <c r="L60" i="4" s="1"/>
  <c r="A60" i="4"/>
  <c r="K59" i="4"/>
  <c r="L59" i="4" s="1"/>
  <c r="A59" i="4"/>
  <c r="K58" i="4"/>
  <c r="L58" i="4" s="1"/>
  <c r="A58" i="4"/>
  <c r="K57" i="4"/>
  <c r="L57" i="4" s="1"/>
  <c r="A57" i="4"/>
  <c r="K56" i="4"/>
  <c r="L56" i="4" s="1"/>
  <c r="A56" i="4"/>
  <c r="K55" i="4"/>
  <c r="L55" i="4" s="1"/>
  <c r="A55" i="4"/>
  <c r="K54" i="4"/>
  <c r="L54" i="4" s="1"/>
  <c r="A54" i="4"/>
  <c r="K53" i="4"/>
  <c r="L53" i="4" s="1"/>
  <c r="A53" i="4"/>
  <c r="K52" i="4"/>
  <c r="L52" i="4" s="1"/>
  <c r="A52" i="4"/>
  <c r="K51" i="4"/>
  <c r="L51" i="4" s="1"/>
  <c r="A51" i="4"/>
  <c r="K50" i="4"/>
  <c r="L50" i="4" s="1"/>
  <c r="A50" i="4"/>
  <c r="K49" i="4"/>
  <c r="L49" i="4" s="1"/>
  <c r="A49" i="4"/>
  <c r="K48" i="4"/>
  <c r="L48" i="4" s="1"/>
  <c r="A48" i="4"/>
  <c r="K47" i="4"/>
  <c r="L47" i="4" s="1"/>
  <c r="A47" i="4"/>
  <c r="K46" i="4"/>
  <c r="L46" i="4" s="1"/>
  <c r="A46" i="4"/>
  <c r="K45" i="4"/>
  <c r="L45" i="4" s="1"/>
  <c r="A45" i="4"/>
  <c r="K44" i="4"/>
  <c r="L44" i="4" s="1"/>
  <c r="A44" i="4"/>
  <c r="K43" i="4"/>
  <c r="L43" i="4" s="1"/>
  <c r="A43" i="4"/>
  <c r="K42" i="4"/>
  <c r="L42" i="4" s="1"/>
  <c r="A42" i="4"/>
  <c r="K41" i="4"/>
  <c r="L41" i="4" s="1"/>
  <c r="A41" i="4"/>
  <c r="K40" i="4"/>
  <c r="L40" i="4" s="1"/>
  <c r="A40" i="4"/>
  <c r="K39" i="4"/>
  <c r="L39" i="4" s="1"/>
  <c r="A39" i="4"/>
  <c r="K38" i="4"/>
  <c r="L38" i="4" s="1"/>
  <c r="A38" i="4"/>
  <c r="K37" i="4"/>
  <c r="L37" i="4" s="1"/>
  <c r="A37" i="4"/>
  <c r="K36" i="4"/>
  <c r="L36" i="4" s="1"/>
  <c r="A36" i="4"/>
  <c r="K35" i="4"/>
  <c r="L35" i="4" s="1"/>
  <c r="A35" i="4"/>
  <c r="K34" i="4"/>
  <c r="L34" i="4" s="1"/>
  <c r="A34" i="4"/>
  <c r="K33" i="4"/>
  <c r="L33" i="4" s="1"/>
  <c r="A33" i="4"/>
  <c r="K32" i="4"/>
  <c r="L32" i="4" s="1"/>
  <c r="A32" i="4"/>
  <c r="K31" i="4"/>
  <c r="L31" i="4" s="1"/>
  <c r="A31" i="4"/>
  <c r="K30" i="4"/>
  <c r="L30" i="4" s="1"/>
  <c r="A30" i="4"/>
  <c r="K29" i="4"/>
  <c r="L29" i="4" s="1"/>
  <c r="A29" i="4"/>
  <c r="K28" i="4"/>
  <c r="L28" i="4" s="1"/>
  <c r="A28" i="4"/>
  <c r="K27" i="4"/>
  <c r="L27" i="4" s="1"/>
  <c r="A27" i="4"/>
  <c r="K26" i="4"/>
  <c r="L26" i="4" s="1"/>
  <c r="A26" i="4"/>
  <c r="K25" i="4"/>
  <c r="L25" i="4" s="1"/>
  <c r="A25" i="4"/>
  <c r="K24" i="4"/>
  <c r="L24" i="4" s="1"/>
  <c r="A24" i="4"/>
  <c r="K23" i="4"/>
  <c r="L23" i="4" s="1"/>
  <c r="A23" i="4"/>
  <c r="K22" i="4"/>
  <c r="L22" i="4" s="1"/>
  <c r="A22" i="4"/>
  <c r="K21" i="4"/>
  <c r="L21" i="4" s="1"/>
  <c r="A21" i="4"/>
  <c r="K20" i="4"/>
  <c r="L20" i="4" s="1"/>
  <c r="A20" i="4"/>
  <c r="K19" i="4"/>
  <c r="L19" i="4" s="1"/>
  <c r="A19" i="4"/>
  <c r="K18" i="4"/>
  <c r="L18" i="4" s="1"/>
  <c r="A18" i="4"/>
  <c r="K17" i="4"/>
  <c r="L17" i="4" s="1"/>
  <c r="A17" i="4"/>
  <c r="K16" i="4"/>
  <c r="L16" i="4" s="1"/>
  <c r="A16" i="4"/>
  <c r="K15" i="4"/>
  <c r="L15" i="4" s="1"/>
  <c r="A15" i="4"/>
  <c r="K14" i="4"/>
  <c r="L14" i="4" s="1"/>
  <c r="A14" i="4"/>
  <c r="K13" i="4"/>
  <c r="L13" i="4" s="1"/>
  <c r="A13" i="4"/>
  <c r="K12" i="4"/>
  <c r="L12" i="4" s="1"/>
  <c r="A12" i="4"/>
  <c r="K11" i="4"/>
  <c r="L11" i="4" s="1"/>
  <c r="A11" i="4"/>
  <c r="K10" i="4"/>
  <c r="L10" i="4" s="1"/>
  <c r="A10" i="4"/>
  <c r="K9" i="4"/>
  <c r="L9" i="4" s="1"/>
  <c r="A9" i="4"/>
  <c r="K8" i="4"/>
  <c r="L8" i="4" s="1"/>
  <c r="A8" i="4"/>
  <c r="K7" i="4"/>
  <c r="L7" i="4" s="1"/>
  <c r="A7" i="4"/>
  <c r="K6" i="4"/>
  <c r="L6" i="4" s="1"/>
  <c r="A6" i="4"/>
  <c r="K5" i="4"/>
  <c r="L5" i="4" s="1"/>
  <c r="A5" i="4"/>
  <c r="K4" i="4"/>
  <c r="L4" i="4" s="1"/>
  <c r="A4" i="4"/>
  <c r="K3" i="4"/>
  <c r="L3" i="4" s="1"/>
  <c r="A3" i="4"/>
  <c r="A216" i="3" l="1"/>
  <c r="A217" i="3"/>
  <c r="A218" i="3"/>
  <c r="A219" i="3"/>
  <c r="A220" i="3"/>
  <c r="A221" i="3"/>
  <c r="A222" i="3"/>
  <c r="A223" i="3"/>
  <c r="A224" i="3"/>
  <c r="A225" i="3"/>
  <c r="A226" i="3"/>
  <c r="A227" i="3"/>
  <c r="A228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229" i="3"/>
  <c r="A230" i="3"/>
  <c r="A231" i="3"/>
  <c r="A139" i="3"/>
  <c r="A140" i="3"/>
  <c r="A232" i="3"/>
  <c r="A233" i="3"/>
  <c r="A234" i="3"/>
  <c r="A235" i="3"/>
  <c r="A141" i="3"/>
  <c r="A142" i="3"/>
  <c r="A143" i="3"/>
  <c r="A144" i="3"/>
  <c r="A145" i="3"/>
  <c r="A146" i="3"/>
  <c r="A147" i="3"/>
  <c r="A148" i="3"/>
  <c r="A149" i="3"/>
  <c r="A150" i="3"/>
  <c r="A151" i="3"/>
  <c r="A236" i="3"/>
  <c r="A237" i="3"/>
  <c r="A238" i="3"/>
  <c r="A239" i="3"/>
  <c r="A240" i="3"/>
  <c r="A241" i="3"/>
  <c r="K216" i="3"/>
  <c r="L216" i="3" s="1"/>
  <c r="K217" i="3"/>
  <c r="L217" i="3" s="1"/>
  <c r="K218" i="3"/>
  <c r="L218" i="3" s="1"/>
  <c r="K219" i="3"/>
  <c r="L219" i="3" s="1"/>
  <c r="K220" i="3"/>
  <c r="L220" i="3" s="1"/>
  <c r="K221" i="3"/>
  <c r="L221" i="3" s="1"/>
  <c r="K222" i="3"/>
  <c r="L222" i="3" s="1"/>
  <c r="K223" i="3"/>
  <c r="L223" i="3" s="1"/>
  <c r="K224" i="3"/>
  <c r="L224" i="3" s="1"/>
  <c r="K225" i="3"/>
  <c r="L225" i="3" s="1"/>
  <c r="K226" i="3"/>
  <c r="L226" i="3" s="1"/>
  <c r="K227" i="3"/>
  <c r="L227" i="3" s="1"/>
  <c r="K228" i="3"/>
  <c r="L228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229" i="3"/>
  <c r="L229" i="3" s="1"/>
  <c r="K230" i="3"/>
  <c r="L230" i="3" s="1"/>
  <c r="K231" i="3"/>
  <c r="L231" i="3" s="1"/>
  <c r="K139" i="3"/>
  <c r="L139" i="3" s="1"/>
  <c r="K140" i="3"/>
  <c r="L140" i="3" s="1"/>
  <c r="K232" i="3"/>
  <c r="L232" i="3" s="1"/>
  <c r="K233" i="3"/>
  <c r="L233" i="3" s="1"/>
  <c r="K234" i="3"/>
  <c r="L234" i="3" s="1"/>
  <c r="K235" i="3"/>
  <c r="L235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236" i="3"/>
  <c r="L236" i="3" s="1"/>
  <c r="K237" i="3"/>
  <c r="L237" i="3" s="1"/>
  <c r="K238" i="3"/>
  <c r="L238" i="3" s="1"/>
  <c r="K239" i="3"/>
  <c r="L239" i="3" s="1"/>
  <c r="K240" i="3"/>
  <c r="L240" i="3" s="1"/>
  <c r="K241" i="3"/>
  <c r="L241" i="3" s="1"/>
  <c r="A153" i="3"/>
  <c r="A154" i="3"/>
  <c r="A155" i="3"/>
  <c r="A38" i="3"/>
  <c r="A209" i="3"/>
  <c r="A39" i="3"/>
  <c r="A40" i="3"/>
  <c r="A41" i="3"/>
  <c r="A156" i="3"/>
  <c r="A157" i="3"/>
  <c r="A158" i="3"/>
  <c r="A42" i="3"/>
  <c r="A43" i="3"/>
  <c r="A44" i="3"/>
  <c r="A45" i="3"/>
  <c r="A46" i="3"/>
  <c r="A210" i="3"/>
  <c r="A211" i="3"/>
  <c r="A212" i="3"/>
  <c r="A213" i="3"/>
  <c r="A214" i="3"/>
  <c r="A215" i="3"/>
  <c r="K153" i="3"/>
  <c r="L153" i="3" s="1"/>
  <c r="K154" i="3"/>
  <c r="L154" i="3" s="1"/>
  <c r="K155" i="3"/>
  <c r="L155" i="3" s="1"/>
  <c r="K38" i="3"/>
  <c r="L38" i="3" s="1"/>
  <c r="K209" i="3"/>
  <c r="L209" i="3" s="1"/>
  <c r="K39" i="3"/>
  <c r="L39" i="3" s="1"/>
  <c r="K40" i="3"/>
  <c r="L40" i="3" s="1"/>
  <c r="K41" i="3"/>
  <c r="L41" i="3" s="1"/>
  <c r="K156" i="3"/>
  <c r="L156" i="3" s="1"/>
  <c r="K157" i="3"/>
  <c r="L157" i="3" s="1"/>
  <c r="K158" i="3"/>
  <c r="L158" i="3" s="1"/>
  <c r="K42" i="3"/>
  <c r="L42" i="3" s="1"/>
  <c r="K43" i="3"/>
  <c r="L43" i="3" s="1"/>
  <c r="K44" i="3"/>
  <c r="L44" i="3" s="1"/>
  <c r="K45" i="3"/>
  <c r="L45" i="3" s="1"/>
  <c r="K46" i="3"/>
  <c r="L46" i="3" s="1"/>
  <c r="K210" i="3"/>
  <c r="L210" i="3" s="1"/>
  <c r="K211" i="3"/>
  <c r="L211" i="3" s="1"/>
  <c r="K212" i="3"/>
  <c r="L212" i="3" s="1"/>
  <c r="K213" i="3"/>
  <c r="L213" i="3" s="1"/>
  <c r="K214" i="3"/>
  <c r="L214" i="3" s="1"/>
  <c r="K215" i="3"/>
  <c r="L215" i="3" s="1"/>
  <c r="A5" i="3"/>
  <c r="A3" i="3"/>
  <c r="A6" i="3"/>
  <c r="A7" i="3"/>
  <c r="A202" i="3"/>
  <c r="A203" i="3"/>
  <c r="A204" i="3"/>
  <c r="A205" i="3"/>
  <c r="A206" i="3"/>
  <c r="A207" i="3"/>
  <c r="A208" i="3"/>
  <c r="A8" i="3"/>
  <c r="A4" i="3"/>
  <c r="A9" i="3"/>
  <c r="A10" i="3"/>
  <c r="A11" i="3"/>
  <c r="A12" i="3"/>
  <c r="A17" i="3"/>
  <c r="A18" i="3"/>
  <c r="A19" i="3"/>
  <c r="A20" i="3"/>
  <c r="A13" i="3"/>
  <c r="A21" i="3"/>
  <c r="A14" i="3"/>
  <c r="A15" i="3"/>
  <c r="A16" i="3"/>
  <c r="A152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K5" i="3"/>
  <c r="L5" i="3" s="1"/>
  <c r="K3" i="3"/>
  <c r="L3" i="3" s="1"/>
  <c r="K6" i="3"/>
  <c r="L6" i="3" s="1"/>
  <c r="K7" i="3"/>
  <c r="L7" i="3" s="1"/>
  <c r="K202" i="3"/>
  <c r="L202" i="3" s="1"/>
  <c r="K203" i="3"/>
  <c r="L203" i="3" s="1"/>
  <c r="K204" i="3"/>
  <c r="L204" i="3" s="1"/>
  <c r="K205" i="3"/>
  <c r="L205" i="3" s="1"/>
  <c r="K206" i="3"/>
  <c r="L206" i="3" s="1"/>
  <c r="K207" i="3"/>
  <c r="L207" i="3" s="1"/>
  <c r="K208" i="3"/>
  <c r="L208" i="3" s="1"/>
  <c r="K8" i="3"/>
  <c r="L8" i="3" s="1"/>
  <c r="K4" i="3"/>
  <c r="L4" i="3" s="1"/>
  <c r="K9" i="3"/>
  <c r="L9" i="3" s="1"/>
  <c r="K10" i="3"/>
  <c r="L10" i="3" s="1"/>
  <c r="K11" i="3"/>
  <c r="L11" i="3" s="1"/>
  <c r="K12" i="3"/>
  <c r="L12" i="3" s="1"/>
  <c r="K17" i="3"/>
  <c r="L17" i="3" s="1"/>
  <c r="K18" i="3"/>
  <c r="L18" i="3" s="1"/>
  <c r="K19" i="3"/>
  <c r="L19" i="3" s="1"/>
  <c r="K20" i="3"/>
  <c r="L20" i="3" s="1"/>
  <c r="K13" i="3"/>
  <c r="L13" i="3" s="1"/>
  <c r="K21" i="3"/>
  <c r="L21" i="3" s="1"/>
  <c r="K14" i="3"/>
  <c r="L14" i="3" s="1"/>
  <c r="K15" i="3"/>
  <c r="L15" i="3" s="1"/>
  <c r="K16" i="3"/>
  <c r="L16" i="3" s="1"/>
  <c r="K152" i="3"/>
  <c r="L152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79" i="3" l="1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159" i="3"/>
  <c r="L159" i="3" s="1"/>
  <c r="K160" i="3"/>
  <c r="L160" i="3" s="1"/>
  <c r="K161" i="3"/>
  <c r="L161" i="3" s="1"/>
  <c r="K85" i="3"/>
  <c r="L85" i="3" s="1"/>
  <c r="K86" i="3"/>
  <c r="L86" i="3" s="1"/>
  <c r="K87" i="3"/>
  <c r="L87" i="3" s="1"/>
  <c r="K88" i="3"/>
  <c r="L88" i="3" s="1"/>
  <c r="K162" i="3"/>
  <c r="L162" i="3" s="1"/>
  <c r="K163" i="3"/>
  <c r="L163" i="3" s="1"/>
  <c r="K164" i="3"/>
  <c r="L164" i="3" s="1"/>
  <c r="K165" i="3"/>
  <c r="L165" i="3" s="1"/>
  <c r="K166" i="3"/>
  <c r="L166" i="3" s="1"/>
  <c r="K89" i="3"/>
  <c r="L89" i="3" s="1"/>
  <c r="K90" i="3"/>
  <c r="L90" i="3" s="1"/>
  <c r="K91" i="3"/>
  <c r="L91" i="3" s="1"/>
  <c r="K167" i="3"/>
  <c r="L167" i="3" s="1"/>
  <c r="K168" i="3"/>
  <c r="L168" i="3" s="1"/>
  <c r="K169" i="3"/>
  <c r="L169" i="3" s="1"/>
  <c r="K170" i="3"/>
  <c r="L170" i="3" s="1"/>
  <c r="K171" i="3"/>
  <c r="L171" i="3" s="1"/>
  <c r="K92" i="3"/>
  <c r="L92" i="3" s="1"/>
  <c r="K172" i="3"/>
  <c r="L172" i="3" s="1"/>
  <c r="K173" i="3"/>
  <c r="L173" i="3" s="1"/>
  <c r="K174" i="3"/>
  <c r="L174" i="3" s="1"/>
  <c r="K175" i="3"/>
  <c r="L175" i="3" s="1"/>
  <c r="K176" i="3"/>
  <c r="L176" i="3" s="1"/>
  <c r="K177" i="3"/>
  <c r="L177" i="3" s="1"/>
  <c r="K178" i="3"/>
  <c r="L178" i="3" s="1"/>
  <c r="K179" i="3"/>
  <c r="L179" i="3" s="1"/>
  <c r="K49" i="3"/>
  <c r="L49" i="3" s="1"/>
  <c r="K180" i="3"/>
  <c r="L180" i="3" s="1"/>
  <c r="K181" i="3"/>
  <c r="L181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82" i="3"/>
  <c r="L182" i="3" s="1"/>
  <c r="K183" i="3"/>
  <c r="L183" i="3" s="1"/>
  <c r="K184" i="3"/>
  <c r="L184" i="3" s="1"/>
  <c r="K185" i="3"/>
  <c r="L18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192" i="3"/>
  <c r="L192" i="3" s="1"/>
  <c r="K193" i="3"/>
  <c r="L193" i="3" s="1"/>
  <c r="K194" i="3"/>
  <c r="L194" i="3" s="1"/>
  <c r="K195" i="3"/>
  <c r="L195" i="3" s="1"/>
  <c r="K196" i="3"/>
  <c r="L196" i="3" s="1"/>
  <c r="K197" i="3"/>
  <c r="L197" i="3" s="1"/>
  <c r="K198" i="3"/>
  <c r="L198" i="3" s="1"/>
  <c r="K199" i="3"/>
  <c r="L199" i="3" s="1"/>
  <c r="K200" i="3"/>
  <c r="L200" i="3" s="1"/>
  <c r="K201" i="3"/>
  <c r="L201" i="3" s="1"/>
  <c r="A79" i="3"/>
  <c r="A80" i="3"/>
  <c r="A81" i="3"/>
  <c r="A82" i="3"/>
  <c r="A83" i="3"/>
  <c r="A84" i="3"/>
  <c r="A159" i="3"/>
  <c r="A160" i="3"/>
  <c r="A161" i="3"/>
  <c r="A85" i="3"/>
  <c r="A86" i="3"/>
  <c r="A87" i="3"/>
  <c r="A88" i="3"/>
  <c r="A162" i="3"/>
  <c r="A163" i="3"/>
  <c r="A164" i="3"/>
  <c r="A165" i="3"/>
  <c r="A166" i="3"/>
  <c r="A89" i="3"/>
  <c r="A90" i="3"/>
  <c r="A91" i="3"/>
  <c r="A167" i="3"/>
  <c r="A168" i="3"/>
  <c r="A169" i="3"/>
  <c r="A170" i="3"/>
  <c r="A171" i="3"/>
  <c r="A92" i="3"/>
  <c r="A172" i="3"/>
  <c r="A173" i="3"/>
  <c r="A174" i="3"/>
  <c r="A175" i="3"/>
  <c r="A176" i="3"/>
  <c r="A177" i="3"/>
  <c r="A178" i="3"/>
  <c r="A179" i="3"/>
  <c r="A49" i="3"/>
  <c r="A180" i="3"/>
  <c r="A181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K47" i="3"/>
  <c r="L47" i="3" s="1"/>
  <c r="A47" i="3"/>
  <c r="K70" i="3"/>
  <c r="L70" i="3" s="1"/>
  <c r="K71" i="3"/>
  <c r="L71" i="3" s="1"/>
  <c r="K72" i="3"/>
  <c r="L72" i="3" s="1"/>
  <c r="K73" i="3"/>
  <c r="L73" i="3" s="1"/>
  <c r="K74" i="3"/>
  <c r="L74" i="3" s="1"/>
  <c r="A70" i="3"/>
  <c r="A71" i="3"/>
  <c r="A72" i="3"/>
  <c r="A73" i="3"/>
  <c r="A74" i="3"/>
  <c r="A53" i="3"/>
  <c r="K53" i="3"/>
  <c r="L53" i="3" s="1"/>
  <c r="A68" i="3"/>
  <c r="A69" i="3"/>
  <c r="K68" i="3"/>
  <c r="L68" i="3" s="1"/>
  <c r="K69" i="3"/>
  <c r="L69" i="3" s="1"/>
  <c r="K60" i="3"/>
  <c r="L60" i="3" s="1"/>
  <c r="K54" i="3"/>
  <c r="L54" i="3" s="1"/>
  <c r="K55" i="3"/>
  <c r="L55" i="3" s="1"/>
  <c r="A60" i="3"/>
  <c r="A54" i="3"/>
  <c r="A55" i="3"/>
  <c r="A61" i="3"/>
  <c r="A48" i="3"/>
  <c r="K61" i="3"/>
  <c r="L61" i="3" s="1"/>
  <c r="K48" i="3"/>
  <c r="L48" i="3" s="1"/>
  <c r="K77" i="3"/>
  <c r="L77" i="3" s="1"/>
  <c r="K63" i="3"/>
  <c r="L63" i="3" s="1"/>
  <c r="K50" i="3"/>
  <c r="L50" i="3" s="1"/>
  <c r="K56" i="3"/>
  <c r="L56" i="3" s="1"/>
  <c r="K62" i="3"/>
  <c r="L62" i="3" s="1"/>
  <c r="K52" i="3"/>
  <c r="L52" i="3" s="1"/>
  <c r="K58" i="3"/>
  <c r="L58" i="3" s="1"/>
  <c r="K51" i="3"/>
  <c r="L51" i="3" s="1"/>
  <c r="K65" i="3"/>
  <c r="L65" i="3" s="1"/>
  <c r="K78" i="3"/>
  <c r="L78" i="3" s="1"/>
  <c r="K76" i="3"/>
  <c r="L76" i="3" s="1"/>
  <c r="K64" i="3"/>
  <c r="L64" i="3" s="1"/>
  <c r="K67" i="3"/>
  <c r="L67" i="3" s="1"/>
  <c r="K59" i="3"/>
  <c r="L59" i="3" s="1"/>
  <c r="K57" i="3"/>
  <c r="L57" i="3" s="1"/>
  <c r="K75" i="3"/>
  <c r="L75" i="3" s="1"/>
  <c r="K66" i="3"/>
  <c r="L66" i="3" s="1"/>
  <c r="A63" i="3"/>
  <c r="A77" i="3"/>
  <c r="A50" i="3"/>
  <c r="A56" i="3"/>
  <c r="A62" i="3"/>
  <c r="A52" i="3"/>
  <c r="A58" i="3"/>
  <c r="A66" i="3"/>
  <c r="A75" i="3"/>
  <c r="A57" i="3"/>
  <c r="A59" i="3"/>
  <c r="A67" i="3"/>
  <c r="A64" i="3"/>
  <c r="A76" i="3"/>
  <c r="A78" i="3"/>
  <c r="A65" i="3"/>
  <c r="A51" i="3"/>
</calcChain>
</file>

<file path=xl/sharedStrings.xml><?xml version="1.0" encoding="utf-8"?>
<sst xmlns="http://schemas.openxmlformats.org/spreadsheetml/2006/main" count="11405" uniqueCount="1524">
  <si>
    <t>PDTE POR FACTURAR</t>
  </si>
  <si>
    <t>AÑO</t>
  </si>
  <si>
    <t>FECHA</t>
  </si>
  <si>
    <t>REFERENCIA FERTRAC</t>
  </si>
  <si>
    <t>DESCRIPCION</t>
  </si>
  <si>
    <t>CANT PDTE X FACT</t>
  </si>
  <si>
    <t>VALOR PDTE X FACT</t>
  </si>
  <si>
    <t>VEND</t>
  </si>
  <si>
    <t>MES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</si>
  <si>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</si>
  <si>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</si>
  <si>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</si>
  <si>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</si>
  <si>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</si>
  <si>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</si>
  <si>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</si>
  <si>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</si>
  <si>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</si>
  <si>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</si>
  <si>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</si>
  <si>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</si>
  <si>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2035007C2</t>
  </si>
  <si>
    <t>PERA/SENSOR LUZ DIA BLANCA</t>
  </si>
  <si>
    <t>R801074/TIPO 3</t>
  </si>
  <si>
    <t>RACHE AUTO CH CC 6" TP3 1-1/2"28E</t>
  </si>
  <si>
    <t>ARANDELA TORRE MONO PARA 18</t>
  </si>
  <si>
    <t>FLXK342-734</t>
  </si>
  <si>
    <t>BOLSA SILLA CZ TODAS INTER</t>
  </si>
  <si>
    <t>BOLSA SUSPENSION CABINA EAGLE</t>
  </si>
  <si>
    <t>R607232</t>
  </si>
  <si>
    <t>LEVA FRENO TRAILER RH WATSON -28E</t>
  </si>
  <si>
    <t>T121804KXTREJ</t>
  </si>
  <si>
    <t>KIT JUNTA FIJA MAZDA 626 ASAHI 2.0</t>
  </si>
  <si>
    <t>795011-2</t>
  </si>
  <si>
    <t>FAN CLUTCH T800 2 TIEM MT ISM BALN 30 mm</t>
  </si>
  <si>
    <t>R607231</t>
  </si>
  <si>
    <t>LEVA FRENO TRAILER LH WATSON -28E</t>
  </si>
  <si>
    <t>5-676XDANA</t>
  </si>
  <si>
    <t>CRUCETA CARDAN 19 1/2" MIXTA C/GRAPAS</t>
  </si>
  <si>
    <t>R802486</t>
  </si>
  <si>
    <t>RACHE AUTO CH CC 6" TRAS TP1 1-1/2"28E</t>
  </si>
  <si>
    <t>R210088</t>
  </si>
  <si>
    <t>BUJE SPLINDER R1309</t>
  </si>
  <si>
    <t>A5000B</t>
  </si>
  <si>
    <t>VALVULA REGULADORA 14715/18/915/918/16</t>
  </si>
  <si>
    <t>2042478C2</t>
  </si>
  <si>
    <t>PERA/SENSOR FRENO</t>
  </si>
  <si>
    <t>MFC519TREJ</t>
  </si>
  <si>
    <t>PRENSA DE CLUTCH HINO 155 NISS 160 11,8</t>
  </si>
  <si>
    <t>X007784</t>
  </si>
  <si>
    <t>ABRAZADERA EXOSTO 4"</t>
  </si>
  <si>
    <t>1250E473</t>
  </si>
  <si>
    <t>TAPON IMANTADO TRANSMISION</t>
  </si>
  <si>
    <t>ARANDELA PLANETARIO 46000 LB</t>
  </si>
  <si>
    <t>1212/212ZNBR</t>
  </si>
  <si>
    <t>BALINERA REFORZADA GERMANY</t>
  </si>
  <si>
    <t>6.5-70-18X</t>
  </si>
  <si>
    <t>JUEGO CHAPETA CRUCETA 15 1/2" 17 1/2"</t>
  </si>
  <si>
    <t>5-280XDANA</t>
  </si>
  <si>
    <t>CRUCETA 15.5CM (334) SERIE 1710 PAREJA</t>
  </si>
  <si>
    <t>06-23464-000</t>
  </si>
  <si>
    <t>PERA/SENSOR TEMPERATURA DIFEREN COLUMBIA</t>
  </si>
  <si>
    <t>2210V7536</t>
  </si>
  <si>
    <t>LEVA FRENO TRAS 13" 3/4 (Z)</t>
  </si>
  <si>
    <t>R806024A</t>
  </si>
  <si>
    <t>RACHE AUT CONT RAP SH CC 5"Y 6" 28 E</t>
  </si>
  <si>
    <t>K2170/A5454</t>
  </si>
  <si>
    <t>VALVULA REGULADORA 14715/915/718/8908LL</t>
  </si>
  <si>
    <t>S6914/R306121</t>
  </si>
  <si>
    <t>BUJE TRIFUNCIONAL KIT JGOx6</t>
  </si>
  <si>
    <t>ASBESTO FAN CLUTCH DRIVE MASTER 8" JGOX2</t>
  </si>
  <si>
    <t>KIT DE REPARACION MENOR HTS VIEJO</t>
  </si>
  <si>
    <t>125327/125892</t>
  </si>
  <si>
    <t>SEPARADOR</t>
  </si>
  <si>
    <t>230836-01</t>
  </si>
  <si>
    <t>BARRA SUJETADORA  DEL CINTURON SEGURIDAD</t>
  </si>
  <si>
    <t>ASH-48X74</t>
  </si>
  <si>
    <t>SHIMS SPLINDER 328349  A= 0.70</t>
  </si>
  <si>
    <t>CANASTILLA 1RA Y 2DA CORREDIZO FS6305A</t>
  </si>
  <si>
    <t>2210W7537</t>
  </si>
  <si>
    <t>LEVA FRENO TRAS 13" 3/4 (S)</t>
  </si>
  <si>
    <t>GTD2113-1</t>
  </si>
  <si>
    <t>VALVULA DESFOGUE TANQUE COMBUSTIBLE</t>
  </si>
  <si>
    <t>PIN TREN FIJO PARTE TRAS 16918/11210B/C</t>
  </si>
  <si>
    <t>66690-000H</t>
  </si>
  <si>
    <t>BARRA TORSION DE SUSP TR1601</t>
  </si>
  <si>
    <t>448-4837</t>
  </si>
  <si>
    <t>TUERCA EJE DELANTERO KW FINA 18 HILOS</t>
  </si>
  <si>
    <t>R824007</t>
  </si>
  <si>
    <t>RACHE FRENO MEC.1-5/8"-37E</t>
  </si>
  <si>
    <t>5-170XTREJ</t>
  </si>
  <si>
    <t>CRUCETA CONROL DIRECCION</t>
  </si>
  <si>
    <t>NAT2505475C1 NP</t>
  </si>
  <si>
    <t>VALVULA REG DE SILLA BOTON ROJA</t>
  </si>
  <si>
    <t>ARANDELA AJUSTE CDIZO  ESTRIA INTERNA-BL</t>
  </si>
  <si>
    <t>R806013A</t>
  </si>
  <si>
    <t>RACH AUT CONT RAPI SH CC 6" 28E REC TRAY</t>
  </si>
  <si>
    <t>R607325</t>
  </si>
  <si>
    <t>LEVA DE FRENO 28E  1 1/2" TRAILER ROMARC</t>
  </si>
  <si>
    <t>R607326</t>
  </si>
  <si>
    <t>LEVA DE FRENO 28E DE 1 1/2" PARA TRAILER</t>
  </si>
  <si>
    <t>PIN PUNTA CDIZO 14715</t>
  </si>
  <si>
    <t>PIN TREN FIJO TRAS (14366 TODAS)</t>
  </si>
  <si>
    <t>R607105</t>
  </si>
  <si>
    <t>LEVA FRENO LH 10E KW TRASERA</t>
  </si>
  <si>
    <t>40X1145</t>
  </si>
  <si>
    <t>TUERCA SPEED DELANTERO 46160 (1229G4063)</t>
  </si>
  <si>
    <t>SPLINDER 14600 LB BUJE PLAS 9,06" x 1,87</t>
  </si>
  <si>
    <t>RODILLO TREN FIJO PARTE TRAS - TODAS 18</t>
  </si>
  <si>
    <t>4304599/6027FULLER</t>
  </si>
  <si>
    <t>RODILLO TREN FIJO/MS1309 GERX</t>
  </si>
  <si>
    <t>4302074/21343</t>
  </si>
  <si>
    <t>RODILLO TORRE MONO 14715/16915</t>
  </si>
  <si>
    <t>PIÑÓN 4TA TREN FIJO FS6305A</t>
  </si>
  <si>
    <t>A11205A2731</t>
  </si>
  <si>
    <t>RETENEDOR SPEED 46160</t>
  </si>
  <si>
    <t>1R13-235/C25872</t>
  </si>
  <si>
    <t>BOLSA SUSPENSION TANDEM</t>
  </si>
  <si>
    <t>4304599LINK</t>
  </si>
  <si>
    <t>K3288</t>
  </si>
  <si>
    <t>KIT EMPAQUES PRINCIPAL 14/16918</t>
  </si>
  <si>
    <t>ARANDELA SATELITE 46 MLB</t>
  </si>
  <si>
    <t>1229K3001</t>
  </si>
  <si>
    <t>ARANDELA SATELITE ESCUALIZACION 46160</t>
  </si>
  <si>
    <t>1229L3002/9805</t>
  </si>
  <si>
    <t>ARANDELA PLANETARIO 46160</t>
  </si>
  <si>
    <t>9122/4101</t>
  </si>
  <si>
    <t>BOLSA TRA10.62ANx5.50CCx27.30AL+7.88D+4T</t>
  </si>
  <si>
    <t>BOLSA TAN 10.12ANx6.20CCx22AL+1T</t>
  </si>
  <si>
    <t>O'RING EJE TOMA TODAS</t>
  </si>
  <si>
    <t>PIN EJE DE SALIDA 34/38/44/46 LB</t>
  </si>
  <si>
    <t>SK1600</t>
  </si>
  <si>
    <t>PLACA ADAPTADORA</t>
  </si>
  <si>
    <t>5566508 REFOR</t>
  </si>
  <si>
    <t>BALINERA MONO REFORZADA</t>
  </si>
  <si>
    <t>PIN ESPIRAL PIÑON 4303422</t>
  </si>
  <si>
    <t>3536822C1</t>
  </si>
  <si>
    <t>PERA SENSOR TRASM. Y DIFERENCIAL 7600</t>
  </si>
  <si>
    <t>6209 NTN</t>
  </si>
  <si>
    <t>BALINERA FAN CLUTCH KYSOR</t>
  </si>
  <si>
    <t>K2054</t>
  </si>
  <si>
    <t>KIT EMPAQUES MONO 14715/16915/8908LL</t>
  </si>
  <si>
    <t>PAI466-103-001</t>
  </si>
  <si>
    <t>OVERHAUL DT466 PISTON 410024 "1824810C1"</t>
  </si>
  <si>
    <t>44695 000L</t>
  </si>
  <si>
    <t>CORBATIN TENSORA MARCA HENDRICKSON</t>
  </si>
  <si>
    <t>89489/APV3137</t>
  </si>
  <si>
    <t>TENSOR CORREA PARA DETROT SERIE 60</t>
  </si>
  <si>
    <t>993284/ N.C / N.O</t>
  </si>
  <si>
    <t>ELECTRO VALVULA FAN CABLE  NEGRO-ROJO</t>
  </si>
  <si>
    <t>6.5-4-2711-1XR MER</t>
  </si>
  <si>
    <t>YOKE DIV 46E S 5438 Q 2 5/8" R 3 1/4"</t>
  </si>
  <si>
    <t>PAI466-112-001</t>
  </si>
  <si>
    <t>OVERHAUL MTR DT466  PIST-1833092</t>
  </si>
  <si>
    <t>PIN BALINERA O RODILLO EJE DE TOMA - TOD</t>
  </si>
  <si>
    <t>RESORTE EJE SALIDA 44/46 MLB</t>
  </si>
  <si>
    <t>SPL170X-1X/DANA</t>
  </si>
  <si>
    <t>CRUCETA 6,456 DADO 2165 (2 5/32" APROX)</t>
  </si>
  <si>
    <t>SET406TMK</t>
  </si>
  <si>
    <t>SET ROD Y PISTA3782/3720 TRAS TREN FIJO</t>
  </si>
  <si>
    <t>PIVOTE EJE SALIDA DS/DP 46 LBS</t>
  </si>
  <si>
    <t>4494973 STM</t>
  </si>
  <si>
    <t>TUERCA EJE TRASERO KW / JGO P/1 LLANTA</t>
  </si>
  <si>
    <t>1090-09650-01</t>
  </si>
  <si>
    <t>FAN CLUTCH TIPO KYSOR K32S</t>
  </si>
  <si>
    <t>5-675XDANA</t>
  </si>
  <si>
    <t>CRUCETA CARDAN 15 1/2" MIXTA S1710 C/GRA</t>
  </si>
  <si>
    <t>R201309</t>
  </si>
  <si>
    <t>JUEGO SPLINDER 10,39" x 1,79"</t>
  </si>
  <si>
    <t>PERA/SENSOR REVERSO TODAS</t>
  </si>
  <si>
    <t>1S-DP/Q995568</t>
  </si>
  <si>
    <t>KIT REPARACION ADVANTAGE MANZ 2 1/2" Y 5</t>
  </si>
  <si>
    <t>KIT DE REPARACION MAYOR HTS 9 1/2"</t>
  </si>
  <si>
    <t>4474723STM</t>
  </si>
  <si>
    <t>TUERCA TRAILER TODOS</t>
  </si>
  <si>
    <t>2210N7632</t>
  </si>
  <si>
    <t>LEVA FRENO TRAS (PRO -9400) 16" 5/16 S</t>
  </si>
  <si>
    <t>X71007</t>
  </si>
  <si>
    <t>TORNILLO PUNTA EJE MONO</t>
  </si>
  <si>
    <t>4304508/3666B</t>
  </si>
  <si>
    <t>PIÑON TREN FIJO 14918/16</t>
  </si>
  <si>
    <t>16118B/4306648</t>
  </si>
  <si>
    <t>PIÑA CDIZO</t>
  </si>
  <si>
    <t>A4740B/396431</t>
  </si>
  <si>
    <t>VALVULA REGUL. 8709/16918/14918/718/6610</t>
  </si>
  <si>
    <t>RODILLO TORRE MONO 918</t>
  </si>
  <si>
    <t>R615019</t>
  </si>
  <si>
    <t>KIT MAYOR REPA LEVA DE FRENO TRAILER</t>
  </si>
  <si>
    <t>K3399</t>
  </si>
  <si>
    <t>KIT BUJE Y PASADO (JGOX2)TODAS CON HUECO</t>
  </si>
  <si>
    <t>RACOR</t>
  </si>
  <si>
    <t>RETEN BOMBA DE ACEITE 46-170 (JGOX4)</t>
  </si>
  <si>
    <t>89440/2647</t>
  </si>
  <si>
    <t>TENSOR CORREA (VENTILADOR Y ALTERNADOR)</t>
  </si>
  <si>
    <t>PAI360-104-501</t>
  </si>
  <si>
    <t>OVERHAUL DT360 PISTON 410010 "1817178C2"</t>
  </si>
  <si>
    <t>108925-82AM</t>
  </si>
  <si>
    <t>KIT EMBRA. 15X2 PRENSA 9 RESORTES</t>
  </si>
  <si>
    <t>4304060B</t>
  </si>
  <si>
    <t>PIÑÓN 5TA TREN FIJO 16918</t>
  </si>
  <si>
    <t>K2061</t>
  </si>
  <si>
    <t>KIT EMPAQUES 14715/915/16915/8709B/8908</t>
  </si>
  <si>
    <t>A11205X2728</t>
  </si>
  <si>
    <t>RETENEDOR DIVISOR 46160</t>
  </si>
  <si>
    <t>X007785/ECL1942</t>
  </si>
  <si>
    <t>ABRAZADERA EXOSTO 5"</t>
  </si>
  <si>
    <t>503579C1/80579</t>
  </si>
  <si>
    <t>SOPORTE TRASERO MOTOR HI</t>
  </si>
  <si>
    <t>TUERCA  ESPIGO CENTRAL</t>
  </si>
  <si>
    <t>A23105G1151</t>
  </si>
  <si>
    <t>PORTA RETEN/ BUJE LEVA 1 1/2"FRENO DELAN</t>
  </si>
  <si>
    <t>1S6-641/2591909C1/0061</t>
  </si>
  <si>
    <t>BOLSA CABINA PROSTAR</t>
  </si>
  <si>
    <t>56946-000</t>
  </si>
  <si>
    <t>HOJA ZETA 46 MLBS</t>
  </si>
  <si>
    <t>131008K</t>
  </si>
  <si>
    <t>RETEN CON TUERCA EJE DIV Y SPEED (JGOX3)</t>
  </si>
  <si>
    <t>SET ROD Y PISTA PLANETAR DIVISOR 160</t>
  </si>
  <si>
    <t>6303 NTN</t>
  </si>
  <si>
    <t>BALINERA VOLANTE</t>
  </si>
  <si>
    <t>4300938B</t>
  </si>
  <si>
    <t>PIÑÓN CENT 918</t>
  </si>
  <si>
    <t>4305575B/20450</t>
  </si>
  <si>
    <t>HORQUILLA 3RA Y 4TA 14718/915/918/16918</t>
  </si>
  <si>
    <t>514014NEWS</t>
  </si>
  <si>
    <t>KIT RODAMIENTO TRASERO PAREJO 46170</t>
  </si>
  <si>
    <t>00102MT</t>
  </si>
  <si>
    <t>POLISOMBRA VERDE 2.10x33M</t>
  </si>
  <si>
    <t>3010303/86949</t>
  </si>
  <si>
    <t>CORBATIN SUSPENSION NEUMATICA KENWORTH</t>
  </si>
  <si>
    <t>34013 087L</t>
  </si>
  <si>
    <t>CORBATIN SUSP PUNTA TANDEM HDR (JGO X2)</t>
  </si>
  <si>
    <t>K2262</t>
  </si>
  <si>
    <t>KIT RETEN MONO 14715/16718</t>
  </si>
  <si>
    <t>BUJE PIÑON ACOPLE A-5156/ 14715</t>
  </si>
  <si>
    <t>K3220/3002466</t>
  </si>
  <si>
    <t>TORRE MONO  14/1618/918</t>
  </si>
  <si>
    <t>TRATM-100/8844</t>
  </si>
  <si>
    <t>EMPAQ. REPARA MAYOR SIS HIDRAU/ RET EAGL</t>
  </si>
  <si>
    <t>FLX5515-250CM</t>
  </si>
  <si>
    <t>MANGUERA TRM36" 92CM DI 2"1/2 3 LON AZUL</t>
  </si>
  <si>
    <t>FI 1T15M- FUELLE</t>
  </si>
  <si>
    <t>FUELLE SOLO C/TAPA SUP TRAIL RANDON BOTE</t>
  </si>
  <si>
    <t>R201315</t>
  </si>
  <si>
    <t>JGO SPLIN X15-M2106 DOBL/SENC/PATI T300</t>
  </si>
  <si>
    <t>R005960</t>
  </si>
  <si>
    <t>CONO DE 5/8" CERRADO</t>
  </si>
  <si>
    <t>R801073/R803110</t>
  </si>
  <si>
    <t>RACHE AUTO CH CC 5 1/2" TP3 1-1/2"28E</t>
  </si>
  <si>
    <t>66131/83062MON</t>
  </si>
  <si>
    <t>AMORTIGUADOR CABINA PROSTAR</t>
  </si>
  <si>
    <t>K3341</t>
  </si>
  <si>
    <t>KIT EMPAQUES MONO 14918/16</t>
  </si>
  <si>
    <t>R627034</t>
  </si>
  <si>
    <t>BUJE BRONCE(1 5/8" DI) LEVA FRENO TRAILE</t>
  </si>
  <si>
    <t>KIT2638</t>
  </si>
  <si>
    <t>KIT TUERCA Y ARANDELA DIV(40X1233/4521)</t>
  </si>
  <si>
    <t>2214G1125/3819</t>
  </si>
  <si>
    <t>TUERCA LATERAL AJUSTE DIFERENC. 6" 1/16</t>
  </si>
  <si>
    <t>2214J1128</t>
  </si>
  <si>
    <t>TUERCA LATERAL AJUSTE DIFERENCIAL 6" 1/4</t>
  </si>
  <si>
    <t>PIN ESPIRAL REVSO - TODAS</t>
  </si>
  <si>
    <t>4300907B</t>
  </si>
  <si>
    <t>PIÑA BAJO  918B</t>
  </si>
  <si>
    <t>450-4837</t>
  </si>
  <si>
    <t>PIN TUERCA</t>
  </si>
  <si>
    <t>A6918</t>
  </si>
  <si>
    <t>VALVULA DOBLE BOTON GRIS 18 CAMBIOS</t>
  </si>
  <si>
    <t>BOLSA  HAM8.88ANxA1TCx 3.12ALx2F+2T</t>
  </si>
  <si>
    <t>TUERCA EJE DE SALIDA 46-170</t>
  </si>
  <si>
    <t>KIT4423MER</t>
  </si>
  <si>
    <t>KIT RODAMIENTO DELANTERO 160- DISPAR MER</t>
  </si>
  <si>
    <t>5-515XDANA</t>
  </si>
  <si>
    <t>CRUCETA 15 1/2" MIXTA S1710 S/GRAPAS</t>
  </si>
  <si>
    <t>47691 000L</t>
  </si>
  <si>
    <t>CORBATIN  HENDRICKSON</t>
  </si>
  <si>
    <t>SET302TMK</t>
  </si>
  <si>
    <t>SET ROD Y PISTA LAT. 46 LB 68462/712</t>
  </si>
  <si>
    <t>A39890-5</t>
  </si>
  <si>
    <t>CORONA Y SPEED TRAS RS 9X41 46160</t>
  </si>
  <si>
    <t>1229S4985</t>
  </si>
  <si>
    <t>ARANDELA BRONCE 46160</t>
  </si>
  <si>
    <t>5556503/3MM</t>
  </si>
  <si>
    <t>RODILLO MONO RTLO 14915/918 PEST ANGOSTA</t>
  </si>
  <si>
    <t>TAPON IMAN LLENADO ACEITE 1 1/16" CON OR</t>
  </si>
  <si>
    <t>RESORTE NARANJA TAPA CAJA - TODAS</t>
  </si>
  <si>
    <t>K1935</t>
  </si>
  <si>
    <t>KIT REPAR VÁLVULA LATERAL 14715/915/918</t>
  </si>
  <si>
    <t>BARRA DE CAMBIO CORTA TAPA ALTA</t>
  </si>
  <si>
    <t>250-4-351-1X</t>
  </si>
  <si>
    <t>YOKE DIV 46E S 5312 Q 2312 R3250 BAJO</t>
  </si>
  <si>
    <t>105C 137/6113PAI</t>
  </si>
  <si>
    <t>HORQUILLA CLUTCH</t>
  </si>
  <si>
    <t>4304510B</t>
  </si>
  <si>
    <t>PIÑON EJE DE TOMA 16918</t>
  </si>
  <si>
    <t>5-281X/801014MER</t>
  </si>
  <si>
    <t>CRUCETA 19.5CM SERIE 1810</t>
  </si>
  <si>
    <t>A11205Y2729</t>
  </si>
  <si>
    <t>RETENEDOR EJE SALIDA 46160</t>
  </si>
  <si>
    <t>170-70-18X</t>
  </si>
  <si>
    <t>JUEGO CHAPETA (JGOX2) SPL170</t>
  </si>
  <si>
    <t>89421/2563</t>
  </si>
  <si>
    <t>TENSOR CORREA VENTILADOR 8 CANALES ISX</t>
  </si>
  <si>
    <t>6203 NTN</t>
  </si>
  <si>
    <t>BALINERA FAN CLUTCH</t>
  </si>
  <si>
    <t>K3492B</t>
  </si>
  <si>
    <t>SINCRONIZADOR (JGO X 5) TODAS PATA GRUES</t>
  </si>
  <si>
    <t>4302394B/95</t>
  </si>
  <si>
    <t>PIÑON 2DA CDZO 14718/16918</t>
  </si>
  <si>
    <t>K3340</t>
  </si>
  <si>
    <t>KIT RODAMIENTO 16918</t>
  </si>
  <si>
    <t>S1659B/23566</t>
  </si>
  <si>
    <t>EJE TOMA 2" 14915/16918/8709B</t>
  </si>
  <si>
    <t>30437 000L</t>
  </si>
  <si>
    <t>KIT SUSP BUJE CENTRAL TANDEM (JGO X 18)</t>
  </si>
  <si>
    <t>TRATAS85000/8103</t>
  </si>
  <si>
    <t>EMPAQ. REP. SIST. HIDRAU FREIG/KW COMPLE</t>
  </si>
  <si>
    <t>47905 000</t>
  </si>
  <si>
    <t>TEFLON HOJA Z</t>
  </si>
  <si>
    <t>SPL250X-3X/DANA</t>
  </si>
  <si>
    <t>CRUCETA 6,417 (6"13/32 APROX)DADO 2362"</t>
  </si>
  <si>
    <t>5003323/10094142</t>
  </si>
  <si>
    <t>KIT SOP CARDAN SPL/EAGL/KW/FL/SUPE B./76</t>
  </si>
  <si>
    <t>ARANDELA SATÈLITE ESC 46 LBS PLANA</t>
  </si>
  <si>
    <t>BALINERA MONO 16918</t>
  </si>
  <si>
    <t>2507757C1/3409/406900</t>
  </si>
  <si>
    <t>VALVULA NIVELADORA CABINA EAGLE</t>
  </si>
  <si>
    <t>SET281TMK</t>
  </si>
  <si>
    <t>SET ROD Y PISTA 42381/584 LAT. 46.000 LB</t>
  </si>
  <si>
    <t>K303-28/9622B</t>
  </si>
  <si>
    <t>BOLSA TAN 9.12ANxA1E1".5/16x10.80ALT+1T</t>
  </si>
  <si>
    <t>KIT2426</t>
  </si>
  <si>
    <t>KIT TORNILLOS CORONA S 160 (JGOX36)</t>
  </si>
  <si>
    <t>128462/128947</t>
  </si>
  <si>
    <t>DISCO 15/2 7 RESORTES 4 TACOS</t>
  </si>
  <si>
    <t>ARANDELA EST.INT CDIZO  14/16918</t>
  </si>
  <si>
    <t>6-4-7771-1X</t>
  </si>
  <si>
    <t>YOKE SP 46E S 6,500 Q 2,344 R 3 1/4"/160</t>
  </si>
  <si>
    <t>4305978/4307247</t>
  </si>
  <si>
    <t>EMPAQUE DE L TAPA 4302320 FR/FRO 918-915</t>
  </si>
  <si>
    <t>KIT2637</t>
  </si>
  <si>
    <t>KIT TUER  ARANDE EJE SAL 160/ SPEED 240</t>
  </si>
  <si>
    <t>K3331/A6863</t>
  </si>
  <si>
    <t>TAPA CARCASA MONO 14718/918</t>
  </si>
  <si>
    <t>250-28-17</t>
  </si>
  <si>
    <t>OREJA SPL250 H 4,094 (4" 3/32 APROX)</t>
  </si>
  <si>
    <t>3005571/K2918</t>
  </si>
  <si>
    <t>KIT RETEN MONO 14715/915/918 11210 (BRA)</t>
  </si>
  <si>
    <t>334N</t>
  </si>
  <si>
    <t>PIN TORNILLOS CRUCETA</t>
  </si>
  <si>
    <t>301010820N</t>
  </si>
  <si>
    <t>BOCIN DISCO 10 HUECOS TRAILER REMOLQU</t>
  </si>
  <si>
    <t>4301843/6894</t>
  </si>
  <si>
    <t>ARANDELA TORNILLO PUNTA EJE MONO 918</t>
  </si>
  <si>
    <t>VARILLA CORREDIZO 16918</t>
  </si>
  <si>
    <t>21025/4300241</t>
  </si>
  <si>
    <t>PIÑÓN 2DA TREN FIJO 16918</t>
  </si>
  <si>
    <t>2032055C1/AX12-3250</t>
  </si>
  <si>
    <t>TUERCA HAUSING EAGLE</t>
  </si>
  <si>
    <t>363-4009/1613</t>
  </si>
  <si>
    <t>TAPA NEGRA DEFENDER  PASTA 5 1/2" GRANDE</t>
  </si>
  <si>
    <t>650-0539</t>
  </si>
  <si>
    <t>HUBODOMETRO</t>
  </si>
  <si>
    <t>363-4024PLAST/1612</t>
  </si>
  <si>
    <t>TAPA NEGRA DEFENDER PASTA 4 1/2 " PEQUEÑ</t>
  </si>
  <si>
    <t>1229Q2929</t>
  </si>
  <si>
    <t>ARANDELA SATELITE DIVISOR 46160</t>
  </si>
  <si>
    <t>SET84TMK</t>
  </si>
  <si>
    <t>SET ROD Y PIST EXT DEL HM807040/HM80701</t>
  </si>
  <si>
    <t>1664730C7</t>
  </si>
  <si>
    <t>SOPORTE MOT INF TRAS. PROS /7600VOL/PODE</t>
  </si>
  <si>
    <t>S28890/R615025</t>
  </si>
  <si>
    <t>KIT DE REP LEVA FREN TRAILER ROMARCO</t>
  </si>
  <si>
    <t>1033-40600-02</t>
  </si>
  <si>
    <t>KIT FAN CLUTCH TIPO KYSOR K32-S JGX7</t>
  </si>
  <si>
    <t>KIT8033</t>
  </si>
  <si>
    <t>KIT BUJES (P/LEVA 1" 1/2)  Y RETENEDORES</t>
  </si>
  <si>
    <t>4303420B</t>
  </si>
  <si>
    <t>PIÑON 1RA CDIZO 918</t>
  </si>
  <si>
    <t>CAUCHO EJE SALIDA 44/46 MLB</t>
  </si>
  <si>
    <t>PAI466-105-001</t>
  </si>
  <si>
    <t>OVERHAUL DT466 PISTO 410005 688835C2 STD</t>
  </si>
  <si>
    <t>FRENO EMBRAGUE 2"</t>
  </si>
  <si>
    <t>4159NAL24"</t>
  </si>
  <si>
    <t>MANGUERA ENGRASE BALINERA 24"</t>
  </si>
  <si>
    <t>31017 096L/57457K</t>
  </si>
  <si>
    <t>SILLIN SUSPENSION BAJITO</t>
  </si>
  <si>
    <t>85323/65416MER</t>
  </si>
  <si>
    <t>AMORTIGUA TRAILE HT300(9122)REFORZ=85000</t>
  </si>
  <si>
    <t>30057 008L</t>
  </si>
  <si>
    <t>BUJE MUELLE SUSPENSION 1 3/8 TPK</t>
  </si>
  <si>
    <t>TUERCA SILLIN</t>
  </si>
  <si>
    <t>30550 008</t>
  </si>
  <si>
    <t>TORNILLO SILLÍN 10 1/2"</t>
  </si>
  <si>
    <t>SINCRONIZADOR 3RA Y 4TA FS 6305 EN PAÑO</t>
  </si>
  <si>
    <t>2234H1438/C1069</t>
  </si>
  <si>
    <t>PLANETARIO ESCUALIZACION 46160</t>
  </si>
  <si>
    <t>KIT4426MER</t>
  </si>
  <si>
    <t>KIT RODAMIENTO TRASERO 46160 PAREJO</t>
  </si>
  <si>
    <t>4302320/21346</t>
  </si>
  <si>
    <t>TAPA TORRE MONO FR/FRO 14/16/715/918/915</t>
  </si>
  <si>
    <t>4303422B</t>
  </si>
  <si>
    <t>PIÑON DEL BAJO 16918</t>
  </si>
  <si>
    <t>PIN PUNTA CDIZO 16918</t>
  </si>
  <si>
    <t>996813252-001</t>
  </si>
  <si>
    <t>VENTILADOR 32X2.5X11</t>
  </si>
  <si>
    <t>R802447/R802689</t>
  </si>
  <si>
    <t>RACHE AUTO CH CC 5 1/2" TP2 1-1/2"28E</t>
  </si>
  <si>
    <t>KIT DE REPARACION MENOR DRIVE MASTER</t>
  </si>
  <si>
    <t>12815/VP20</t>
  </si>
  <si>
    <t>BUJE CARE VACA - FULLER</t>
  </si>
  <si>
    <t>ARANDELA EST INT CDIZO- BLANCA // 249MM</t>
  </si>
  <si>
    <t>ARANDELA EST INT CDIZO RT/RTLO TODAS</t>
  </si>
  <si>
    <t>4304317B</t>
  </si>
  <si>
    <t>PIÑA CDIZO 14/16</t>
  </si>
  <si>
    <t>K3367</t>
  </si>
  <si>
    <t>KIT BOMBA ACEITE CAJA JGOX3 14718/918/16</t>
  </si>
  <si>
    <t>21264B</t>
  </si>
  <si>
    <t>PIÑON 3RA TREN FIJO 16918</t>
  </si>
  <si>
    <t>85924/65147MER</t>
  </si>
  <si>
    <t>AMORTIGUADOR DELANTERO EAGLE  WORK STAR</t>
  </si>
  <si>
    <t>18-59922-000</t>
  </si>
  <si>
    <t>SOPORTE CABINA DELAN CL120 ALTO</t>
  </si>
  <si>
    <t>R824003</t>
  </si>
  <si>
    <t>RACHE FRENO MEC. 1-1/2"28E</t>
  </si>
  <si>
    <t>PAI466-111-001</t>
  </si>
  <si>
    <t>OVERHAUL MTR DT466 PIST-1836321</t>
  </si>
  <si>
    <t>3578833/481870PAI</t>
  </si>
  <si>
    <t>TAPA TANQUE ROSCADA  EAGLE NEGRA 15PSI</t>
  </si>
  <si>
    <t>20550B</t>
  </si>
  <si>
    <t>TAPA EJE DE TOMA 2"</t>
  </si>
  <si>
    <t>MANGUERA CAJA 34" LARGA</t>
  </si>
  <si>
    <t>250-70-18X</t>
  </si>
  <si>
    <t>JUEGO CHAPETA SPL250 (JGOX6)</t>
  </si>
  <si>
    <t>7215/07</t>
  </si>
  <si>
    <t>BOLSA SUSPENSION CABINA FREIGTHLINER</t>
  </si>
  <si>
    <t>14335K</t>
  </si>
  <si>
    <t>KIT EMPAQUES MONO CHIP</t>
  </si>
  <si>
    <t>230576-01</t>
  </si>
  <si>
    <t>BASE SILLA NATIONAL 4/6 BOTONES</t>
  </si>
  <si>
    <t>514238NEWS</t>
  </si>
  <si>
    <t>KIT RODAMIENTO DELANTERO PAREJO 46170</t>
  </si>
  <si>
    <t>3561905C2</t>
  </si>
  <si>
    <t>CODO  INTERCOOLER 45° AZUL HI 7600</t>
  </si>
  <si>
    <t>TUERCA EJE MONO 14915/16915/FR/FRO</t>
  </si>
  <si>
    <t>4159NAL</t>
  </si>
  <si>
    <t>MANGUERA ENGRASE 15" BALINERA</t>
  </si>
  <si>
    <t>9541 FI</t>
  </si>
  <si>
    <t>BOLSA SUSPENSION RACOR HEMBRA KW</t>
  </si>
  <si>
    <t>RACOR/CODO</t>
  </si>
  <si>
    <t>RETEN SPEED 46.000 LBS C/ Y SIN BAJO</t>
  </si>
  <si>
    <t>4301840B</t>
  </si>
  <si>
    <t>PLATO SINCRONIZADOR 18 TODAS</t>
  </si>
  <si>
    <t>5-510XDANA</t>
  </si>
  <si>
    <t>CRUCETA 19 1/2" MIXTA S/GRAPAS</t>
  </si>
  <si>
    <t>56805 000</t>
  </si>
  <si>
    <t>SOPORTE SUPERIOR GRAPA HAS 460</t>
  </si>
  <si>
    <t>328347CM</t>
  </si>
  <si>
    <t>SPLINDER BRONCE 2 CUÑ. 90,06" X 1,87"</t>
  </si>
  <si>
    <t>SET82MER/802615</t>
  </si>
  <si>
    <t>SET ROD Y PISTA LM104949 Y JLM 104910</t>
  </si>
  <si>
    <t>TEFLON SUSPENSIÓN HOJA ZETA</t>
  </si>
  <si>
    <t>PIN PIÑONES CORREDIZO</t>
  </si>
  <si>
    <t>4304514B/4304316</t>
  </si>
  <si>
    <t>PIÑON 4TA CDIZO 16918</t>
  </si>
  <si>
    <t>0066/25CM</t>
  </si>
  <si>
    <t>PASADOR LARGO EAGLE ESPECIAL</t>
  </si>
  <si>
    <t>WAB9111539212</t>
  </si>
  <si>
    <t>CULATA COMPRESOR CUMINS ISX</t>
  </si>
  <si>
    <t>40X1233</t>
  </si>
  <si>
    <t>TUERCA DIVISOR Y SPEED TRASERO 160</t>
  </si>
  <si>
    <t>MANGUERA CAJA 17" CORTA</t>
  </si>
  <si>
    <t>PAI 4119</t>
  </si>
  <si>
    <t>REGISTRO PASO COMBUSTIBLE CUMMINS 350/40</t>
  </si>
  <si>
    <t>PAI466-101-001</t>
  </si>
  <si>
    <t>OVERHAUL DT466 PISTON 410001"1817520C2"</t>
  </si>
  <si>
    <t>8050/8058/954099</t>
  </si>
  <si>
    <t>BOLSA TRA10.62ANx7.75CEx19.25AL+7.88D+4T</t>
  </si>
  <si>
    <t>CAUCHO DEL BAJO TODAS EATON</t>
  </si>
  <si>
    <t>ARANDELA  BAJO 44/46.000 LBS</t>
  </si>
  <si>
    <t>SET304TMK</t>
  </si>
  <si>
    <t>SET ROD Y PISTA72212C/72487 SPEED DEL,TR</t>
  </si>
  <si>
    <t>C81-1005B</t>
  </si>
  <si>
    <t>BOLSA TAN 9.12ANxA1E1"5/16x11.80AL+1T BR</t>
  </si>
  <si>
    <t>MKT4709ES2N</t>
  </si>
  <si>
    <t>KIT REPAR RODAJAS Y RESORT FRENO KW ETN</t>
  </si>
  <si>
    <t>A7012</t>
  </si>
  <si>
    <t>HORQUILLA BAJO 16918</t>
  </si>
  <si>
    <t>85070/65159MER</t>
  </si>
  <si>
    <t>AMORT KW T800 DELT. MD 2006 Y SIGUIENTES</t>
  </si>
  <si>
    <t>5X1034</t>
  </si>
  <si>
    <t>CAUCHO TAPA DIVISOR</t>
  </si>
  <si>
    <t>K4122/4306520</t>
  </si>
  <si>
    <t>TUERCA EJE MONO 14915/16915/11210BYC/169</t>
  </si>
  <si>
    <t>1675751C1</t>
  </si>
  <si>
    <t>PERA/SENSOR TEMPER. Y DIFEREN. TRANSM.</t>
  </si>
  <si>
    <t>89422/2564</t>
  </si>
  <si>
    <t>TENSOR CORREA (ALTERNADOR)</t>
  </si>
  <si>
    <t>NAT230914-G</t>
  </si>
  <si>
    <t>VALVULA REG DE SILLA BOTON GRIS</t>
  </si>
  <si>
    <t>2252-1D</t>
  </si>
  <si>
    <t>VALVULA NIVELADORA TANQUE COMBUSTIBLE</t>
  </si>
  <si>
    <t>DESFOGUE TAPA 16915-16918</t>
  </si>
  <si>
    <t>TUERCA EJE DIVISOR  46 LB</t>
  </si>
  <si>
    <t>RETEN EJE DIVISOR 46ML C/BAJO Y PLANO</t>
  </si>
  <si>
    <t>ARANDELA SATELITE DIVI DS/DP 46 MLB PLNA</t>
  </si>
  <si>
    <t>RETEN EJE DE SALIDA DP46</t>
  </si>
  <si>
    <t>ARANDELA PLANETARIO DS 46 PLANA</t>
  </si>
  <si>
    <t>SET359TMK</t>
  </si>
  <si>
    <t>SET ROD Y PISTA 78215C/551SPEEDTRAS.46LB</t>
  </si>
  <si>
    <t>3501427C1MON/66138</t>
  </si>
  <si>
    <t>AMORTIGUADOR CAPO</t>
  </si>
  <si>
    <t>250-82-21X</t>
  </si>
  <si>
    <t>ESPIGO DESLIZANTE SPL250 38E</t>
  </si>
  <si>
    <t>SPL250/801037MER</t>
  </si>
  <si>
    <t>CRUCETA CARDAN SPL 250</t>
  </si>
  <si>
    <t>BOLSA SUSPENSION CABINA</t>
  </si>
  <si>
    <t>WAB9111549292</t>
  </si>
  <si>
    <t>EMPAQUETADURA CULATA COMPL P/COMPRESO</t>
  </si>
  <si>
    <t>PAI 4159</t>
  </si>
  <si>
    <t>JGO SPLINDER E1460L 9,06"x1,87" TEFLON</t>
  </si>
  <si>
    <t>XB10605</t>
  </si>
  <si>
    <t>BUJE QUINTA RUEDA HOLLAND - NUEVA</t>
  </si>
  <si>
    <t>RETEN KIT 30437</t>
  </si>
  <si>
    <t>B30437/30240-5</t>
  </si>
  <si>
    <t>BUJE KIT CENTRAL</t>
  </si>
  <si>
    <t>PAI8805</t>
  </si>
  <si>
    <t>TAPA VARILLA  NIVEL HIDRAULI KW &amp; EAGLE</t>
  </si>
  <si>
    <t>ARANDELA LISA PLANA PIÑON MONO 1795</t>
  </si>
  <si>
    <t>ARANDELA DIVI 44/46 MLB PLANA Y C/BAJO</t>
  </si>
  <si>
    <t>KIT DE PIÑONES BOMBA DE ACEITE DP/DS 461</t>
  </si>
  <si>
    <t>R627012</t>
  </si>
  <si>
    <t>PIN PUNTA LEVA DE FRENO TIPO M EATON</t>
  </si>
  <si>
    <t>WAB4329012231</t>
  </si>
  <si>
    <t>FILTRO  DE AIRE GRIS  ESTÁNDAR TODOS</t>
  </si>
  <si>
    <t>2035006C2</t>
  </si>
  <si>
    <t>PERA/SENSOR LUZ DIA ROJA</t>
  </si>
  <si>
    <t>5-170-X/338DANA</t>
  </si>
  <si>
    <t>CRUCETA DIRECCION 1,500 DADO .938</t>
  </si>
  <si>
    <t>SET1178TMK</t>
  </si>
  <si>
    <t>SET EJE DIV PLANA/C BAJO (JM511946/JM51</t>
  </si>
  <si>
    <t>PASADOR TAPA  ALTA LISA CAJA 16918</t>
  </si>
  <si>
    <t>K3376/3005666</t>
  </si>
  <si>
    <t>KIT CAUCHO TAPA BARRA  TODAS</t>
  </si>
  <si>
    <t>R824000</t>
  </si>
  <si>
    <t>RACHE FRENO MEC. 1-1/2"10E</t>
  </si>
  <si>
    <t>CEMEX COLOMBIA S.A.</t>
  </si>
  <si>
    <t>KW AUTOMOTORES Y REPUESTOS A SAS</t>
  </si>
  <si>
    <t>9912/H64075-002</t>
  </si>
  <si>
    <t>BOLSA DEL. BLUE BIRD</t>
  </si>
  <si>
    <t>CORONA Y SPEED HINO SERIE 500 10 X39</t>
  </si>
  <si>
    <t>277/36ML</t>
  </si>
  <si>
    <t>LOCTITE TRABA ROSCAS 36ML</t>
  </si>
  <si>
    <t>TRANSMIFORD Y CIA LTDA.</t>
  </si>
  <si>
    <t>WAB3866377C91/15110</t>
  </si>
  <si>
    <t>WAB3866376C91/15120</t>
  </si>
  <si>
    <t>122002-35A</t>
  </si>
  <si>
    <t>KIT EMBRAGUE KJA AUTOMAT CON DISC COMPAC</t>
  </si>
  <si>
    <t>3551298C92</t>
  </si>
  <si>
    <t>ELECTROVALVULA FAN CLUTCH TIPO PALA</t>
  </si>
  <si>
    <t>WAB02-13133-000/15030</t>
  </si>
  <si>
    <t>1673785C92/2001470/360002</t>
  </si>
  <si>
    <t>2S-DP/Q995582/Q995617</t>
  </si>
  <si>
    <t>ES2090R&amp;L-R230072/73</t>
  </si>
  <si>
    <t>ORING NITRILO VALVULA REPARTIDORA #106</t>
  </si>
  <si>
    <t>ORING TAPÓN CARTER PEQUEÑO VITON #221</t>
  </si>
  <si>
    <t>ORINGNITRILO REF 149</t>
  </si>
  <si>
    <t>CILINDRO ESCLAVO HIDRO-NEUMATICO PROSTAR</t>
  </si>
  <si>
    <t>ORING NITRILO ELECTROVALV ABS (8) #15*1</t>
  </si>
  <si>
    <t>CILINDRO AUX EMBRAGUE PROSTAR CON RACOR</t>
  </si>
  <si>
    <t>CILINDRO AUXI CLUTCH M2106-112/CASCADIA</t>
  </si>
  <si>
    <t>ORING NITRILO ELECTROVALVU ABS (8) #10*1</t>
  </si>
  <si>
    <t>ORING VITON REF 222</t>
  </si>
  <si>
    <t>ORING NITRILO REF 103</t>
  </si>
  <si>
    <t>PASADOR LARGO DEL CLUTCH KENWORTH</t>
  </si>
  <si>
    <t>PERA/SENSOR NIVEL REFRIG. EAGLE Y KW</t>
  </si>
  <si>
    <t>ORING NITRILO MANGUERA BOMBONA KW #021</t>
  </si>
  <si>
    <t>KIT REPARACION 2TIEMPO MANZ  2 1/2" Y 5"</t>
  </si>
  <si>
    <t>TERMINAL 2090 ARM: R230072(1) R230073(1)</t>
  </si>
  <si>
    <t>GRASA AEROSHELL</t>
  </si>
  <si>
    <t>ORING VITON REF 213</t>
  </si>
  <si>
    <t>PASADOR CLUTCH CORTO KENWORTH</t>
  </si>
  <si>
    <t>6-4-7141-1</t>
  </si>
  <si>
    <t>YOKE CENTR 38E 3" DE 1,998</t>
  </si>
  <si>
    <t>CANASTILLA PIÑON 4TA CORREDIZO FS6305</t>
  </si>
  <si>
    <t>CODO INTERCOOLER 45°KW HASTA EL 2008 9LO</t>
  </si>
  <si>
    <t>S20925</t>
  </si>
  <si>
    <t>ARANDELA EXCENTRICA ALINEACION BRONCE</t>
  </si>
  <si>
    <t>PIÑÓN MONO TODAS 18 CAMBIOS</t>
  </si>
  <si>
    <t>85909/65431MER</t>
  </si>
  <si>
    <t>AMORTIGUAD KW TRASER SUSPEN NEUM EAGLE</t>
  </si>
  <si>
    <t>EJE MONO 14/16918</t>
  </si>
  <si>
    <t>A6136/A8951</t>
  </si>
  <si>
    <t>TIPO DOC</t>
  </si>
  <si>
    <t>NO. DOC</t>
  </si>
  <si>
    <t>RMC</t>
  </si>
  <si>
    <t>RM</t>
  </si>
  <si>
    <t>S24691/R3010729A</t>
  </si>
  <si>
    <t>50970 003</t>
  </si>
  <si>
    <t>S21099</t>
  </si>
  <si>
    <t>S20924</t>
  </si>
  <si>
    <t>BUJE TRIFUNCIONAL KIT JGOx7</t>
  </si>
  <si>
    <t>SILLIN P/HAS 460 DELANTERO RYL 3,0°</t>
  </si>
  <si>
    <t>ARANDELA BUJE TRIFUNCIONAL</t>
  </si>
  <si>
    <t>ARANDELA CONCENTRICA ALINEACION BRONCE</t>
  </si>
  <si>
    <t>MKT4515QHD-N</t>
  </si>
  <si>
    <t>SOPORTE INF. DERECHO HAS 460</t>
  </si>
  <si>
    <t>KIT REPARACION RODAJAS RESORTES TRAILER</t>
  </si>
  <si>
    <t>JONATHAN PAEZ PEDRAZA</t>
  </si>
  <si>
    <t>FABIO DAVID FORERO RUIZ</t>
  </si>
  <si>
    <t>YASMID DEL PILAR URIBE DELGADO</t>
  </si>
  <si>
    <t>CARLOS ALBERTO CABEZA NOPE</t>
  </si>
  <si>
    <t>LUIS FERNANDO CANGREJO BAQUERO</t>
  </si>
  <si>
    <t>ERMES ISAAC SOTO PATERNINA</t>
  </si>
  <si>
    <t>WILLIAM DUVAN REYES DIAZ</t>
  </si>
  <si>
    <t>MARYLUZ DUQUE GARCIA</t>
  </si>
  <si>
    <t>R802487</t>
  </si>
  <si>
    <t>20459B/5661</t>
  </si>
  <si>
    <t>RACHE AUTO CH CC 6" TRAS TP2 1-1/2"28E</t>
  </si>
  <si>
    <t>PIÑÓN 5TA TREN FIJO 14715/16915</t>
  </si>
  <si>
    <t>SPL170-4X</t>
  </si>
  <si>
    <t>NAT234695-01</t>
  </si>
  <si>
    <t>MU1309UM FIJO</t>
  </si>
  <si>
    <t>BOLSA SILLA PROSTAR</t>
  </si>
  <si>
    <t>RODILLO DEL SPEED DS/DP 46ML TIPO FIJO</t>
  </si>
  <si>
    <t>FERTRAC SAS</t>
  </si>
  <si>
    <t>CRISTIAN DAVID ZAMBRANO GALEANO</t>
  </si>
  <si>
    <t>ASH-46X63</t>
  </si>
  <si>
    <t>SHIM SPLINDER R201309</t>
  </si>
  <si>
    <t>BALINERA FAN CLUTCH ADVANTAGE-SOLA</t>
  </si>
  <si>
    <t>JUAN CAMILO BONILLA CASTELLANOS</t>
  </si>
  <si>
    <t>IMPOCOMA S.A.S</t>
  </si>
  <si>
    <t>UNION ANDINA DE TRANSPORTES SAS</t>
  </si>
  <si>
    <t>ALMACEN MAC REPUESTOS LTDA</t>
  </si>
  <si>
    <t>EMPRESA DE DISTRIBUCIONES INDUSTRIALES S.A.S.</t>
  </si>
  <si>
    <t>KILLIAM JOSE LEON MAYORGA</t>
  </si>
  <si>
    <t>SERVICIOS Y TRANSPORTES LTDA</t>
  </si>
  <si>
    <t>TRACTOCARGA SAS</t>
  </si>
  <si>
    <t>MARIA VICTORIA MANCIPE PARRA</t>
  </si>
  <si>
    <t>ORGANIZACION DIFERTRANSM SAS</t>
  </si>
  <si>
    <t>CHANINC INVERSIONES S.A.S</t>
  </si>
  <si>
    <t>COMERCIALIZADORA DE AUTOPARTES BIPS SAS</t>
  </si>
  <si>
    <t>R802446/R802688</t>
  </si>
  <si>
    <t>RACHE AUTO CH CC 5 1/2" TP1 1-1/2"28E</t>
  </si>
  <si>
    <t>TAPA BARRA FS 6305</t>
  </si>
  <si>
    <t>SET33275/33472TMK</t>
  </si>
  <si>
    <t>SET ROD Y PISTA  EJE SALIDA PLANA C/BAJ</t>
  </si>
  <si>
    <t>7897GY/2B10-226</t>
  </si>
  <si>
    <t>CLIENTE</t>
  </si>
  <si>
    <t>5X1343</t>
  </si>
  <si>
    <t>00105MT</t>
  </si>
  <si>
    <t>ROLLO MANILA X 200 MTS Nª 8</t>
  </si>
  <si>
    <t>SETJLM714149/714110MER/802616</t>
  </si>
  <si>
    <t>50973 009</t>
  </si>
  <si>
    <t>SILLIN P/HAS 460 TRASERO RYL</t>
  </si>
  <si>
    <t>2258L1234</t>
  </si>
  <si>
    <t>RESORTE GRIS FRENO DELANTERO PAYSTAR</t>
  </si>
  <si>
    <t>SISTEMA ALIMENTADOR ORIENTAL S.A.S.</t>
  </si>
  <si>
    <t>104100-2</t>
  </si>
  <si>
    <t>K3454/7349</t>
  </si>
  <si>
    <t>A3303P1030</t>
  </si>
  <si>
    <t>KIT EMBRAGUE TIPO DIAFRAGMA DIS SENCILLO</t>
  </si>
  <si>
    <t>SENSOR DE VELOCIDAD KENWORTH 2 PATAS</t>
  </si>
  <si>
    <t>BOMBA DIVISOR 46160</t>
  </si>
  <si>
    <t>VS-X1193</t>
  </si>
  <si>
    <t>SENSOR NIVEL REFRIGERANTE FAN 2012</t>
  </si>
  <si>
    <t>BOLSA DE SUSPENSION TANDEM DE LA PROSTAR CON BASE Y SOPORTE.</t>
  </si>
  <si>
    <t>RETEN CIGU DETR S 60 VERD CON CAMIS FIJA</t>
  </si>
  <si>
    <t>4303422/69</t>
  </si>
  <si>
    <t>Q21-1002/ETS004</t>
  </si>
  <si>
    <t>BOLSA SUSPENSION</t>
  </si>
  <si>
    <t>PERA/SENSOR TEMPERATURA CJA Y TRANSM KW</t>
  </si>
  <si>
    <t>3892T4934/S5947/58400</t>
  </si>
  <si>
    <t>SET415TMK</t>
  </si>
  <si>
    <t>SET403TMK</t>
  </si>
  <si>
    <t>250-4-101-1X</t>
  </si>
  <si>
    <t>SET82/LM104949/JLM10</t>
  </si>
  <si>
    <t>R801041/R803195 TP 3</t>
  </si>
  <si>
    <t>363-4249/1613SKF</t>
  </si>
  <si>
    <t>363-4024/1612SKF</t>
  </si>
  <si>
    <t>SET414MER/802763</t>
  </si>
  <si>
    <t>KIT8042</t>
  </si>
  <si>
    <t>SET401SKF</t>
  </si>
  <si>
    <t>KIT2902</t>
  </si>
  <si>
    <t>SET403SKF</t>
  </si>
  <si>
    <t>65523/85937MON</t>
  </si>
  <si>
    <t>A13297X1194/S1605</t>
  </si>
  <si>
    <t>PIÑON PIÑA 46160</t>
  </si>
  <si>
    <t>SET ROD Y PISTA TRAILER 518445/518410</t>
  </si>
  <si>
    <t>SET ROD Y PISTA 594A/592A TIMKEN</t>
  </si>
  <si>
    <t>YOKE DIV 46E S 6760 Q 3195 R3375/210736</t>
  </si>
  <si>
    <t>SET ROD Y PISTA EJE DE SALIDA 46160</t>
  </si>
  <si>
    <t>RACHE AUTO CH CC 5 1/2" TP3 1-1/2"10E</t>
  </si>
  <si>
    <t>TAPA EJE DE TOMA FO-16E318B-MXP</t>
  </si>
  <si>
    <t>EMPAQUE CAREVACA CAJA - APLICA K3676/71</t>
  </si>
  <si>
    <t>TAPA GRASERA.EJE DELANTERO EN PLASTICO</t>
  </si>
  <si>
    <t>TAPA PUNTA RUEDA (1612) EN PLASTICO</t>
  </si>
  <si>
    <t>SET ROD Y PISTA HM218248 /HM 218210 INTE</t>
  </si>
  <si>
    <t>KIT BUJES RETENES LEVA FRENO CABEZO COMP</t>
  </si>
  <si>
    <t>SET401 RODAMIENTO (580/572)</t>
  </si>
  <si>
    <t>DESFOGUE DIFERENCIAL 160 CON MANGUERA</t>
  </si>
  <si>
    <t>SET403 RODAMIENTO (594A/592)</t>
  </si>
  <si>
    <t>AMORTIGU KW TRAS SUSP NEUM 8 BOLSA HEMBR</t>
  </si>
  <si>
    <t>EJE DIVISOR 46160</t>
  </si>
  <si>
    <t>CENTRO AUTOMOTOR DIESEL S.A CENTRODIESEL</t>
  </si>
  <si>
    <t>COMERCIALIZADORA DE REPUESTOS M&amp;C SAS</t>
  </si>
  <si>
    <t>DANIELA ALEJANDRA LEON VARGAS</t>
  </si>
  <si>
    <t>2B12-309/7400GY</t>
  </si>
  <si>
    <t>3202Y9125</t>
  </si>
  <si>
    <t>3202Z9126</t>
  </si>
  <si>
    <t>EJE LATERAL EAGLE RECTO CORTO</t>
  </si>
  <si>
    <t>EJE LATERAL EAGLE RECTO LARGO</t>
  </si>
  <si>
    <t>TRANSPORTES Y SERVICIOS TRANSER SAS</t>
  </si>
  <si>
    <t>79A5168</t>
  </si>
  <si>
    <t>2506712C91</t>
  </si>
  <si>
    <t>WAB9111539422</t>
  </si>
  <si>
    <t>1212-ZNBR/SKF</t>
  </si>
  <si>
    <t>2B12-434/7472GY</t>
  </si>
  <si>
    <t>FAN CLUTCH 2 1/2" KW DM 10 CANALES</t>
  </si>
  <si>
    <t>VALV SOLENOID BLANCA AIRE FRENO PROSTAR</t>
  </si>
  <si>
    <t>BOLSA TRA 10.62ANx5.50CEx20.88AL+1T</t>
  </si>
  <si>
    <t>KIT REPARACION PISTON + ANILLOS + BIELA</t>
  </si>
  <si>
    <t>BOLSA TIPO HAMBURGUESA</t>
  </si>
  <si>
    <t>6207 NTN</t>
  </si>
  <si>
    <t>64632-000L</t>
  </si>
  <si>
    <t>ARANDELA EXCENTRICA PRIMAAX</t>
  </si>
  <si>
    <t>64633-000L</t>
  </si>
  <si>
    <t>ARANDELA CONCENTRICA  PRIMAAX</t>
  </si>
  <si>
    <t>50222 000/93315 000</t>
  </si>
  <si>
    <t>RETENEDOR CIGÜEÑAL DELANTERO DETROIT</t>
  </si>
  <si>
    <t>HJ122012KFB</t>
  </si>
  <si>
    <t>RODILLO ANCLAJE CLUTCH KENWORTH T800</t>
  </si>
  <si>
    <t>WAB4324102442</t>
  </si>
  <si>
    <t>FILTRO SECADOR DE AIRE DORADO</t>
  </si>
  <si>
    <t>WG9925528010/SP554984K</t>
  </si>
  <si>
    <t>SPL170/801036MER</t>
  </si>
  <si>
    <t>CRUCETA CARDAN SPL 170</t>
  </si>
  <si>
    <t>ANILLOS CUMMINS SOLO ISM</t>
  </si>
  <si>
    <t>6902/20T3</t>
  </si>
  <si>
    <t>BOLSA HAM8.88ANx3.50C-A1Ex4.10AL+2T+2F</t>
  </si>
  <si>
    <t>KITP229-7</t>
  </si>
  <si>
    <t>KIT DE RIELES SILLA NATIONAL</t>
  </si>
  <si>
    <t>9158/0734</t>
  </si>
  <si>
    <t>BOLSA TRA 10.62ANx6.25Cx27.30AL+7.88D+4T</t>
  </si>
  <si>
    <t>22/03/2022</t>
  </si>
  <si>
    <t>19/07/2023</t>
  </si>
  <si>
    <t>10/02/2023</t>
  </si>
  <si>
    <t>01/07/2022</t>
  </si>
  <si>
    <t>23/06/2020</t>
  </si>
  <si>
    <t>07/11/2019</t>
  </si>
  <si>
    <t>21/02/2023</t>
  </si>
  <si>
    <t>19/12/2023</t>
  </si>
  <si>
    <t>29/01/2020</t>
  </si>
  <si>
    <t>11/11/2022</t>
  </si>
  <si>
    <t>03/10/2022</t>
  </si>
  <si>
    <t>05/08/2023</t>
  </si>
  <si>
    <t>06/02/2020</t>
  </si>
  <si>
    <t>15/03/2023</t>
  </si>
  <si>
    <t>03/08/2022</t>
  </si>
  <si>
    <t>25/05/2022</t>
  </si>
  <si>
    <t>14/10/2022</t>
  </si>
  <si>
    <t>11/02/2020</t>
  </si>
  <si>
    <t>01/09/2022</t>
  </si>
  <si>
    <t>22/10/2021</t>
  </si>
  <si>
    <t>15/07/2021</t>
  </si>
  <si>
    <t>02/07/2021</t>
  </si>
  <si>
    <t>23/04/2024</t>
  </si>
  <si>
    <t>30/08/2024</t>
  </si>
  <si>
    <t>19/04/2024</t>
  </si>
  <si>
    <t>11/08/2023</t>
  </si>
  <si>
    <t>24/03/2021</t>
  </si>
  <si>
    <t>22/02/2023</t>
  </si>
  <si>
    <t>16/11/2023</t>
  </si>
  <si>
    <t>19/07/2022</t>
  </si>
  <si>
    <t>12/04/2023</t>
  </si>
  <si>
    <t>06/09/2022</t>
  </si>
  <si>
    <t>30/08/2023</t>
  </si>
  <si>
    <t>24/04/2024</t>
  </si>
  <si>
    <t>15/01/2024</t>
  </si>
  <si>
    <t>14/09/2022</t>
  </si>
  <si>
    <t>17/10/2023</t>
  </si>
  <si>
    <t>25/10/2023</t>
  </si>
  <si>
    <t>04/09/2023</t>
  </si>
  <si>
    <t>18/12/2023</t>
  </si>
  <si>
    <t>26/08/2024</t>
  </si>
  <si>
    <t>30/11/2023</t>
  </si>
  <si>
    <t>21/12/2022</t>
  </si>
  <si>
    <t>21/07/2022</t>
  </si>
  <si>
    <t>07/03/2024</t>
  </si>
  <si>
    <t>19/02/2024</t>
  </si>
  <si>
    <t>26/07/2024</t>
  </si>
  <si>
    <t>20/08/2024</t>
  </si>
  <si>
    <t>13/08/2024</t>
  </si>
  <si>
    <t>21/09/2022</t>
  </si>
  <si>
    <t>05/07/2024</t>
  </si>
  <si>
    <t>05/06/2024</t>
  </si>
  <si>
    <t>05/10/2023</t>
  </si>
  <si>
    <t>05/09/2024</t>
  </si>
  <si>
    <t>21/09/2024</t>
  </si>
  <si>
    <t>17/06/2023</t>
  </si>
  <si>
    <t>13/04/2023</t>
  </si>
  <si>
    <t>01/04/2024</t>
  </si>
  <si>
    <t>21/03/2024</t>
  </si>
  <si>
    <t>08/05/2024</t>
  </si>
  <si>
    <t>03/02/2024</t>
  </si>
  <si>
    <t>14/05/2024</t>
  </si>
  <si>
    <t>06/06/2024</t>
  </si>
  <si>
    <t>11/06/2024</t>
  </si>
  <si>
    <t>12/09/2024</t>
  </si>
  <si>
    <t>04/07/2024</t>
  </si>
  <si>
    <t>15/06/2024</t>
  </si>
  <si>
    <t>14/06/2024</t>
  </si>
  <si>
    <t>30/09/2024</t>
  </si>
  <si>
    <t>04/10/2024</t>
  </si>
  <si>
    <t>06/09/2024</t>
  </si>
  <si>
    <t>21/09/2023</t>
  </si>
  <si>
    <t>16/09/2024</t>
  </si>
  <si>
    <t>27/09/2024</t>
  </si>
  <si>
    <t>28/11/2023</t>
  </si>
  <si>
    <t>23/09/2023</t>
  </si>
  <si>
    <t>07/06/2024</t>
  </si>
  <si>
    <t>27/06/2024</t>
  </si>
  <si>
    <t>26/02/2024</t>
  </si>
  <si>
    <t>02/08/2024</t>
  </si>
  <si>
    <t>04/01/2023</t>
  </si>
  <si>
    <t>25/04/2024</t>
  </si>
  <si>
    <t>22/04/2021</t>
  </si>
  <si>
    <t>17/06/2024</t>
  </si>
  <si>
    <t>23/09/2024</t>
  </si>
  <si>
    <t>22/04/2024</t>
  </si>
  <si>
    <t>22/05/2024</t>
  </si>
  <si>
    <t>31/05/2024</t>
  </si>
  <si>
    <t>19/07/2024</t>
  </si>
  <si>
    <t>08/10/2024</t>
  </si>
  <si>
    <t>08/07/2024</t>
  </si>
  <si>
    <t>09/10/2024</t>
  </si>
  <si>
    <t>18/09/2024</t>
  </si>
  <si>
    <t>15/12/2023</t>
  </si>
  <si>
    <t>12/10/2022</t>
  </si>
  <si>
    <t>02/06/2021</t>
  </si>
  <si>
    <t>24/11/2022</t>
  </si>
  <si>
    <t>21/09/2021</t>
  </si>
  <si>
    <t>03/09/2020</t>
  </si>
  <si>
    <t>18/02/2022</t>
  </si>
  <si>
    <t>16/12/2019</t>
  </si>
  <si>
    <t>05/12/2022</t>
  </si>
  <si>
    <t>16/03/2022</t>
  </si>
  <si>
    <t>08/02/2021</t>
  </si>
  <si>
    <t>11/02/2022</t>
  </si>
  <si>
    <t>06/03/2023</t>
  </si>
  <si>
    <t>11/03/2022</t>
  </si>
  <si>
    <t>29/03/2023</t>
  </si>
  <si>
    <t>31/05/2023</t>
  </si>
  <si>
    <t>12/12/2023</t>
  </si>
  <si>
    <t>27/10/2021</t>
  </si>
  <si>
    <t>12/07/2021</t>
  </si>
  <si>
    <t>08/03/2023</t>
  </si>
  <si>
    <t>30/08/2022</t>
  </si>
  <si>
    <t>19/04/2023</t>
  </si>
  <si>
    <t>22/12/2023</t>
  </si>
  <si>
    <t>18/10/2022</t>
  </si>
  <si>
    <t>18/06/2024</t>
  </si>
  <si>
    <t>06/12/2023</t>
  </si>
  <si>
    <t>28/08/2023</t>
  </si>
  <si>
    <t>01/06/2023</t>
  </si>
  <si>
    <t>01/02/2024</t>
  </si>
  <si>
    <t>22/02/2024</t>
  </si>
  <si>
    <t>15/03/2024</t>
  </si>
  <si>
    <t>06/10/2023</t>
  </si>
  <si>
    <t>10/04/2024</t>
  </si>
  <si>
    <t>02/11/2023</t>
  </si>
  <si>
    <t>31/10/2024</t>
  </si>
  <si>
    <t>RFLE3100G-3</t>
  </si>
  <si>
    <t>MAQUINA REMACHADORA</t>
  </si>
  <si>
    <t>BUJE COMPRESOR BAJO ISX</t>
  </si>
  <si>
    <t>MONTOYA DIESEL S.A.S.</t>
  </si>
  <si>
    <t>05/11/2024</t>
  </si>
  <si>
    <t>08/11/2024</t>
  </si>
  <si>
    <t>4306584/4308226/5668</t>
  </si>
  <si>
    <t>2B9-229/6897GY</t>
  </si>
  <si>
    <t>ORING NITRILO REF 348</t>
  </si>
  <si>
    <t>18/11/2024</t>
  </si>
  <si>
    <t>21/11/2024</t>
  </si>
  <si>
    <t>29/11/2024</t>
  </si>
  <si>
    <t>PIÑÓN 1RA CDIZO 14/16915</t>
  </si>
  <si>
    <t>PIÑÓN 2DA CDIZO  14/16915</t>
  </si>
  <si>
    <t>16/12/2024</t>
  </si>
  <si>
    <t>17/12/2024</t>
  </si>
  <si>
    <t>MK0130860 MAH</t>
  </si>
  <si>
    <t>PM22X4''</t>
  </si>
  <si>
    <t>OVERHAUL MWM 4,12CTAE</t>
  </si>
  <si>
    <t>PERNO TRAILER HIDROAMERICA M22X4''</t>
  </si>
  <si>
    <t>CARLOS HERNAN SALGADO PINZON</t>
  </si>
  <si>
    <t>02/01/2025</t>
  </si>
  <si>
    <t>PM22X4-1/2</t>
  </si>
  <si>
    <t>PERNO TRAILER HIDROAMERICA M22 X 4 1/2</t>
  </si>
  <si>
    <t>07/01/2025</t>
  </si>
  <si>
    <t>57977-000/KD2205</t>
  </si>
  <si>
    <t>VALVULA SUSPENSION CABEZOTE EAGLE Y CL</t>
  </si>
  <si>
    <t>KIT8318SS</t>
  </si>
  <si>
    <t>KIT DE RESORTE JGO X 3 EAGLE DELAN/FTL</t>
  </si>
  <si>
    <t>A6154/A8954</t>
  </si>
  <si>
    <t>SINCRO REVSA Y 1RA FS6305 MIXTO A/B</t>
  </si>
  <si>
    <t>24/01/2025</t>
  </si>
  <si>
    <t>22/01/2025</t>
  </si>
  <si>
    <t>A13235A2393NP</t>
  </si>
  <si>
    <t>TAPA DIVISOR CON HORQUILLA/ COLLARIN 160</t>
  </si>
  <si>
    <t>29/01/2025</t>
  </si>
  <si>
    <t>28/01/2025</t>
  </si>
  <si>
    <t>31/01/2025</t>
  </si>
  <si>
    <t>R230139/40</t>
  </si>
  <si>
    <t>TERMINAL DIRECCION RUNNER 4300 DURESTAR</t>
  </si>
  <si>
    <t>07/02/2025</t>
  </si>
  <si>
    <t>10/02/2025</t>
  </si>
  <si>
    <t>05/02/2025</t>
  </si>
  <si>
    <t>06/02/2025</t>
  </si>
  <si>
    <t>03/02/2025</t>
  </si>
  <si>
    <t>4303429/5905</t>
  </si>
  <si>
    <t>MK0210710 STD MAH</t>
  </si>
  <si>
    <t>VAD0101 211</t>
  </si>
  <si>
    <t>LIQUIDO DE FRENOS ATE DOT 3</t>
  </si>
  <si>
    <t>OVERHAUL CUM 855 350 PIST3051555 CON EMP</t>
  </si>
  <si>
    <t>CARCASA DEL VOLANTE PARA MERCEDES CON MOTOR MB906 PARA M2-106</t>
  </si>
  <si>
    <t>SURTIREPUESTOS Y SERVICIOS DIESEL SAS</t>
  </si>
  <si>
    <t>20/02/2025</t>
  </si>
  <si>
    <t>17/02/2025</t>
  </si>
  <si>
    <t>ENFRIADOR ACEITE</t>
  </si>
  <si>
    <t>280915N</t>
  </si>
  <si>
    <t>KIT DE REPARACIÓN GOBERNADOR EAGLE D-2</t>
  </si>
  <si>
    <t>26/02/2025</t>
  </si>
  <si>
    <t>KIT8081</t>
  </si>
  <si>
    <t>KIT REPARACION RODAJAS Y RESORTE FRE DEL</t>
  </si>
  <si>
    <t>102802N</t>
  </si>
  <si>
    <t>KIT DE REPARACIÓN VALVULA RELAY R12 y R14</t>
  </si>
  <si>
    <t>6PK1740</t>
  </si>
  <si>
    <t>CORREA ACANAL P/ALTERN. KENWORTH T600 - T800 MOTOR CUMMINS ISX MOD.03</t>
  </si>
  <si>
    <t>10PK1665</t>
  </si>
  <si>
    <t>CORREA ACANAL P/ALTERN POLY-V. MACK2005,KENWORTH2003MOTOR CUMMINS T800MOTOR ROJO</t>
  </si>
  <si>
    <t>ORING MANGUERA SALIDA CILINDRO ACCIC#010</t>
  </si>
  <si>
    <t>07/03/2025</t>
  </si>
  <si>
    <t>03/03/2025</t>
  </si>
  <si>
    <t>17/03/2025</t>
  </si>
  <si>
    <t>11/03/2025</t>
  </si>
  <si>
    <t>14/03/2025</t>
  </si>
  <si>
    <t>06/03/2025</t>
  </si>
  <si>
    <t>BALINERA 14 BALINES (212) 1212 REFORZADA</t>
  </si>
  <si>
    <t>25/03/2025</t>
  </si>
  <si>
    <t>19/03/2025</t>
  </si>
  <si>
    <t>28/03/2025</t>
  </si>
  <si>
    <t>20/03/2025</t>
  </si>
  <si>
    <t>31/03/2025</t>
  </si>
  <si>
    <t>SET665/653TMK</t>
  </si>
  <si>
    <t>SET ROD Y PISTA PLANA DEL/TRASER 46MLB</t>
  </si>
  <si>
    <t>MUB1308UM/126187BOW</t>
  </si>
  <si>
    <t>RODILLO PILOTO 46 LB</t>
  </si>
  <si>
    <t>VS227</t>
  </si>
  <si>
    <t>VALVULA REG CABEZO (TANDEM)KW VARILL LAR</t>
  </si>
  <si>
    <t>489-5020 CLE</t>
  </si>
  <si>
    <t>OVERHAUL DT360 PISTON 1817178C2</t>
  </si>
  <si>
    <t>HJ122012BOW</t>
  </si>
  <si>
    <t>RODILLO ANCLAJE CLUTCH KENWORTH</t>
  </si>
  <si>
    <t>02/04/2025</t>
  </si>
  <si>
    <t>08/04/2025</t>
  </si>
  <si>
    <t>04/04/2025</t>
  </si>
  <si>
    <t>14/04/2025</t>
  </si>
  <si>
    <t>10/04/2025</t>
  </si>
  <si>
    <t>15/04/2025</t>
  </si>
  <si>
    <t>03/04/2025</t>
  </si>
  <si>
    <t>16/04/2025</t>
  </si>
  <si>
    <t>11/04/2025</t>
  </si>
  <si>
    <t>21/04/2025</t>
  </si>
  <si>
    <t>FF5488</t>
  </si>
  <si>
    <t>FILTRO PRIMARIO COMBUSTIBLE PARA MOTORES CUMMINS 6CT, ISC,ISL</t>
  </si>
  <si>
    <t>459-5511 CLE</t>
  </si>
  <si>
    <t>OVERHAUL CUMMINS ISM/M11 SIN PISTON</t>
  </si>
  <si>
    <t>VAD0125 002</t>
  </si>
  <si>
    <t>CAREVACA MOTOR ISX (CARCASA) 3680063</t>
  </si>
  <si>
    <t>4302712/8398</t>
  </si>
  <si>
    <t>RODILLO DOBLE PIÑON DEL BAJO 14718</t>
  </si>
  <si>
    <t>58425 001</t>
  </si>
  <si>
    <t>SAPO TRASERO</t>
  </si>
  <si>
    <t>BARRA DE DIRECCIÓN PARA 4300 MEDIANO DUR</t>
  </si>
  <si>
    <t>85737/65525GAB</t>
  </si>
  <si>
    <t>AMORTIGUADOR TRAILER TRASERO. RANDOM (G)</t>
  </si>
  <si>
    <t>K1922</t>
  </si>
  <si>
    <t>KIT EMPAQUES REPAR A 6915</t>
  </si>
  <si>
    <t>57988 000</t>
  </si>
  <si>
    <t>PASADOR BUJE SUSPENSION</t>
  </si>
  <si>
    <t>24/04/2025</t>
  </si>
  <si>
    <t>25/04/2025</t>
  </si>
  <si>
    <t>EMPAQUETADURA SUPERIOR CUMMINS</t>
  </si>
  <si>
    <t>EMPAQUETADURA INFERIOR CUMMINS ISM Y L10 (L10 después de 1991 - L10E - M11 E ISM)</t>
  </si>
  <si>
    <t>KISM4955239</t>
  </si>
  <si>
    <t>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</t>
  </si>
  <si>
    <t>KIT OVERHAUL ISM</t>
  </si>
  <si>
    <t>MUNDIAL DE PARTES PINZON Y ASOCIADOS SAS</t>
  </si>
  <si>
    <t>30/04/2025</t>
  </si>
  <si>
    <t>02/05/2025</t>
  </si>
  <si>
    <t>28/04/2025</t>
  </si>
  <si>
    <t>07/05/2025</t>
  </si>
  <si>
    <t>05/05/2025</t>
  </si>
  <si>
    <t>AF26268</t>
  </si>
  <si>
    <t>FILTRO DE AIRE SECUNDARIO PARA INT-WORKSTAR 7600 CON MOTOR CUMMINS ISM (CONICO) - FILTRO PRIMARIO AF26103</t>
  </si>
  <si>
    <t>PM22X4-7/8</t>
  </si>
  <si>
    <t>PERNO TRAILER HIDROAMERICA M22 X 4-7/8</t>
  </si>
  <si>
    <t>09/05/2025</t>
  </si>
  <si>
    <t>14/05/2025</t>
  </si>
  <si>
    <t>12/05/2025</t>
  </si>
  <si>
    <t>15/05/2025</t>
  </si>
  <si>
    <t>KIT DE REPARACION VÁLVULA DE PURGA PARA SECADOR DE AIRE AD-9</t>
  </si>
  <si>
    <t>JUAN YANEZ LOBO</t>
  </si>
  <si>
    <t>21/05/2025</t>
  </si>
  <si>
    <t>19/05/2025</t>
  </si>
  <si>
    <t>23/05/2025</t>
  </si>
  <si>
    <t>60826-000</t>
  </si>
  <si>
    <t>VALVULA REG CABEZOTE VARILLA CORTA</t>
  </si>
  <si>
    <t>4735-44510-06</t>
  </si>
  <si>
    <t>VENTILADOR 32x2,5 x 11</t>
  </si>
  <si>
    <t>5566507 FULLER</t>
  </si>
  <si>
    <t>BALINERA 118L PIÑON CENTRAL 8908/14715</t>
  </si>
  <si>
    <t>BX5002742</t>
  </si>
  <si>
    <t>KIT REPARAC VALV FRENO SEGURIDAD EAGLE</t>
  </si>
  <si>
    <t>RETENEDOR TRASERO EJE MOTRIZ 38M LBS</t>
  </si>
  <si>
    <t>SET415SKF/518445/410</t>
  </si>
  <si>
    <t>SET415 RODAMIENTO Y PISTA RUEDA HM518445</t>
  </si>
  <si>
    <t>26/05/2025</t>
  </si>
  <si>
    <t>30/05/2025</t>
  </si>
  <si>
    <t>28/05/2025</t>
  </si>
  <si>
    <t>03/06/2025</t>
  </si>
  <si>
    <t>09/06/2025</t>
  </si>
  <si>
    <t>06/06/2025</t>
  </si>
  <si>
    <t>S-23514</t>
  </si>
  <si>
    <t>1229R2592/N5422</t>
  </si>
  <si>
    <t>1229Q2591</t>
  </si>
  <si>
    <t>HF6710</t>
  </si>
  <si>
    <t>459-5443 CLE</t>
  </si>
  <si>
    <t>INTERCOOLER KENWORTH T880 Y T680 (COMPAÑERO S-23037)</t>
  </si>
  <si>
    <t>PIN AJUSTE RODILLOS EJE SALIDA 0.161 IN</t>
  </si>
  <si>
    <t>PIN AJUSTE RODILLOS EJE SALIDA 0.158 IN</t>
  </si>
  <si>
    <t>BUJE COMPRESOR ALTO ISX</t>
  </si>
  <si>
    <t>FILTRO FLUIDOS, FLEETGUARD, HF6710, DONALDSON, P550388, PARKER, 2116110,BALDWIN, BT28710, GARDNER DENVER, 2116110, ACEITE, DIAMETRO 123 MM (CATERPILLAR)</t>
  </si>
  <si>
    <t>OVERHAUL N14 ELECTRONICO CON PISTON  3087634 CON CASQUETERIA EN STD EMPAQUETADURA COMPLETA VICTOR REINZ</t>
  </si>
  <si>
    <t>JOHAN ERASMO VELASQUEZ MUÑOZ</t>
  </si>
  <si>
    <t>20/06/2025</t>
  </si>
  <si>
    <t>12/06/2025</t>
  </si>
  <si>
    <t>18/06/2025</t>
  </si>
  <si>
    <t>16/06/2025</t>
  </si>
  <si>
    <t>13/06/2025</t>
  </si>
  <si>
    <t>10/06/2025</t>
  </si>
  <si>
    <t>24/06/2025</t>
  </si>
  <si>
    <t>14/06/2025</t>
  </si>
  <si>
    <t>17/06/2025</t>
  </si>
  <si>
    <t>11/06/2025</t>
  </si>
  <si>
    <t>BRA11205A2731</t>
  </si>
  <si>
    <t>14-20958-000</t>
  </si>
  <si>
    <t>RETENEDOR EJE DELANTERO</t>
  </si>
  <si>
    <t>EMPAQUE PEQUEÑO SOBRE TAPA CAJA</t>
  </si>
  <si>
    <t>BOMBA DE DIRECCION ASISTIDA COLUMBIA MOTOR DETROIT SERIE 60 / FN32X15</t>
  </si>
  <si>
    <t>SURTIREPUESTOS SAMACA S.A.S</t>
  </si>
  <si>
    <t>JOSEPH FERNANDO LOPEZ PARADA</t>
  </si>
  <si>
    <t>27/06/2025</t>
  </si>
  <si>
    <t>26/06/2025</t>
  </si>
  <si>
    <t>H67234002/8109</t>
  </si>
  <si>
    <t>RH GROUP S.A.S</t>
  </si>
  <si>
    <t>01/07/2025</t>
  </si>
  <si>
    <t>03/07/2025</t>
  </si>
  <si>
    <t>02/07/2025</t>
  </si>
  <si>
    <t>SET406SKF</t>
  </si>
  <si>
    <t>SET406 RODAMIENTO TRASERO TREN FIJO 6305</t>
  </si>
  <si>
    <t>EMPAQUE CARTER ISX</t>
  </si>
  <si>
    <t>SET401TMK</t>
  </si>
  <si>
    <t>SET ROD Y PISTA 580/572</t>
  </si>
  <si>
    <t>63062RS KOYO</t>
  </si>
  <si>
    <t>BALINERA VOLANTE KW</t>
  </si>
  <si>
    <t>16627/290</t>
  </si>
  <si>
    <t>BOLSA LEVANTA EJE  SELLO MATI</t>
  </si>
  <si>
    <t>18/07/2025</t>
  </si>
  <si>
    <t>18/10/2024</t>
  </si>
  <si>
    <t>15/07/2025</t>
  </si>
  <si>
    <t>07/07/2025</t>
  </si>
  <si>
    <t>10/07/2025</t>
  </si>
  <si>
    <t>11/07/2025</t>
  </si>
  <si>
    <t>14/07/2025</t>
  </si>
  <si>
    <t>16/07/2025</t>
  </si>
  <si>
    <t>370003/47697PROSKF</t>
  </si>
  <si>
    <t>380001A/35058PROSKF</t>
  </si>
  <si>
    <t>S6914/10.064MANS</t>
  </si>
  <si>
    <t>BUJE SUSPENSION TRIFUNCIONAL TRAILER</t>
  </si>
  <si>
    <t>BRA11205Y2729</t>
  </si>
  <si>
    <t>AF25139M</t>
  </si>
  <si>
    <t>FILTRO AIRE PRIMARIO EXTERNO PARA CUMMINS ISX</t>
  </si>
  <si>
    <t>BRA11205X2728</t>
  </si>
  <si>
    <t>10PK1370</t>
  </si>
  <si>
    <t>CORREA PARA VENTILADOR INTERNATIONAL 9100,9200, 9400 CON MOTOR DETROIT</t>
  </si>
  <si>
    <t>S-23037</t>
  </si>
  <si>
    <t>RADIADOR KENWORTH T880 Y T680 (COMPAÑERO S-23514)</t>
  </si>
  <si>
    <t>S-29914</t>
  </si>
  <si>
    <t>VALVULA DE EXPANCIÓN DE AIRE ACONDICIONADO KENWORTH T660 Y T800</t>
  </si>
  <si>
    <t>4735-41393-05</t>
  </si>
  <si>
    <t>VENTILADOR 28X2,56X9</t>
  </si>
  <si>
    <t>IMPORTADORA DE REPUESTOS PARA PESADOS S.A.S</t>
  </si>
  <si>
    <t>JHIRA ALEXANDRA ARANGO RIVERA</t>
  </si>
  <si>
    <t>19/07/2025</t>
  </si>
  <si>
    <t>21/07/2025</t>
  </si>
  <si>
    <t>22/07/2025</t>
  </si>
  <si>
    <t>25/07/2025</t>
  </si>
  <si>
    <t>28/07/2025</t>
  </si>
  <si>
    <t>23/07/2025</t>
  </si>
  <si>
    <t>363-4019/1630SKF</t>
  </si>
  <si>
    <t>K022105</t>
  </si>
  <si>
    <t>VALVULA PURGA SECADOR ADIS</t>
  </si>
  <si>
    <t>VALVULA SOLENOIDE O DE PARO MOTORES</t>
  </si>
  <si>
    <t>BALINERA TRASERA EJE FAN CLUTCH BORGWARN</t>
  </si>
  <si>
    <t>30/07/2025</t>
  </si>
  <si>
    <t>04/08/2025</t>
  </si>
  <si>
    <t>31/07/2025</t>
  </si>
  <si>
    <t>01/08/2025</t>
  </si>
  <si>
    <t>9908399/1033-09339-04</t>
  </si>
  <si>
    <t>KIT DE REPARACION KY K26FA X 5 PI</t>
  </si>
  <si>
    <t>FAN CLUTCH KLONDIKE K32 (ALIMENTACIÓN DE AIRE POR DELANTE)</t>
  </si>
  <si>
    <t>BX5004052</t>
  </si>
  <si>
    <t>WF2127</t>
  </si>
  <si>
    <t>GE25ES2RS-SKF</t>
  </si>
  <si>
    <t>KIT REPARACIÓN VALVULA FRENO AD-IS</t>
  </si>
  <si>
    <t>FILTRO REFRIGERANTE DE AGUA PARA MOTOR CUMMINS ISX, X15</t>
  </si>
  <si>
    <t>ROTULA ESFERICA RADIAL ( DIAMETRO INTERNO 25MM Y EXTERNO 42MM) PARA HORQUILLA EMBRAGUE DE FREIGHTLINER E INTERNATIONAL PROSTAR</t>
  </si>
  <si>
    <t>06/08/2025</t>
  </si>
  <si>
    <t>08/08/2025</t>
  </si>
  <si>
    <t>11/08/2025</t>
  </si>
  <si>
    <t>EMPAQUE CAREVACA PARA MOTOR ISX</t>
  </si>
  <si>
    <t>12/08/2025</t>
  </si>
  <si>
    <t>FS36259</t>
  </si>
  <si>
    <t>FILTRO COMBUSTIBLE 7 MICRAS  SIN SENSOR PARA SHACMAN CON MOTOR ISZ</t>
  </si>
  <si>
    <t>ORLANDO RATIVA ALBERTO</t>
  </si>
  <si>
    <t>14/08/2025</t>
  </si>
  <si>
    <t>15/08/2025</t>
  </si>
  <si>
    <t>13/08/2025</t>
  </si>
  <si>
    <t>19/08/2025</t>
  </si>
  <si>
    <t>R200074/580.012MANS</t>
  </si>
  <si>
    <t>JUEGO SPLINDER JGOX14 PLAST ITL/CL/ M2 1</t>
  </si>
  <si>
    <t>16/08/2025</t>
  </si>
  <si>
    <t>21/08/2025</t>
  </si>
  <si>
    <t>22/08/2025</t>
  </si>
  <si>
    <t>25/08/2025</t>
  </si>
  <si>
    <t>20/08/2025</t>
  </si>
  <si>
    <t>2203K9839</t>
  </si>
  <si>
    <t>SEPAR SPEED DEL  ENTRE RODIL 12.33MM 160</t>
  </si>
  <si>
    <t>LF3349</t>
  </si>
  <si>
    <t>FILTRO DE ACEITE MITSUBISHI, VOLVO NH12 Y KODIAK C70 / CUMMINS 6BT</t>
  </si>
  <si>
    <t>27/08/2025</t>
  </si>
  <si>
    <t>29/08/2025</t>
  </si>
  <si>
    <t>01/09/2025</t>
  </si>
  <si>
    <t>04/09/2025</t>
  </si>
  <si>
    <t>03/09/2025</t>
  </si>
  <si>
    <t>05/09/2025</t>
  </si>
  <si>
    <t>417541/50148SKF</t>
  </si>
  <si>
    <t>ZF4.300.421</t>
  </si>
  <si>
    <t>SAP1024L</t>
  </si>
  <si>
    <t>SAP-3030LS</t>
  </si>
  <si>
    <t>SAP1020L</t>
  </si>
  <si>
    <t>SAP-BE23703</t>
  </si>
  <si>
    <t>RETENEDOR EJE DE TRAILER</t>
  </si>
  <si>
    <t>RETEN YOKE TAPA TRASERA</t>
  </si>
  <si>
    <t>CÁMARA DE FRENO DE SERVICIO TIPO 24 CON CONJUNTO DE HORQUILLA</t>
  </si>
  <si>
    <t>CÁMARA DE FRENO DE RESORTE TIPO 30/30 REPARABLE  CON CONJUNTO DE HORQUILLA</t>
  </si>
  <si>
    <t>CÁMARA DE FRENO DE SERVICIO TIPO 20 CON CONJUNTO DE HORQUILLA</t>
  </si>
  <si>
    <t>CONECTOR CABLE,VOLTAJE 12 V,FORRO ACERO GALVANIZADO,TIPO CONECTOR CABLE 7 VIAS, AMPERAJE 60 A</t>
  </si>
  <si>
    <t>08/09/2025</t>
  </si>
  <si>
    <t>15/09/2025</t>
  </si>
  <si>
    <t>10/09/2025</t>
  </si>
  <si>
    <t>11/09/2025</t>
  </si>
  <si>
    <t>PAI6CS-103-026</t>
  </si>
  <si>
    <t>OVERHAUL 6CT (8.3)PISTON 3917707</t>
  </si>
  <si>
    <t>BOLSA SUSPENSION TANDEM PARA SITRAK  C7H Y FAW</t>
  </si>
  <si>
    <t>17/09/2025</t>
  </si>
  <si>
    <t>18/09/2025</t>
  </si>
  <si>
    <t>22/09/2025</t>
  </si>
  <si>
    <t>23/09/2025</t>
  </si>
  <si>
    <t>24/09/2025</t>
  </si>
  <si>
    <t>26/09/2025</t>
  </si>
  <si>
    <t>29/09/2025</t>
  </si>
  <si>
    <t>PIÑA DEL BAJO FO-16E318B-MXP</t>
  </si>
  <si>
    <t>X007785/ECL1942/SC</t>
  </si>
  <si>
    <t>TERMOSTATO ENFRIADOR DE ACEITE 215° F =102 °GRADOS CENTIGRADOS PARA ISX, ISM Y L10</t>
  </si>
  <si>
    <t>01/10/2025</t>
  </si>
  <si>
    <t>02/10/2025</t>
  </si>
  <si>
    <t>03/10/2025</t>
  </si>
  <si>
    <t>309701-82</t>
  </si>
  <si>
    <t>KIT EMBRAGUE  AUTO AJUSTABLE DISCO 7 RES</t>
  </si>
  <si>
    <t>07/10/2025</t>
  </si>
  <si>
    <t>10/10/2025</t>
  </si>
  <si>
    <t>08/10/2025</t>
  </si>
  <si>
    <t>06/10/2025</t>
  </si>
  <si>
    <t>S-23794</t>
  </si>
  <si>
    <t>INTERCOOLER KENWORTH T800 MODELOS 2013 EN ADELANTE (COMPAÑERO DEL S-23031)</t>
  </si>
  <si>
    <t>66628/83136MON</t>
  </si>
  <si>
    <t>AMORTIGUADOR DELANTERO KODIAK</t>
  </si>
  <si>
    <t>5-675XMER/801006</t>
  </si>
  <si>
    <t>EMPAQUE MONTAJE TURBO EAGLE</t>
  </si>
  <si>
    <t>RETENEDOR DEL CIGUEÑAL TRASERO DE MOTOR</t>
  </si>
  <si>
    <t>SENSOR TEMPERATURA AIRE ISX</t>
  </si>
  <si>
    <t>RESORTE FRENO MOTOR</t>
  </si>
  <si>
    <t>1809935C4-MCBEE</t>
  </si>
  <si>
    <t>CAMISA HUMEDA MOTOR 360(120,14mm)</t>
  </si>
  <si>
    <t>1830606C94/23713TYJ</t>
  </si>
  <si>
    <t>BOMBA DE AGUA DT-408/466NGD/DT530</t>
  </si>
  <si>
    <t>RETEN CIGUEÑAL DELANTERO ISX</t>
  </si>
  <si>
    <t>ALMACEN TRANSMIPARTES S.A.S</t>
  </si>
  <si>
    <t>16/10/2025</t>
  </si>
  <si>
    <t>14/10/2025</t>
  </si>
  <si>
    <t>DS-9012/L24VU8432B</t>
  </si>
  <si>
    <t>17/10/2025</t>
  </si>
  <si>
    <t>WAB3868300C92/850904</t>
  </si>
  <si>
    <t>2035006C2/450549PAI</t>
  </si>
  <si>
    <t>1R13-038/9122GY</t>
  </si>
  <si>
    <t>CILINDRO PRINCIPAL PEDAL DEL EMBRAGUE PR</t>
  </si>
  <si>
    <t>TAPON DESFOGUE TAPA FRONTAL EAGLE</t>
  </si>
  <si>
    <t>BOLSA SUSPENSION TRAILER ROMARKO</t>
  </si>
  <si>
    <t>21/10/2025</t>
  </si>
  <si>
    <t>22/10/2025</t>
  </si>
  <si>
    <t>24/10/2025</t>
  </si>
  <si>
    <t>27/10/2025</t>
  </si>
  <si>
    <t>20/10/2025</t>
  </si>
  <si>
    <t>MK0130930 MAH</t>
  </si>
  <si>
    <t>OVERHAUL MWM 4.10 CTA</t>
  </si>
  <si>
    <t>DISCO COMPACTO 1 3/4"</t>
  </si>
  <si>
    <t>107237-10 MOX</t>
  </si>
  <si>
    <t>KIT EMBRAGUE</t>
  </si>
  <si>
    <t>107683-5 MOX</t>
  </si>
  <si>
    <t>KIT EMBRAGUE  14X1 3/4" - PRENSA 6 RESOR</t>
  </si>
  <si>
    <t>MK0130940 MAH</t>
  </si>
  <si>
    <t>OVERHAUL MWM 4,10CTA</t>
  </si>
  <si>
    <t>MK0210950 MAH</t>
  </si>
  <si>
    <t>OVERHAUL CUMMINS 6CT 250HP PISTO 3925878</t>
  </si>
  <si>
    <t>489-5040 CLE</t>
  </si>
  <si>
    <t>OVERHAUL DT408 INT PISTON 1822217 TIPO P</t>
  </si>
  <si>
    <t>489-5029 CLE</t>
  </si>
  <si>
    <t>OVERHAUL DT466/DT530 MY ELECTRONICO PISTON 1833092 TIPO PUNTA, CASQUETERIA EN STD, MY 230 A 250HP ELECTRONICO  2006 AL 2014 CAMION 4300 CON</t>
  </si>
  <si>
    <t>489-5030 CLE</t>
  </si>
  <si>
    <t>OVERHAUL DT466 MY ELECTRONICO CARRO NUEVO PISTON 1836321  CON CASQUETERIA EN STD</t>
  </si>
  <si>
    <t>489-5019 CLE</t>
  </si>
  <si>
    <t>OVERHAUL INT DT466NGD PISTON 1824810C1</t>
  </si>
  <si>
    <t>489-5004 CLE</t>
  </si>
  <si>
    <t>OVERHAUL DT466 PISTON 1817520C2</t>
  </si>
  <si>
    <t>PAI530-105-001</t>
  </si>
  <si>
    <t>OVERHAUL MTR DT530/DT466 PIST-1822098</t>
  </si>
  <si>
    <t>PAI530-104-001</t>
  </si>
  <si>
    <t>OVERHAUL DT530 PISTON 410043 "1825593C1"</t>
  </si>
  <si>
    <t>PAI466-104-001</t>
  </si>
  <si>
    <t>OVERHAUL MTR DT466 DT530 PIST-1823930</t>
  </si>
  <si>
    <t>IMPORTACIONES JM DIESEL SAS</t>
  </si>
  <si>
    <t>4735-41392-01</t>
  </si>
  <si>
    <t>VENTILADOR 30X2,5X9</t>
  </si>
  <si>
    <t>29/10/2025</t>
  </si>
  <si>
    <t>28/10/2025</t>
  </si>
  <si>
    <t>30/10/2025</t>
  </si>
  <si>
    <t>31/10/2025</t>
  </si>
  <si>
    <t>JM0130910/J&amp;RM-2387/6C/RET MAH</t>
  </si>
  <si>
    <t>EMPAQUETADURA COMPLETA MWM</t>
  </si>
  <si>
    <t>ANGELA ROCIO HIDALGO VALLEJO</t>
  </si>
  <si>
    <t>04/11/2025</t>
  </si>
  <si>
    <t>06/11/2025</t>
  </si>
  <si>
    <t>07/11/2025</t>
  </si>
  <si>
    <t>10/11/2025</t>
  </si>
  <si>
    <t>INYECTOR ISX</t>
  </si>
  <si>
    <t>TAPA PLASTICA VOLQUETAS INTERNATIONAL</t>
  </si>
  <si>
    <t>6305-2RS1SKF</t>
  </si>
  <si>
    <t>RODAMIENTO</t>
  </si>
  <si>
    <t>4303705/T51433</t>
  </si>
  <si>
    <t>12/11/2025</t>
  </si>
  <si>
    <t>13/11/2025</t>
  </si>
  <si>
    <t>14/11/2025</t>
  </si>
  <si>
    <t>KIT TORNILLOS CORONA 46000LBS</t>
  </si>
  <si>
    <t>CORREA PARA COLUMBIA SERIE60 12LT,</t>
  </si>
  <si>
    <t>19/11/2025</t>
  </si>
  <si>
    <t>20/11/2025</t>
  </si>
  <si>
    <t>21/11/2025</t>
  </si>
  <si>
    <t>25/11/2025</t>
  </si>
  <si>
    <t>7001P</t>
  </si>
  <si>
    <t>BOLSA SUSPENSION CABINA KW</t>
  </si>
  <si>
    <t>83025/66162GAB</t>
  </si>
  <si>
    <t>AMORTIGUADOR CABINA EAGLE(M) YKW</t>
  </si>
  <si>
    <t>18/11/2025</t>
  </si>
  <si>
    <t>27/11/2025</t>
  </si>
  <si>
    <t>26/11/2025</t>
  </si>
  <si>
    <t>WAB9730110032</t>
  </si>
  <si>
    <t>KIT EMPAQUETADURA MODULO ROMARCO</t>
  </si>
  <si>
    <t>FL COLOMBIA S.A.S</t>
  </si>
  <si>
    <t>04/12/2025</t>
  </si>
  <si>
    <t>05/12/2025</t>
  </si>
  <si>
    <t>03/12/2025</t>
  </si>
  <si>
    <t>01/12/2025</t>
  </si>
  <si>
    <t>02/12/2025</t>
  </si>
  <si>
    <t>POTENCIÓMETRO DETROIT SIN ARNES</t>
  </si>
  <si>
    <t>SET414TMK</t>
  </si>
  <si>
    <t>SET ROD Y PISTA HM218248/HM218210 INTERN</t>
  </si>
  <si>
    <t>SET413TMK</t>
  </si>
  <si>
    <t>SET ROD Y PISTA INT. HM212049/HM212011</t>
  </si>
  <si>
    <t>K4143</t>
  </si>
  <si>
    <t>KIT EJE DE TOMA CAJA FO-16E318B-MXP</t>
  </si>
  <si>
    <t>43146000L</t>
  </si>
  <si>
    <t>PASADOR MUELLE</t>
  </si>
  <si>
    <t>MPR1PLAS CLE</t>
  </si>
  <si>
    <t>PLASTIGAGE ROJO</t>
  </si>
  <si>
    <t>EJE LATERAL  DIFER. CONICO 46 MLBS</t>
  </si>
  <si>
    <t>09/12/2025</t>
  </si>
  <si>
    <t>10/12/2025</t>
  </si>
  <si>
    <t>12/12/2025</t>
  </si>
  <si>
    <t>11/12/2025</t>
  </si>
  <si>
    <t>13/12/2025</t>
  </si>
  <si>
    <t>A3235E2111</t>
  </si>
  <si>
    <t>CANAS PORTA COR ESCUALIZA 9X41 JGOX3</t>
  </si>
  <si>
    <t>370065A/42627PROSKF</t>
  </si>
  <si>
    <t>RETENEDOR EJE DE TRAILER INCA (IGUAL AL 370065)</t>
  </si>
  <si>
    <t>2234864GATES/T38715</t>
  </si>
  <si>
    <t>TENSOR DE CORREA VENTILADOR DAF 480</t>
  </si>
  <si>
    <t>89124GATES/36742</t>
  </si>
  <si>
    <t>POLEA TENSORA PARA TENSOR DE MOTOR DD13</t>
  </si>
  <si>
    <t>12PK2180GATES/K120858</t>
  </si>
  <si>
    <t>CORREA ACANAL P/ALTERN KENWORTH T660/700/800 2010-2011 12 CANALES</t>
  </si>
  <si>
    <t>12PK2165GATES/K120852</t>
  </si>
  <si>
    <t>CORREA ACANALADA P/ALTERNADOR PRINCIPAL PROSTAR</t>
  </si>
  <si>
    <t>12PK2140GATES/K120842</t>
  </si>
  <si>
    <t>CORREA ACANALADA POLY-V (REMPLAZO CORREA AUXILIAR) PARA MOTOR CUMMINS ISX, KW Y VOLVO SERIES VN 2003-13 / VOLVO SERIE VT 2006-10</t>
  </si>
  <si>
    <t>10PK1665GATES/K100655</t>
  </si>
  <si>
    <t>CORREA ACANAL PARA ALTERN POLY-V. MACK2005,KENWORTH2003MOTOR CUMMINS T800MOTOR ROJO 10 CANALES</t>
  </si>
  <si>
    <t>89947GATES/38667</t>
  </si>
  <si>
    <t>TENSOR PARA NEW CASCADIA DD13</t>
  </si>
  <si>
    <t>12PK2170GATES/K120855HD</t>
  </si>
  <si>
    <t>CORREA ACANALADA PARA ALTERNADOR KENWORTH T660/700/800 2010-2011</t>
  </si>
  <si>
    <t>6PK1740GATES/K060685</t>
  </si>
  <si>
    <t>CORREA ACANALADA PARA ALTERNADOR - KENWORTH T600 - T800 MOTOR CUMMINS ISX MOD.03</t>
  </si>
  <si>
    <t>6PK1625GATES/K060640</t>
  </si>
  <si>
    <t>CORREA AIRE ACONDICIONADO KW MOTOR ISX</t>
  </si>
  <si>
    <t>89421GATES/38535</t>
  </si>
  <si>
    <t>TENSOR CORREA VENTILADOR KW T800 T2000 T600 W900 INT 9100-9200-9400-9900 FTL CL120 ISX TODAS P/89102 CAMIONES VOLVO SERIE VN MOTOR CUMMINS ISX</t>
  </si>
  <si>
    <t>89419GATES/38501</t>
  </si>
  <si>
    <t>TENSOR CORREA CON MOTOR SERIE 60,FREIGHTLINER Y COLUMBIA</t>
  </si>
  <si>
    <t>89406_89481GATES/38516</t>
  </si>
  <si>
    <t>TENSOR CORREA ACANALADA FREIGHTLINER/ KW CON MOTOR ISC/ISB TIPO NUEVO</t>
  </si>
  <si>
    <t>6PK1620GATES/K060637</t>
  </si>
  <si>
    <t>CORREA AIRE ACONDICIONADO ACANALADA P/ALTERN . EAGLE Y PROSTAR INTERNATIONAL PAYSTAR MOD.08-12, A.A. INTERNATIONAL PROSTAR MOTOR CUMMINS ISX MOD.2014 6 CANALES</t>
  </si>
  <si>
    <t>6PK1310GATES/K060516</t>
  </si>
  <si>
    <t>CORREA A/A INTERNATIONAL</t>
  </si>
  <si>
    <t>89455GATES/38567</t>
  </si>
  <si>
    <t>TENSOR CORREA FREIGTLINER MOTOR MERCEDES</t>
  </si>
  <si>
    <t>89447GATES/38622</t>
  </si>
  <si>
    <t>TENSOR CORREA PARA MOTOR CATERPILAR C15 INTERNATIONAL 7600 ISM PARA USAR CON CORREA 8PK</t>
  </si>
  <si>
    <t>DANNY ENRIQUE PACHON ROCHA</t>
  </si>
  <si>
    <t>A53235G2113</t>
  </si>
  <si>
    <t>CANAS PORTA COR ESCUALIZA 9X44 JGOX3</t>
  </si>
  <si>
    <t>19/12/2025</t>
  </si>
  <si>
    <t>17/12/2025</t>
  </si>
  <si>
    <t>18/12/2025</t>
  </si>
  <si>
    <t>22/12/2025</t>
  </si>
  <si>
    <t>6PK1625</t>
  </si>
  <si>
    <t>CORREA ACANAL P/ALTERN . INTERNATIONAL PROSTAR MOTOR CUMMINS ISX MOD.08-13, A.A. INTERNATIONAL EAGLE 9400 MOTOR CUMMINS ISX</t>
  </si>
  <si>
    <t>ARANDELA ESTRIADA PIÑÓN MONO 14715-14915</t>
  </si>
  <si>
    <t>EMPAQUE EJE 9 1/2"</t>
  </si>
  <si>
    <t>210121-1X</t>
  </si>
  <si>
    <t>KIT SOP. CARDAN KODIACK</t>
  </si>
  <si>
    <t>A11205Z2730</t>
  </si>
  <si>
    <t>RETENEDOR 23-240 / 145</t>
  </si>
  <si>
    <t>4089980/5693747</t>
  </si>
  <si>
    <t>ACTUADOR, METERING (DOSIFICACION)</t>
  </si>
  <si>
    <t>K2003/3005579</t>
  </si>
  <si>
    <t>KIT PASADOR Y BUJES BARRA DE CAMBIOS</t>
  </si>
  <si>
    <t>MECTRONICS S.A</t>
  </si>
  <si>
    <t>15/12/2025</t>
  </si>
  <si>
    <t>23/12/2025</t>
  </si>
  <si>
    <t>26/12/2025</t>
  </si>
  <si>
    <t>27/12/2025</t>
  </si>
  <si>
    <t>29/12/2025</t>
  </si>
  <si>
    <t>VAL833382</t>
  </si>
  <si>
    <t>KIT EMBRAGUE 430mm DE HALAR DE 3 PIEZAS, PRENSA (228296 / 225968) + DISCO (228293 / 225954) 10 ESTRIAS / 6 RESORTES CON DIAMETRO INTERNO PARA EJE DE TOMA DE 2" 1/16 + BALINERA (CA78768) PARA VOLKSWAGEN 19360 PATINETA / CHINO / FOTON/SHACMAN X3000 X5000 (CON CAJA FAST GEAR Y MOTOR ISZ)</t>
  </si>
  <si>
    <t>30334/MHS4MANS</t>
  </si>
  <si>
    <t>A5160</t>
  </si>
  <si>
    <t>HORQUI TRIPLICADOR MONO 8908/14715/16915</t>
  </si>
  <si>
    <t>K3955</t>
  </si>
  <si>
    <t>ENFRIADOR DE ACEITE 14913 KW T800 16915</t>
  </si>
  <si>
    <t>PIÑA TRIPLICADOR  14715-915/16915</t>
  </si>
  <si>
    <t>A5156/21351</t>
  </si>
  <si>
    <t>ACOPLE PIÑON MONO 14715/915 8908LL</t>
  </si>
  <si>
    <t>21319B</t>
  </si>
  <si>
    <t>PIÑON MONO 14715/16915//8908</t>
  </si>
  <si>
    <t>A83235W1843</t>
  </si>
  <si>
    <t>PORTA CORONA 46-145 WORKER</t>
  </si>
  <si>
    <t>3278S305/D1382</t>
  </si>
  <si>
    <t>CRUCETA ESCUALIZACION S 145/ 230- SQ100</t>
  </si>
  <si>
    <t>2233J1024/092061</t>
  </si>
  <si>
    <t>SATELITE ESCUALIZ S 145-230/ EXCP TR</t>
  </si>
  <si>
    <t>KIT4400MER</t>
  </si>
  <si>
    <t>KIT RODAMIENTO TRASERO RS145</t>
  </si>
  <si>
    <t>A41458-1</t>
  </si>
  <si>
    <t>CORONA Y SPEED TRAS 7X43 S 145</t>
  </si>
  <si>
    <t>1229V4624/9764</t>
  </si>
  <si>
    <t>ARANDELA PLANETARIO  S 145</t>
  </si>
  <si>
    <t>1229R1032</t>
  </si>
  <si>
    <t>ARANDELA SATEL ESCZ S 145-230 SQHD/SQ100</t>
  </si>
  <si>
    <t>2234U1269/G1437</t>
  </si>
  <si>
    <t>PLANETARIO SERIE 145//091260</t>
  </si>
  <si>
    <t>20323B</t>
  </si>
  <si>
    <t>PLATO SINCRONIZADOR 14715/14915/16915</t>
  </si>
  <si>
    <t>EMPAQUE DESCARGA DEL TURBO ISX</t>
  </si>
  <si>
    <t>FAN CLUTCH ELECTRONICO DRIVE MASTER</t>
  </si>
  <si>
    <t>FF5369W</t>
  </si>
  <si>
    <t>FILTRO O ELEMENTO  DE COMBUSTIBLE PARA KOMATSU</t>
  </si>
  <si>
    <t>A53235E2111</t>
  </si>
  <si>
    <t>35-RPL25X</t>
  </si>
  <si>
    <t>CRUCETA M2 112 MULA FTL CARDAN DELANTERO</t>
  </si>
  <si>
    <t>ARANDELA EST. PIÑON MONO  18</t>
  </si>
  <si>
    <t>K4454</t>
  </si>
  <si>
    <t>KIT RODAMIENTO PARA CAJA RTLO16918B CON 5556507</t>
  </si>
  <si>
    <t>B43200S1865614</t>
  </si>
  <si>
    <t>DIFERENCIAL COMPLETO RS-145</t>
  </si>
  <si>
    <t>VAD0125 001</t>
  </si>
  <si>
    <t>EMPAQUE COMPRESOR ISX</t>
  </si>
  <si>
    <t>TRANSMICAJAS SHACMAN SAS</t>
  </si>
  <si>
    <t>COTRANSCOPETROL SAS Y CTC SAS</t>
  </si>
  <si>
    <t>GLADYS VIVIANA MONTENEGRO MARTINEZ</t>
  </si>
  <si>
    <t>6203-2RS1C3SKF/BB1-4829A</t>
  </si>
  <si>
    <t>90008149/48</t>
  </si>
  <si>
    <t>BUJE SUSPENSION NEWAY</t>
  </si>
  <si>
    <t>BOMBA ENGRANAJE CUMMINS ISX (4062360)</t>
  </si>
  <si>
    <t>89448GATES/38610</t>
  </si>
  <si>
    <t>TENSOR CORREA AIRE ACONDICIONADO KW T2000 T600 T660 T800 MODELO DESPUES DE 2012 W900 INTERNATIONAL PROSTAR HI EAGLE MOTOR ISX TODAS P/89111 COMPAÑERO DE 89440 PARA AIRE ACONDICIONADO 6PK1740-6PK1625</t>
  </si>
  <si>
    <t>06/01/2026</t>
  </si>
  <si>
    <t>05/01/2026</t>
  </si>
  <si>
    <t>30/12/2025</t>
  </si>
  <si>
    <t>02/01/2026</t>
  </si>
  <si>
    <t>4965569/6609787</t>
  </si>
  <si>
    <t>07/01/2026</t>
  </si>
  <si>
    <t>PIÑON 4TA TREN FIJO 4205</t>
  </si>
  <si>
    <t>K4134/3005643</t>
  </si>
  <si>
    <t>KIT DISCO COMPAC FRENO INERCIA FO-16E318</t>
  </si>
  <si>
    <t>SET57TMK</t>
  </si>
  <si>
    <t>SET ROD Y PISTA INT EJE TOMA/31594-31520</t>
  </si>
  <si>
    <t>EJE CORREDI FS6406A/FSB6406A/FS5406N 38E</t>
  </si>
  <si>
    <t>8593/8597</t>
  </si>
  <si>
    <t>BOLSA DELANTERA BLUE BIRD</t>
  </si>
  <si>
    <t>4376430/4309389</t>
  </si>
  <si>
    <t>CAMISAS ROSADAS 150 CM SIN ANILLO ANTIPULIDO</t>
  </si>
  <si>
    <t>KIT DE EMPAQUETADURA BOMBA INYECCION ISM Y N-14</t>
  </si>
  <si>
    <t>CASQUETES BANCADA STD JGO + MEDIALUNAS 5406110 ISX</t>
  </si>
  <si>
    <t>6303-2RSC3/BB1-0633EA</t>
  </si>
  <si>
    <t>BALINERA TENSOR CORREA KW E EAGLE</t>
  </si>
  <si>
    <t>VAD25 03 50</t>
  </si>
  <si>
    <t>CULAT P/COMPRESOR CUMMINS ISX 9111535100</t>
  </si>
  <si>
    <t>1229R3008/9872/2877</t>
  </si>
  <si>
    <t>ARANDELA AJUSTE SATELITE AGRALE MS-15 12</t>
  </si>
  <si>
    <t>SETHM804846/10TMK</t>
  </si>
  <si>
    <t>SET ROD/PIS SPEED DIF EXT DEL MS120/124</t>
  </si>
  <si>
    <t>SET3994/JM511910TMK</t>
  </si>
  <si>
    <t>SET ROD Y PISTA LATERAL MS120/124</t>
  </si>
  <si>
    <t>EMPRESA DE TRANSPORTE INTEGRADO DE BOGOTA SAS</t>
  </si>
  <si>
    <t>E&amp;M DIESEL S.A.S</t>
  </si>
  <si>
    <t>MDR MUNDIAL DE REPUESTOS S.A.S</t>
  </si>
  <si>
    <t>08/01/2026</t>
  </si>
  <si>
    <t>09/01/2026</t>
  </si>
  <si>
    <t>CA/32/X/WI557</t>
  </si>
  <si>
    <t>BLOQUE TRAILER (CON SOBRE MEDIDA .86 MILESIMAS DE PULGADA MAS GRUESO) PARA ROMARCO CAMPANA DIAM "16.5 x 8" ANCHO</t>
  </si>
  <si>
    <t>MS2297-STD CLE/3800298</t>
  </si>
  <si>
    <t>CASQUETE BANCADA STD CON MEDIA LUNAS ISX</t>
  </si>
  <si>
    <t>SENSOR PRESION TEMP ACEITE MOTOR ISX</t>
  </si>
  <si>
    <t>12PK2140</t>
  </si>
  <si>
    <t>CORREA ACANALADA POLY-V (REMPLAZO CORREA AUXILIAR) PARA  MOTOR CUMMINS ISX, KW  Y VOLVO SERIES VN 2003-13 / VOLVO SERIE VT 2006-10</t>
  </si>
  <si>
    <t>12PK2310</t>
  </si>
  <si>
    <t>CORREA ACANALADA POLY-PRINCIPAL PARA EAGLE VENT. - ALT. INTERNATIONAL EAGLE 9400 MOTOR CUMMINS ISX 15.0, VENT. - ALT.  INTERNATIONAL 9200 MOTOR CUMMINS ISX 15.0 MOD.05-09, VENT. - ALT. KENWORTH  W900 MOTOR CUMMINS ISX 15.0 MOD.08-0</t>
  </si>
  <si>
    <t>KIT REPARACIÓN SOLO ORINGS Fan clutch Klondike K32 Piloto Dual (alimentación delantera)</t>
  </si>
  <si>
    <t>KIT DE REPARACION KLONDIKE K26RA -K26 Y K30  K32 Y K32 ENTRADA DE AIRE POR ATRÁS // ASBESTO + TORNILLOS (=40600-02 FIBRA)</t>
  </si>
  <si>
    <t>2000/MPU560.170MANS</t>
  </si>
  <si>
    <t>AISLANTE INFERIOR POLIURETANO</t>
  </si>
  <si>
    <t>DRK18ETMK</t>
  </si>
  <si>
    <t>KIT RODAMIENTOS PARA DIFERENCIAL PLANA TRASERA 46,000 LBS</t>
  </si>
  <si>
    <t>DRK208TMK</t>
  </si>
  <si>
    <t>KIT RODAMIENTOS PARA DIFERENCIAL PLANA DELANTERA 46,000 LBS</t>
  </si>
  <si>
    <t>PIÑON DE 4TA  COR 19T FS4205A-B-C</t>
  </si>
  <si>
    <t>RETEN EJE DE TOMA FS4205A/FS6406A</t>
  </si>
  <si>
    <t>5-281XDANA</t>
  </si>
  <si>
    <t>CRUCETA 19.5CM SERIE 1810 PAREJA</t>
  </si>
  <si>
    <t>PIÑON DEL BAJO FO-16E318B-MXP</t>
  </si>
  <si>
    <t>107342-22</t>
  </si>
  <si>
    <t>SEPARADOR EJE DE TOMA 14715/16918</t>
  </si>
  <si>
    <t>K4149/K3938</t>
  </si>
  <si>
    <t>KIT SENSOR VELOCIDAD CLUTCH AUTOMATIZADA</t>
  </si>
  <si>
    <t>PIÑON CENTRAL</t>
  </si>
  <si>
    <t>K3941</t>
  </si>
  <si>
    <t>KIT RODAMIENTO FO-16E318-MXP</t>
  </si>
  <si>
    <t>K4252</t>
  </si>
  <si>
    <t>KIT ACTUADOR ELECT CLUCTH FO-16E3 ECA</t>
  </si>
  <si>
    <t>ARANDELA EST.INT DEL K-2808</t>
  </si>
  <si>
    <t>A7471</t>
  </si>
  <si>
    <t>TUBO CACHO LUBRICACION LARGO</t>
  </si>
  <si>
    <t>A1205E1955SNP</t>
  </si>
  <si>
    <t>RETENEDOR SPEED 177E CHINA</t>
  </si>
  <si>
    <t>ENFRIADOR DE ACEITE FO-16E318B-MXP</t>
  </si>
  <si>
    <t>A6848</t>
  </si>
  <si>
    <t>TORRE MONO RT/RTO-14915/16</t>
  </si>
  <si>
    <t>K2924/K3132</t>
  </si>
  <si>
    <t>KIT RODAMIENTO FR/FRO 9210B</t>
  </si>
  <si>
    <t>K4315/K3933</t>
  </si>
  <si>
    <t>KIT MÓDULO ELECT DE KJA T.E.C.U. COMPU</t>
  </si>
  <si>
    <t>K3438</t>
  </si>
  <si>
    <t>KIT SENSOR DE POSICION PARA MOTOR</t>
  </si>
  <si>
    <t>4302435B</t>
  </si>
  <si>
    <t>PIÑÓN CENT ARRAS/MAND FR/FRO TODAS</t>
  </si>
  <si>
    <t>K3676/A7594</t>
  </si>
  <si>
    <t>CARCASA CLUTCH  (JGOX3) 16918 20"/ ALUMI</t>
  </si>
  <si>
    <t>K3682</t>
  </si>
  <si>
    <t>VALVULA SOLENOIDE MONO Y BAJO</t>
  </si>
  <si>
    <t>4707/X/WI700</t>
  </si>
  <si>
    <t>BLOQUE TRASERA (1 JG VIENE X 8 BLOQUES) PARA KENWORTH T300-T800/MACK CT713INTERNATIONAL 4700 -4300-7600/ ROCKWELL AXLE / FREIGHTLINER M2 106-113</t>
  </si>
  <si>
    <t>4709/X/WI700</t>
  </si>
  <si>
    <t>BLOQUE TRASERA (1 JG VIENE X 8 BLOQUES) PARA INTERNATIONAL 9400--9900/EATON BRAKES 16.5" DIA. X 7" /MERCEDES CAMION CLASE7 / KENWORTH T600,T800 EJE EATON MODELO 2002-2007-CAMION 7600 INTER.</t>
  </si>
  <si>
    <t>LF14000NN</t>
  </si>
  <si>
    <t>FILTRO ACEITE MOTOR CUMMINS ISX, ISM, KW, FRL-M2, INT-EAGLE</t>
  </si>
  <si>
    <t>EJE DE LEVAS DE VALVULAS MODERNO-CUÑERO ANCHO-(DELGADO)</t>
  </si>
  <si>
    <t>KIT BUJE DE LEVAS ISX INYEC GRUES3680581</t>
  </si>
  <si>
    <t>KISX6429511</t>
  </si>
  <si>
    <t>OVERHAUL MAS COMPLETO PIST APR150MM DOBL CAQ BIE</t>
  </si>
  <si>
    <t>KENWORTH DE LA MONTAÑA SAS</t>
  </si>
  <si>
    <t>Etiquetas de fila</t>
  </si>
  <si>
    <t>Total general</t>
  </si>
  <si>
    <t>Suma de CANT PDTE X 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</si>
</sst>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165" fontId="0" fillId="0" borderId="0" xfId="1" applyNumberFormat="1" applyFont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3" xfId="0" applyBorder="1"/>
    <xf numFmtId="0" fontId="2" fillId="0" borderId="1" xfId="0" applyFont="1" applyBorder="1"/>
    <xf numFmtId="0" fontId="0" fillId="0" borderId="3" xfId="0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/>
    <xf numFmtId="0" fontId="0" fillId="0" borderId="4" xfId="0" applyBorder="1" applyAlignment="1">
      <alignment horizontal="left" vertical="center"/>
    </xf>
    <xf numFmtId="14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4" xfId="0" applyFont="1" applyBorder="1"/>
    <xf numFmtId="165" fontId="0" fillId="0" borderId="3" xfId="1" applyNumberFormat="1" applyFont="1" applyBorder="1"/>
    <xf numFmtId="0" fontId="2" fillId="3" borderId="5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3" borderId="6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1">
    <cellStyle name="Millares" xfId="1" builtinId="3"/>
    <cellStyle name="Moneda [0] 2" xfId="18" xr:uid="{00000000-0005-0000-0000-000001000000}"/>
    <cellStyle name="Normal" xfId="0" builtinId="0"/>
    <cellStyle name="Normal 10" xfId="2" xr:uid="{00000000-0005-0000-0000-000003000000}"/>
    <cellStyle name="Normal 11" xfId="3" xr:uid="{00000000-0005-0000-0000-000004000000}"/>
    <cellStyle name="Normal 12" xfId="19" xr:uid="{00000000-0005-0000-0000-000005000000}"/>
    <cellStyle name="Normal 13" xfId="20" xr:uid="{00000000-0005-0000-0000-000006000000}"/>
    <cellStyle name="Normal 15" xfId="21" xr:uid="{00000000-0005-0000-0000-000007000000}"/>
    <cellStyle name="Normal 16" xfId="22" xr:uid="{00000000-0005-0000-0000-000008000000}"/>
    <cellStyle name="Normal 17" xfId="23" xr:uid="{00000000-0005-0000-0000-000009000000}"/>
    <cellStyle name="Normal 18" xfId="24" xr:uid="{00000000-0005-0000-0000-00000A000000}"/>
    <cellStyle name="Normal 19" xfId="25" xr:uid="{00000000-0005-0000-0000-00000B000000}"/>
    <cellStyle name="Normal 2" xfId="4" xr:uid="{00000000-0005-0000-0000-00000C000000}"/>
    <cellStyle name="Normal 2 2" xfId="11" xr:uid="{00000000-0005-0000-0000-00000D000000}"/>
    <cellStyle name="Normal 20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5" xr:uid="{00000000-0005-0000-0000-000016000000}"/>
    <cellStyle name="Normal 30" xfId="34" xr:uid="{00000000-0005-0000-0000-000017000000}"/>
    <cellStyle name="Normal 31" xfId="35" xr:uid="{C426D85B-2DFD-43EB-9C45-3C2039898C9A}"/>
    <cellStyle name="Normal 32" xfId="36" xr:uid="{D8E98FDC-9702-431B-A1A5-E14507C57853}"/>
    <cellStyle name="Normal 33" xfId="37" xr:uid="{0353BBA5-2C11-4408-89DB-B299CC851A6E}"/>
    <cellStyle name="Normal 34" xfId="38" xr:uid="{F8446BAB-7585-460C-B857-2EA0772B0378}"/>
    <cellStyle name="Normal 35" xfId="39" xr:uid="{052E3438-0317-4674-84A3-757F7452C463}"/>
    <cellStyle name="Normal 36" xfId="40" xr:uid="{70F92744-750E-4BCF-A0DE-3F747F79CD7C}"/>
    <cellStyle name="Normal 4" xfId="6" xr:uid="{00000000-0005-0000-0000-000018000000}"/>
    <cellStyle name="Normal 4 2" xfId="12" xr:uid="{00000000-0005-0000-0000-000019000000}"/>
    <cellStyle name="Normal 5" xfId="7" xr:uid="{00000000-0005-0000-0000-00001A000000}"/>
    <cellStyle name="Normal 5 2" xfId="13" xr:uid="{00000000-0005-0000-0000-00001B000000}"/>
    <cellStyle name="Normal 6" xfId="8" xr:uid="{00000000-0005-0000-0000-00001C000000}"/>
    <cellStyle name="Normal 6 2" xfId="14" xr:uid="{00000000-0005-0000-0000-00001D000000}"/>
    <cellStyle name="Normal 7" xfId="9" xr:uid="{00000000-0005-0000-0000-00001E000000}"/>
    <cellStyle name="Normal 7 2" xfId="15" xr:uid="{00000000-0005-0000-0000-00001F000000}"/>
    <cellStyle name="Normal 8" xfId="10" xr:uid="{00000000-0005-0000-0000-000020000000}"/>
    <cellStyle name="Normal 8 2" xfId="16" xr:uid="{00000000-0005-0000-0000-000021000000}"/>
    <cellStyle name="Normal 9" xfId="17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37.560604745369" createdVersion="8" refreshedVersion="8" minRefreshableVersion="3" recordCount="239" xr:uid="{170CE28B-2CEF-423C-922F-DA8588383276}">
  <cacheSource type="worksheet">
    <worksheetSource ref="A2:L241" sheet="RM 2019-2026 "/>
  </cacheSource>
  <cacheFields count="12">
    <cacheField name="AÑO" numFmtId="0">
      <sharedItems containsSemiMixedTypes="0" containsString="0" containsNumber="1" containsInteger="1" minValue="2021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13320" maxValue="21452"/>
    </cacheField>
    <cacheField name="REFERENCIA FERTRAC" numFmtId="0">
      <sharedItems containsMixedTypes="1" containsNumber="1" containsInteger="1" minValue="1144" maxValue="20005483" count="170">
        <s v="PAI 4159"/>
        <n v="10124501"/>
        <s v="K3341"/>
        <s v="14335K"/>
        <s v="3005571/K2918"/>
        <s v="9912/H64075-002"/>
        <s v="4303705/T51433"/>
        <s v="277/36ML"/>
        <n v="4303428"/>
        <s v="4303429/5905"/>
        <n v="3803977"/>
        <s v="104100-2"/>
        <s v="2258L1234"/>
        <s v="RFLE3100G-3"/>
        <s v="DS-9012/L24VU8432B"/>
        <s v="VAD0101 211"/>
        <s v="79A5168"/>
        <s v="459-5443 CLE"/>
        <s v="LF3349"/>
        <s v="NAT2505475C1 NP"/>
        <s v="VAL833382"/>
        <s v="FS36259"/>
        <s v="R200074/580.012MANS"/>
        <n v="9908505"/>
        <s v="9908399/1033-09339-04"/>
        <s v="7001P"/>
        <s v="83025/66162GAB"/>
        <s v="2507757C1/3409/406900"/>
        <n v="691934"/>
        <s v="JM0130910/J&amp;RM-2387/6C/RET MAH"/>
        <s v="10PK1665"/>
        <s v="30334/MHS4MANS"/>
        <s v="B30437/30240-5"/>
        <s v="A5160"/>
        <s v="K3454/7349"/>
        <s v="K3955"/>
        <s v="5556503/3MM"/>
        <s v="4302074/21343"/>
        <s v="K2054"/>
        <n v="21350"/>
        <s v="K3492B"/>
        <n v="21360"/>
        <s v="A5156/21351"/>
        <s v="21319B"/>
        <s v="20323B"/>
        <s v="A83235W1843"/>
        <s v="3278S305/D1382"/>
        <s v="2233J1024/092061"/>
        <s v="KIT4400MER"/>
        <s v="A41458-1"/>
        <s v="1229V4624/9764"/>
        <s v="1229R1032"/>
        <s v="2234U1269/G1437"/>
        <s v="TRATM-100/8844"/>
        <s v="210121-1X"/>
        <n v="3680324"/>
        <n v="1144"/>
        <s v="A5000B"/>
        <s v="R801073/R803110"/>
        <n v="20005483"/>
        <s v="FF5369W"/>
        <s v="A53235E2111"/>
        <s v="PAI 4119"/>
        <s v="K3399"/>
        <s v="35-RPL25X"/>
        <s v="89440/2647"/>
        <n v="4393176"/>
        <n v="15918"/>
        <n v="4305294"/>
        <s v="6PK1625"/>
        <s v="A53235G2113"/>
        <n v="4300912"/>
        <n v="4301842"/>
        <s v="4300907B"/>
        <n v="4303424"/>
        <s v="4304508/3666B"/>
        <s v="21025/4300241"/>
        <n v="4303124"/>
        <s v="K4454"/>
        <s v="4300938B"/>
        <s v="4304510B"/>
        <s v="4304060B"/>
        <s v="89422/2564"/>
        <s v="SPL170/801036MER"/>
        <s v="SPL250/801037MER"/>
        <s v="4305978/4307247"/>
        <s v="8593/8597"/>
        <s v="108925-82AM"/>
        <s v="A11205Z2730"/>
        <s v="4735-44510-06"/>
        <s v="4089980/5693747"/>
        <s v="4376430/4309389"/>
        <n v="3803478"/>
        <n v="5406110"/>
        <s v="1S-DP/Q995568"/>
        <s v="6303-2RSC3/BB1-0633EA"/>
        <s v="6203-2RS1C3SKF/BB1-4829A"/>
        <n v="128049"/>
        <s v="K2003/3005579"/>
        <s v="VAD25 03 50"/>
        <s v="1229R3008/9872/2877"/>
        <s v="K3340"/>
        <s v="B43200S1865614"/>
        <s v="VAD0125 001"/>
        <n v="7059"/>
        <n v="328349"/>
        <n v="4301535"/>
        <s v="K4134/3005643"/>
        <s v="SET57TMK"/>
        <n v="4304549"/>
        <s v="CA/32/X/WI557"/>
        <s v="MS2297-STD CLE/3800298"/>
        <n v="4921475"/>
        <s v="12PK2140"/>
        <s v="12PK2310"/>
        <n v="9908404"/>
        <n v="9908407"/>
        <s v="2000/MPU560.170MANS"/>
        <s v="DRK18ETMK"/>
        <n v="210724"/>
        <n v="27274"/>
        <n v="86781"/>
        <s v="DRK208TMK"/>
        <n v="210736"/>
        <n v="4303796"/>
        <s v="16118B/4306648"/>
        <n v="4300204"/>
        <s v="1033-40600-02"/>
        <s v="5-281XDANA"/>
        <n v="691445"/>
        <n v="18025"/>
        <s v="107342-22"/>
        <n v="4303603"/>
        <s v="4304317B"/>
        <n v="16463"/>
        <n v="4302398"/>
        <s v="K4149/K3938"/>
        <n v="4303825"/>
        <s v="K3941"/>
        <s v="K4252"/>
        <s v="K3220/3002466"/>
        <n v="23559"/>
        <n v="4303185"/>
        <s v="A7471"/>
        <n v="4304602"/>
        <s v="4302712/8398"/>
        <s v="A1205E1955SNP"/>
        <n v="5586664"/>
        <s v="A6848"/>
        <s v="KIT4426MER"/>
        <s v="K2924/K3132"/>
        <n v="4301795"/>
        <s v="K3367"/>
        <s v="K4315/K3933"/>
        <s v="4306584/4308226/5668"/>
        <s v="K3438"/>
        <s v="K2170/A5454"/>
        <s v="4302435B"/>
        <s v="5003323/10094142"/>
        <s v="K3676/A7594"/>
        <s v="K3682"/>
        <s v="4707/X/WI700"/>
        <s v="4709/X/WI700"/>
        <s v="LF14000NN"/>
        <n v="4298627"/>
        <n v="4309097"/>
        <s v="KISX6429511"/>
        <s v="1090-09650-01"/>
        <s v="SETHM804846/10TMK"/>
        <s v="SET3994/JM511910TMK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30"/>
    </cacheField>
    <cacheField name="VALOR PDTE X FACT" numFmtId="165">
      <sharedItems containsSemiMixedTypes="0" containsString="0" containsNumber="1" minValue="0.95" maxValue="5100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37.561347337964" createdVersion="8" refreshedVersion="8" minRefreshableVersion="3" recordCount="1628" xr:uid="{FC513A83-0F24-42A6-BD5B-AEF570B1E3D4}">
  <cacheSource type="worksheet">
    <worksheetSource ref="A2:L1630" sheet="RMC 2019-2026"/>
  </cacheSource>
  <cacheFields count="12">
    <cacheField name="AÑO" numFmtId="0">
      <sharedItems containsSemiMixedTypes="0" containsString="0" containsNumber="1" containsInteger="1" minValue="2019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2359" maxValue="6440"/>
    </cacheField>
    <cacheField name="REFERENCIA FERTRAC" numFmtId="0">
      <sharedItems containsMixedTypes="1" containsNumber="1" containsInteger="1" minValue="57" maxValue="7400850005" count="539">
        <s v="2035007C2"/>
        <s v="R801074/TIPO 3"/>
        <s v="R802487"/>
        <n v="4303124"/>
        <s v="20459B/5661"/>
        <s v="FLXK342-734"/>
        <s v="795011-2"/>
        <n v="7059"/>
        <s v="T121804KXTREJ"/>
        <s v="5-280XDANA"/>
        <s v="R802486"/>
        <s v="2210V7536"/>
        <s v="1250E473"/>
        <s v="5-676XDANA"/>
        <s v="MFC519TREJ"/>
        <s v="1212/212ZNBR"/>
        <s v="6.5-70-18X"/>
        <n v="7108"/>
        <s v="R806024A"/>
        <s v="R607232"/>
        <s v="PAI466-103-001"/>
        <n v="14711"/>
        <s v="125327/125892"/>
        <s v="PAI466-112-001"/>
        <n v="994370"/>
        <s v="R607105"/>
        <s v="66690-000H"/>
        <s v="2210W7537"/>
        <s v="89489/APV3137"/>
        <s v="5566508 REFOR"/>
        <s v="5-170XTREJ"/>
        <s v="4304599LINK"/>
        <n v="3316198"/>
        <s v="40X1145"/>
        <s v="4302074/21343"/>
        <s v="4304599/6027FULLER"/>
        <s v="NAT2505475C1 NP"/>
        <s v="R607231"/>
        <n v="3315703"/>
        <s v="PAI360-104-501"/>
        <s v="PAI466-101-001"/>
        <s v="PAI466-111-001"/>
        <n v="231502"/>
        <n v="195"/>
        <s v="6-4-7141-1"/>
        <s v="A11205A2731"/>
        <s v="R201315"/>
        <s v="PAI466-105-001"/>
        <s v="47905 000"/>
        <s v="K3399"/>
        <n v="21352"/>
        <s v="K2170/A5454"/>
        <s v="34013 087L"/>
        <n v="186"/>
        <s v="A39890-5"/>
        <s v="6-4-7771-1X"/>
        <s v="2042478C2"/>
        <s v="X007784"/>
        <n v="211"/>
        <s v="31017 096L/57457K"/>
        <s v="2035006C2"/>
        <s v="6209 NTN"/>
        <s v="K1935"/>
        <s v="250-82-21X"/>
        <s v="1090-09650-01"/>
        <s v="5-675XDANA"/>
        <s v="44695 000L"/>
        <n v="3315737"/>
        <s v="1675751C1"/>
        <s v="A11205Y2729"/>
        <s v="S6914/R306121"/>
        <s v="S24691/R3010729A"/>
        <s v="R824007"/>
        <n v="147"/>
        <s v="30437 000L"/>
        <s v="MK0130860 MAH"/>
        <s v="SK1600"/>
        <s v="3202Z9126"/>
        <s v="3202Y9125"/>
        <s v="1033-40600-02"/>
        <s v="VS-X1193"/>
        <s v="H67234002/8109"/>
        <n v="4301851"/>
        <s v="R802447/R802689"/>
        <n v="4302704"/>
        <s v="NAT234695-01"/>
        <s v="4474723STM"/>
        <s v="108925-82AM"/>
        <s v="363-4249/1613SKF"/>
        <s v="50970 003"/>
        <s v="SPL170/801036MER"/>
        <s v="SPL250/801037MER"/>
        <s v="TRATAS85000/8103"/>
        <n v="16980"/>
        <s v="WAB4324102442"/>
        <s v="KIT2638"/>
        <n v="216"/>
        <n v="128"/>
        <s v="3501427C1MON/66138"/>
        <s v="2210N7632"/>
        <s v="HJ122012KFB"/>
        <n v="119855"/>
        <n v="83726"/>
        <s v="SET302TMK"/>
        <s v="ASH-48X74"/>
        <n v="993308"/>
        <n v="108145"/>
        <s v="6207 NTN"/>
        <s v="NAT230914-G"/>
        <n v="4301795"/>
        <s v="503579C1/80579"/>
        <s v="20550B"/>
        <n v="43271"/>
        <s v="230836-01"/>
        <s v="1S-DP/Q995568"/>
        <s v="16118B/4306648"/>
        <s v="3005571/K2918"/>
        <n v="146"/>
        <s v="S20924"/>
        <n v="4303424"/>
        <s v="1229Q2929"/>
        <s v="2506712C91"/>
        <s v="WAB02-13133-000/15030"/>
        <n v="513878"/>
        <s v="3551298C92"/>
        <s v="328347CM"/>
        <s v="ASH-46X63"/>
        <s v="SET82/LM104949/JLM10"/>
        <s v="K3288"/>
        <s v="00102MT"/>
        <s v="1673785C92/2001470/360002"/>
        <n v="4089478"/>
        <n v="4089998"/>
        <s v="MK0210710 STD MAH"/>
        <s v="459-5511 CLE"/>
        <s v="5566507 FULLER"/>
        <n v="4090008"/>
        <s v="KISM4955239"/>
        <s v="X007785/ECL1942"/>
        <s v="HJ122012BOW"/>
        <s v="KIT2637"/>
        <s v="1229R2592/N5422"/>
        <s v="1229Q2591"/>
        <s v="RFLE3100G-3"/>
        <s v="SETJLM714149/714110MER/802616"/>
        <s v="10PK1370"/>
        <s v="2B12-309/7400GY"/>
        <s v="14-20958-000"/>
        <n v="7400850005"/>
        <s v="4305575B/20450"/>
        <s v="S-23514"/>
        <s v="S-29914"/>
        <s v="S-23037"/>
        <s v="4735-41393-05"/>
        <s v="S28890/R615025"/>
        <n v="15918"/>
        <s v="89440/2647"/>
        <s v="6203 NTN"/>
        <s v="3578833/481870PAI"/>
        <n v="5566510"/>
        <s v="S21099"/>
        <s v="S20925"/>
        <s v="K2061"/>
        <s v="R210088"/>
        <n v="328349"/>
        <s v="TRATM-100/8844"/>
        <s v="21264B"/>
        <s v="R005960"/>
        <s v="R801041/R803195 TP 3"/>
        <s v="KIT8033"/>
        <n v="7400750005"/>
        <s v="PAI6CS-103-026"/>
        <s v="ZF4.300.421"/>
        <s v="4302394B/95"/>
        <n v="109"/>
        <s v="S-23794"/>
        <s v="PAI466-104-001"/>
        <s v="PAI530-104-001"/>
        <s v="PAI530-105-001"/>
        <s v="56805 000"/>
        <s v="489-5004 CLE"/>
        <s v="489-5019 CLE"/>
        <s v="489-5030 CLE"/>
        <s v="489-5029 CLE"/>
        <s v="489-5040 CLE"/>
        <s v="MK0210950 MAH"/>
        <s v="MK0130940 MAH"/>
        <s v="6303 NTN"/>
        <s v="85070/65159MER"/>
        <s v="107683-5 MOX"/>
        <n v="4302082"/>
        <s v="4302712/8398"/>
        <s v="2S-DP/Q995582/Q995617"/>
        <n v="127760"/>
        <n v="4301254"/>
        <s v="PM22X4-1/2"/>
        <s v="PM22X4''"/>
        <s v="PM22X4-7/8"/>
        <s v="6902/20T3"/>
        <s v="107237-10 MOX"/>
        <n v="127740"/>
        <s v="MK0130930 MAH"/>
        <s v="HF6710"/>
        <s v="SET406TMK"/>
        <s v="SPL170-4X"/>
        <s v="3892T4934/S5947/58400"/>
        <s v="A13297X1194/S1605"/>
        <s v="A3303P1030"/>
        <s v="R802446/R802688"/>
        <s v="2B12-434/7472GY"/>
        <s v="2234H1438/C1069"/>
        <s v="65523/85937MON"/>
        <n v="85003"/>
        <s v="A11205X2728"/>
        <s v="489-5020 CLE"/>
        <n v="18025"/>
        <s v="K3492B"/>
        <s v="4304514B/4304316"/>
        <n v="7116"/>
        <s v="R824003"/>
        <s v="2035006C2/450549PAI"/>
        <n v="22940"/>
        <s v="363-4024PLAST/1612"/>
        <s v="A6136/A8951"/>
        <s v="170-70-18X"/>
        <n v="994346"/>
        <s v="4159NAL"/>
        <s v="4159NAL24&quot;"/>
        <s v="250-4-101-1X"/>
        <s v="1809935C4-MCBEE"/>
        <s v="1830606C94/23713TYJ"/>
        <s v="450-4837"/>
        <s v="334N"/>
        <s v="50973 009"/>
        <s v="FF5488"/>
        <n v="4303336"/>
        <s v="PAI 4119"/>
        <s v="X007785/ECL1942/SC"/>
        <s v="4735-44510-06"/>
        <s v="30550 008"/>
        <s v="WAB9111549292"/>
        <s v="89422/2564"/>
        <n v="23519651"/>
        <s v="K3341"/>
        <s v="R806013A"/>
        <s v="4301840B"/>
        <s v="R615019"/>
        <s v="K2054"/>
        <s v="128462/128947"/>
        <s v="250-4-351-1X"/>
        <s v="4304060B"/>
        <s v="1212-ZNBR/SKF"/>
        <s v="R230139/40"/>
        <s v="66131/83062MON"/>
        <s v="4300938B"/>
        <s v="WAB9111539212"/>
        <s v="2032055C1/AX12-3250"/>
        <s v="2214G1125/3819"/>
        <s v="2214J1128"/>
        <s v="250-70-18X"/>
        <s v="K303-28/9622B"/>
        <s v="FI 1T15M- FUELLE"/>
        <s v="K3454/7349"/>
        <n v="4026684"/>
        <s v="996813252-001"/>
        <s v="FLX5515-250CM"/>
        <s v="BX5002742"/>
        <s v="6203-2RS1C3SKF/BB1-4829A"/>
        <n v="4955383"/>
        <s v="1229L3002/9805"/>
        <s v="GE25ES2RS-SKF"/>
        <s v="30057 008L"/>
        <n v="30334"/>
        <s v="B30437/30240-5"/>
        <s v="KIT8318SS"/>
        <s v="WAB4329012231"/>
        <n v="194"/>
        <n v="123"/>
        <n v="212"/>
        <s v="X71007"/>
        <s v="993284/ N.C / N.O"/>
        <s v="R627012"/>
        <s v="WG9925528010/SP554984K"/>
        <n v="9373"/>
        <s v="S1659B/23566"/>
        <s v="21025/4300241"/>
        <s v="4304508/3666B"/>
        <s v="5-510XDANA"/>
        <s v="5556503/3MM"/>
        <s v="1229K3001"/>
        <s v="R627034"/>
        <s v="6PK1740"/>
        <s v="7897GY/2B10-226"/>
        <s v="3010303/86949"/>
        <s v="56946-000"/>
        <s v="PAI8805"/>
        <s v="2507757C1/3409/406900"/>
        <n v="131973"/>
        <s v="R607325"/>
        <s v="4304510B"/>
        <s v="K4122/4306520"/>
        <s v="K3331/A6863"/>
        <s v="4304317B"/>
        <s v="57977-000/KD2205"/>
        <s v="4301843/6894"/>
        <n v="4952631"/>
        <s v="4303422/69"/>
        <n v="4300912"/>
        <n v="4304023"/>
        <s v="2203K9839"/>
        <s v="105C 137/6113PAI"/>
        <s v="89421/2563"/>
        <s v="5-515XDANA"/>
        <s v="SET82MER/802615"/>
        <n v="8017"/>
        <s v="4303420B"/>
        <n v="4300382"/>
        <n v="4303603"/>
        <n v="4304615"/>
        <s v="4300907B"/>
        <n v="4302321"/>
        <n v="14750"/>
        <s v="5X1343"/>
        <s v="40X1233"/>
        <n v="17313"/>
        <s v="514014NEWS"/>
        <s v="514238NEWS"/>
        <s v="VS227"/>
        <s v="SPL250X-3X/DANA"/>
        <s v="1664730C7"/>
        <s v="9158/0734"/>
        <s v="47691 000L"/>
        <s v="448-4837"/>
        <n v="185"/>
        <s v="5003323/10094142"/>
        <s v="12815/VP20"/>
        <s v="KIT4426MER"/>
        <n v="4026884"/>
        <s v="BRA11205A2731"/>
        <s v="A5000B"/>
        <s v="90008149/48"/>
        <s v="AF26268"/>
        <n v="4089431"/>
        <n v="23559"/>
        <s v="K3220/3002466"/>
        <s v="AF25139M"/>
        <s v="SET403SKF"/>
        <s v="370003/47697PROSKF"/>
        <s v="WF2127"/>
        <n v="3683695"/>
        <n v="4301842"/>
        <s v="SPL170X-1X/DANA"/>
        <s v="417541/50148SKF"/>
        <n v="5005037"/>
        <s v="250-28-17"/>
        <s v="85323/65416MER"/>
        <s v="SET403TMK"/>
        <s v="R201309"/>
        <s v="SET401SKF"/>
        <s v="4302320/21346"/>
        <n v="4300902"/>
        <n v="126155"/>
        <n v="85994"/>
        <n v="51228"/>
        <n v="127095"/>
        <n v="58"/>
        <s v="1R13-235/C25872"/>
        <s v="5-170-X/338DANA"/>
        <n v="21236"/>
        <n v="994349"/>
        <s v="122002-35A"/>
        <s v="4306584/4308226/5668"/>
        <s v="16627/290"/>
        <n v="4088327"/>
        <n v="2892986"/>
        <s v="5X1034"/>
        <s v="18-59922-000"/>
        <s v="SET414MER/802763"/>
        <n v="4302398"/>
        <s v="KIT2902"/>
        <s v="4305978/4307247"/>
        <s v="85737/65525GAB"/>
        <n v="4308012"/>
        <s v="380001A/35058PROSKF"/>
        <s v="102802N"/>
        <s v="KIT8081"/>
        <s v="MKT4709ES2N"/>
        <s v="BX5004052"/>
        <s v="10PK1665"/>
        <s v="A7012"/>
        <s v="5-281X/801014MER"/>
        <s v="K3340"/>
        <s v="SAP1024L"/>
        <s v="SAP-3030LS"/>
        <s v="WAB9111539422"/>
        <s v="1S6-641/2591909C1/0061"/>
        <s v="14335K"/>
        <s v="R607326"/>
        <s v="363-4009/1613"/>
        <s v="2252-1D"/>
        <s v="C81-1005B"/>
        <s v="K3376/3005666"/>
        <n v="210737"/>
        <n v="210736"/>
        <n v="56929000"/>
        <s v="66628/83136MON"/>
        <s v="A6154/A8954"/>
        <s v="58425 001"/>
        <s v="3536822C1"/>
        <s v="301010820N"/>
        <n v="995550"/>
        <n v="8774"/>
        <s v="85924/65147MER"/>
        <s v="57988 000"/>
        <s v="S6914/10.064MANS"/>
        <s v="5-675XMER/801006"/>
        <n v="57"/>
        <s v="K2262"/>
        <s v="GTD2113-1"/>
        <s v="1R13-038/9122GY"/>
        <s v="10PK1665GATES/K100655"/>
        <s v="89448GATES/38610"/>
        <s v="VAD0125 002"/>
        <s v="6PK1740GATES/K060685"/>
        <n v="328345"/>
        <s v="SET84TMK"/>
        <s v="SET413TMK"/>
        <s v="SET401TMK"/>
        <s v="43146000L"/>
        <n v="110890"/>
        <s v="363-4024/1612SKF"/>
        <s v="A3235E2111"/>
        <s v="K4143"/>
        <s v="SAP-BE23703"/>
        <s v="SAP1020L"/>
        <s v="A23105G1151"/>
        <n v="55509"/>
        <s v="A6918"/>
        <n v="128049"/>
        <n v="78931"/>
        <s v="SET304TMK"/>
        <s v="4303422B"/>
        <s v="SET665/653TMK"/>
        <s v="SET281TMK"/>
        <n v="86781"/>
        <n v="27274"/>
        <s v="MU1309UM FIJO"/>
        <s v="SET1178TMK"/>
        <s v="8050/8058/954099"/>
        <s v="0066/25CM"/>
        <s v="K3367"/>
        <n v="121302"/>
        <n v="79034"/>
        <n v="126180"/>
        <n v="4024808"/>
        <s v="SET415SKF/518445/410"/>
        <s v="BRA11205X2728"/>
        <s v="131008K"/>
        <s v="K022105"/>
        <s v="9541 FI"/>
        <n v="4305294"/>
        <s v="MKT4515QHD-N"/>
        <s v="280915N"/>
        <s v="4965569/6609787"/>
        <s v="309701-82"/>
        <s v="KIT4423MER"/>
        <s v="A13235A2393NP"/>
        <s v="SET406SKF"/>
        <s v="WAB9730110032"/>
        <s v="85909/65431MER"/>
        <n v="4921473"/>
        <s v="06-23464-000"/>
        <s v="WAB3868300C92/850904"/>
        <s v="6305-2RS1SKF"/>
        <s v="7215/07"/>
        <s v="SET414TMK"/>
        <s v="63062RS KOYO"/>
        <s v="SET415TMK"/>
        <n v="210724"/>
        <s v="6.5-4-2711-1XR MER"/>
        <s v="R801073/R803110"/>
        <n v="4304602"/>
        <s v="650-0539"/>
        <s v="WAB3866377C91/15110"/>
        <s v="50222 000/93315 000"/>
        <n v="84006"/>
        <n v="16763"/>
        <n v="14317"/>
        <s v="SET359TMK"/>
        <n v="56360"/>
        <s v="ES2090R&amp;L-R230072/73"/>
        <s v="9122/4101"/>
        <s v="64633-000L"/>
        <s v="64632-000L"/>
        <s v="1229S4985"/>
        <s v="KIT8042"/>
        <s v="Q21-1002/ETS004"/>
        <s v="2B9-229/6897GY"/>
        <s v="KIT2426"/>
        <s v="WAB3866376C91/15120"/>
        <n v="4393176"/>
        <s v="BRA11205Y2729"/>
        <s v="60826-000"/>
        <s v="A4740B/396431"/>
        <s v="363-4019/1630SKF"/>
        <s v="370065A/42627PROSKF"/>
        <s v="3561905C2"/>
        <n v="4303030"/>
        <n v="55525"/>
        <s v="K1922"/>
        <s v="R824000"/>
        <s v="00105MT"/>
        <s v="2234864GATES/T38715"/>
        <s v="89124GATES/36742"/>
        <s v="12PK2180GATES/K120858"/>
        <s v="12PK2165GATES/K120852"/>
        <s v="12PK2140GATES/K120842"/>
        <s v="89947GATES/38667"/>
        <s v="12PK2170GATES/K120855HD"/>
        <s v="6PK1625GATES/K060640"/>
        <s v="89421GATES/38535"/>
        <s v="89419GATES/38501"/>
        <s v="89406_89481GATES/38516"/>
        <s v="6PK1620GATES/K060637"/>
        <s v="6PK1310GATES/K060516"/>
        <s v="89455GATES/38567"/>
        <s v="89447GATES/38622"/>
        <n v="23518355"/>
        <s v="XB10605"/>
        <s v="4735-41392-01"/>
        <n v="994305"/>
        <s v="SET33275/33472TMK"/>
        <s v="4494973 STM"/>
        <n v="118"/>
        <n v="70745"/>
        <s v="MUB1308UM/126187BOW"/>
        <s v="KITP229-7"/>
        <s v="230576-01"/>
        <s v="MPR1PLAS CLE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297"/>
    </cacheField>
    <cacheField name="VALOR PDTE X FACT" numFmtId="165">
      <sharedItems containsSemiMixedTypes="0" containsString="0" containsNumber="1" minValue="100" maxValue="1476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2021"/>
    <s v="15/07/2021"/>
    <s v="RM"/>
    <n v="13382"/>
    <x v="0"/>
    <s v="MANGUERA ENGRASE 15&quot; BALINERA"/>
    <n v="1"/>
    <n v="33000"/>
    <s v="CHANINC INVERSIONES S.A.S"/>
    <s v="LUIS FERNANDO CANGREJO BAQUERO"/>
    <n v="7"/>
    <s v="JULIO"/>
  </r>
  <r>
    <n v="2021"/>
    <s v="02/07/2021"/>
    <s v="RM"/>
    <n v="13320"/>
    <x v="1"/>
    <s v="CORONA Y SPEED HINO SERIE 500 10 X39"/>
    <n v="1"/>
    <n v="1000000.17"/>
    <s v="TRANSMIFORD Y CIA LTDA."/>
    <s v="LUIS FERNANDO CANGREJO BAQUERO"/>
    <n v="7"/>
    <s v="JULIO"/>
  </r>
  <r>
    <n v="2023"/>
    <s v="19/12/2023"/>
    <s v="RM"/>
    <n v="17828"/>
    <x v="2"/>
    <s v="KIT EMPAQUES MONO 14918/16"/>
    <n v="1"/>
    <n v="64000"/>
    <s v="SERVICIOS Y TRANSPORTES LTDA"/>
    <s v="MARYLUZ DUQUE GARCIA"/>
    <n v="12"/>
    <s v="DICIEMBRE"/>
  </r>
  <r>
    <n v="2023"/>
    <s v="19/12/2023"/>
    <s v="RM"/>
    <n v="17825"/>
    <x v="3"/>
    <s v="KIT EMPAQUES MONO CHIP"/>
    <n v="1"/>
    <n v="52000"/>
    <s v="SERVICIOS Y TRANSPORTES LTDA"/>
    <s v="MARYLUZ DUQUE GARCIA"/>
    <n v="12"/>
    <s v="DICIEMBRE"/>
  </r>
  <r>
    <n v="2023"/>
    <s v="19/12/2023"/>
    <s v="RM"/>
    <n v="17825"/>
    <x v="4"/>
    <s v="KIT RETEN MONO 14715/915/918 11210 (BRA)"/>
    <n v="1"/>
    <n v="125000"/>
    <s v="SERVICIOS Y TRANSPORTES LTDA"/>
    <s v="MARYLUZ DUQUE GARCIA"/>
    <n v="12"/>
    <s v="DICIEMBRE"/>
  </r>
  <r>
    <n v="2023"/>
    <s v="31/05/2023"/>
    <s v="RM"/>
    <n v="16867"/>
    <x v="5"/>
    <s v="BOLSA DEL. BLUE BIRD"/>
    <n v="1"/>
    <n v="340000"/>
    <s v="COMERCIALIZADORA DE AUTOPARTES BIPS SAS"/>
    <s v="JONATHAN PAEZ PEDRAZA"/>
    <n v="5"/>
    <s v="MAYO"/>
  </r>
  <r>
    <n v="2023"/>
    <s v="19/12/2023"/>
    <s v="RM"/>
    <n v="17824"/>
    <x v="6"/>
    <s v="EJE MONO 14/16918"/>
    <n v="1"/>
    <n v="400000"/>
    <s v="SERVICIOS Y TRANSPORTES LTDA"/>
    <s v="MARYLUZ DUQUE GARCIA"/>
    <n v="12"/>
    <s v="DICIEMBRE"/>
  </r>
  <r>
    <n v="2024"/>
    <s v="24/04/2024"/>
    <s v="RM"/>
    <n v="18413"/>
    <x v="7"/>
    <s v="LOCTITE TRABA ROSCAS 36ML"/>
    <n v="1"/>
    <n v="128081"/>
    <s v="FERTRAC SAS"/>
    <s v="CRISTIAN DAVID ZAMBRANO GALEANO"/>
    <n v="4"/>
    <s v="ABRIL"/>
  </r>
  <r>
    <n v="2024"/>
    <s v="29/11/2024"/>
    <s v="RM"/>
    <n v="19326"/>
    <x v="8"/>
    <s v="PIÑÓN 2DA CDIZO  14/16915"/>
    <n v="1"/>
    <n v="375000"/>
    <s v="FERTRAC SAS"/>
    <s v="MARYLUZ DUQUE GARCIA"/>
    <n v="11"/>
    <s v="NOVIEMBRE"/>
  </r>
  <r>
    <n v="2024"/>
    <s v="29/11/2024"/>
    <s v="RM"/>
    <n v="19326"/>
    <x v="9"/>
    <s v="PIÑÓN 1RA CDIZO 14/16915"/>
    <n v="1"/>
    <n v="500000"/>
    <s v="FERTRAC SAS"/>
    <s v="MARYLUZ DUQUE GARCIA"/>
    <n v="11"/>
    <s v="NOVIEMBRE"/>
  </r>
  <r>
    <n v="2024"/>
    <s v="30/09/2024"/>
    <s v="RM"/>
    <n v="19040"/>
    <x v="10"/>
    <s v="ANILLOS CUMMINS SOLO ISM"/>
    <n v="2"/>
    <n v="334000"/>
    <s v="FERTRAC SAS"/>
    <s v="LUIS FERNANDO CANGREJO BAQUERO"/>
    <n v="9"/>
    <s v="SEPTIEMBRE"/>
  </r>
  <r>
    <n v="2024"/>
    <s v="19/04/2024"/>
    <s v="RM"/>
    <n v="18393"/>
    <x v="11"/>
    <s v="KIT EMBRAGUE TIPO DIAFRAGMA DIS SENCILLO"/>
    <n v="1"/>
    <n v="2200000"/>
    <s v="SISTEMA ALIMENTADOR ORIENTAL S.A.S."/>
    <s v="JONATHAN PAEZ PEDRAZA"/>
    <n v="4"/>
    <s v="ABRIL"/>
  </r>
  <r>
    <n v="2024"/>
    <s v="18/06/2024"/>
    <s v="RM"/>
    <n v="18619"/>
    <x v="12"/>
    <s v="RESORTE GRIS FRENO DELANTERO PAYSTAR"/>
    <n v="1"/>
    <n v="15000"/>
    <s v="SISTEMA ALIMENTADOR ORIENTAL S.A.S."/>
    <s v="JONATHAN PAEZ PEDRAZA"/>
    <n v="6"/>
    <s v="JUNIO"/>
  </r>
  <r>
    <n v="2024"/>
    <s v="31/10/2024"/>
    <s v="RM"/>
    <n v="19183"/>
    <x v="13"/>
    <s v="MAQUINA REMACHADORA"/>
    <n v="1"/>
    <n v="0.95"/>
    <s v="MONTOYA DIESEL S.A.S."/>
    <s v="LUIS FERNANDO CANGREJO BAQUERO"/>
    <n v="10"/>
    <s v="OCTUBRE"/>
  </r>
  <r>
    <n v="2025"/>
    <s v="11/04/2025"/>
    <s v="RM"/>
    <n v="20009"/>
    <x v="14"/>
    <s v="BARRA DE DIRECCIÓN PARA 4300 MEDIANO DUR"/>
    <n v="1"/>
    <n v="345000.1"/>
    <s v="ALMACEN MAC REPUESTOS LTDA"/>
    <s v="LUIS FERNANDO CANGREJO BAQUERO"/>
    <n v="4"/>
    <s v="ABRIL"/>
  </r>
  <r>
    <n v="2025"/>
    <s v="10/02/2025"/>
    <s v="RM"/>
    <n v="19702"/>
    <x v="15"/>
    <s v="CARCASA DEL VOLANTE PARA MERCEDES CON MOTOR MB906 PARA M2-106"/>
    <n v="1"/>
    <n v="1894737"/>
    <s v="SURTIREPUESTOS Y SERVICIOS DIESEL SAS"/>
    <s v="LUIS FERNANDO CANGREJO BAQUERO"/>
    <n v="2"/>
    <s v="FEBRERO"/>
  </r>
  <r>
    <n v="2025"/>
    <s v="26/02/2025"/>
    <s v="RM"/>
    <n v="19773"/>
    <x v="8"/>
    <s v="PIÑÓN 2DA CDIZO  14/16915"/>
    <n v="1"/>
    <n v="348000"/>
    <s v="TRANSPORTES Y SERVICIOS TRANSER SAS"/>
    <s v="JONATHAN PAEZ PEDRAZA"/>
    <n v="2"/>
    <s v="FEBRERO"/>
  </r>
  <r>
    <n v="2025"/>
    <s v="26/02/2025"/>
    <s v="RM"/>
    <n v="19773"/>
    <x v="9"/>
    <s v="PIÑÓN 1RA CDIZO 14/16915"/>
    <n v="1"/>
    <n v="480000"/>
    <s v="TRANSPORTES Y SERVICIOS TRANSER SAS"/>
    <s v="JONATHAN PAEZ PEDRAZA"/>
    <n v="2"/>
    <s v="FEBRERO"/>
  </r>
  <r>
    <n v="2025"/>
    <s v="06/03/2025"/>
    <s v="RM"/>
    <n v="19818"/>
    <x v="16"/>
    <s v="FAN CLUTCH 2 1/2&quot; KW DM 10 CANALES"/>
    <n v="2"/>
    <n v="6432568"/>
    <s v="TRACTOCARGA SAS"/>
    <s v="MARYLUZ DUQUE GARCIA"/>
    <n v="3"/>
    <s v="MARZO"/>
  </r>
  <r>
    <n v="2025"/>
    <s v="30/05/2025"/>
    <s v="RM"/>
    <n v="20284"/>
    <x v="17"/>
    <s v="OVERHAUL N14 ELECTRONICO CON PISTON  3087634 CON CASQUETERIA EN STD EMPAQUETADURA COMPLETA VICTOR REINZ"/>
    <n v="1"/>
    <n v="9599999.4399999995"/>
    <s v="COMERCIALIZADORA DE REPUESTOS M&amp;C SAS"/>
    <s v="LUIS FERNANDO CANGREJO BAQUERO"/>
    <n v="5"/>
    <s v="MAYO"/>
  </r>
  <r>
    <n v="2025"/>
    <s v="20/08/2025"/>
    <s v="RM"/>
    <n v="20714"/>
    <x v="18"/>
    <s v="FILTRO DE ACEITE MITSUBISHI, VOLVO NH12 Y KODIAK C70 / CUMMINS 6BT"/>
    <n v="2"/>
    <n v="52000"/>
    <s v="SISTEMA ALIMENTADOR ORIENTAL S.A.S."/>
    <s v="JONATHAN PAEZ PEDRAZA"/>
    <n v="8"/>
    <s v="AGOSTO"/>
  </r>
  <r>
    <n v="2025"/>
    <s v="02/07/2025"/>
    <s v="RM"/>
    <n v="20445"/>
    <x v="19"/>
    <s v="VALVULA REG DE SILLA BOTON ROJA"/>
    <n v="1"/>
    <n v="32300"/>
    <s v="IMPORTADORA DE REPUESTOS PARA PESADOS S.A.S"/>
    <s v="CARLOS HERNAN SALGADO PINZON"/>
    <n v="7"/>
    <s v="JULIO"/>
  </r>
  <r>
    <n v="2025"/>
    <s v="22/12/2025"/>
    <s v="RM"/>
    <n v="21369"/>
    <x v="20"/>
    <s v="KIT EMBRAGUE 430mm DE HALAR DE 3 PIEZAS, PRENSA (228296 / 225968) + DISCO (228293 / 225954) 10 ESTRIAS / 6 RESORTES CON DIAMETRO INTERNO PARA EJE DE TOMA DE 2&quot; 1/16 + BALINERA (CA78768) PARA VOLKSWAGEN 19360 PATINETA / CHINO / FOTON/SHACMAN X3000 X5000 (CON CAJA FAST GEAR Y MOTOR ISZ)"/>
    <n v="1"/>
    <n v="2500000"/>
    <s v="TRANSMICAJAS SHACMAN SAS"/>
    <s v="GLADYS VIVIANA MONTENEGRO MARTINEZ"/>
    <n v="12"/>
    <s v="DICIEMBRE"/>
  </r>
  <r>
    <n v="2025"/>
    <s v="06/08/2025"/>
    <s v="RM"/>
    <n v="20674"/>
    <x v="21"/>
    <s v="FILTRO COMBUSTIBLE 7 MICRAS  SIN SENSOR PARA SHACMAN CON MOTOR ISZ"/>
    <n v="1"/>
    <n v="175543.85"/>
    <s v="ORLANDO RATIVA ALBERTO"/>
    <s v="LUIS FERNANDO CANGREJO BAQUERO"/>
    <n v="8"/>
    <s v="AGOSTO"/>
  </r>
  <r>
    <n v="2025"/>
    <s v="13/08/2025"/>
    <s v="RM"/>
    <n v="20695"/>
    <x v="22"/>
    <s v="JUEGO SPLINDER JGOX14 PLAST ITL/CL/ M2 1"/>
    <n v="1"/>
    <n v="249999.81"/>
    <s v="KILLIAM JOSE LEON MAYORGA"/>
    <s v="WILLIAM DUVAN REYES DIAZ"/>
    <n v="8"/>
    <s v="AGOSTO"/>
  </r>
  <r>
    <n v="2025"/>
    <s v="04/08/2025"/>
    <s v="RM"/>
    <n v="20658"/>
    <x v="23"/>
    <s v="FAN CLUTCH KLONDIKE K32 (ALIMENTACIÓN DE AIRE POR DELANTE)"/>
    <n v="1"/>
    <n v="1684783"/>
    <s v="MARIA VICTORIA MANCIPE PARRA"/>
    <s v="LUIS FERNANDO CANGREJO BAQUERO"/>
    <n v="8"/>
    <s v="AGOSTO"/>
  </r>
  <r>
    <n v="2025"/>
    <s v="04/08/2025"/>
    <s v="RM"/>
    <n v="20658"/>
    <x v="24"/>
    <s v="KIT DE REPARACION KY K26FA X 5 PI"/>
    <n v="1"/>
    <n v="440000"/>
    <s v="MARIA VICTORIA MANCIPE PARRA"/>
    <s v="LUIS FERNANDO CANGREJO BAQUERO"/>
    <n v="8"/>
    <s v="AGOSTO"/>
  </r>
  <r>
    <n v="2025"/>
    <s v="19/11/2025"/>
    <s v="RM"/>
    <n v="21172"/>
    <x v="25"/>
    <s v="BOLSA SUSPENSION CABINA KW"/>
    <n v="10"/>
    <n v="1648600"/>
    <s v="FERTRAC SAS"/>
    <s v="YASMID DEL PILAR URIBE DELGADO"/>
    <n v="11"/>
    <s v="NOVIEMBRE"/>
  </r>
  <r>
    <n v="2025"/>
    <s v="19/11/2025"/>
    <s v="RM"/>
    <n v="21172"/>
    <x v="26"/>
    <s v="AMORTIGUADOR CABINA EAGLE(M) YKW"/>
    <n v="5"/>
    <n v="1002540"/>
    <s v="FERTRAC SAS"/>
    <s v="YASMID DEL PILAR URIBE DELGADO"/>
    <n v="11"/>
    <s v="NOVIEMBRE"/>
  </r>
  <r>
    <n v="2025"/>
    <s v="19/11/2025"/>
    <s v="RM"/>
    <n v="21172"/>
    <x v="27"/>
    <s v="VALVULA NIVELADORA CABINA EAGLE"/>
    <n v="5"/>
    <n v="1125000"/>
    <s v="FERTRAC SAS"/>
    <s v="YASMID DEL PILAR URIBE DELGADO"/>
    <n v="11"/>
    <s v="NOVIEMBRE"/>
  </r>
  <r>
    <n v="2025"/>
    <s v="29/09/2025"/>
    <s v="RM"/>
    <n v="20928"/>
    <x v="28"/>
    <s v="PIÑA DEL BAJO FO-16E318B-MXP"/>
    <n v="1"/>
    <n v="156000"/>
    <s v="RH GROUP S.A.S"/>
    <s v="FABIO DAVID FORERO RUIZ"/>
    <n v="9"/>
    <s v="SEPTIEMBRE"/>
  </r>
  <r>
    <n v="2025"/>
    <s v="31/10/2025"/>
    <s v="RM"/>
    <n v="21107"/>
    <x v="29"/>
    <s v="EMPAQUETADURA COMPLETA MWM"/>
    <n v="1"/>
    <n v="697360"/>
    <s v="ANGELA ROCIO HIDALGO VALLEJO"/>
    <s v="FABIO DAVID FORERO RUIZ"/>
    <n v="10"/>
    <s v="OCTUBRE"/>
  </r>
  <r>
    <n v="2025"/>
    <s v="22/12/2025"/>
    <s v="RM"/>
    <n v="21370"/>
    <x v="30"/>
    <s v="CORREA ACANAL P/ALTERN POLY-V. MACK2005,KENWORTH2003MOTOR CUMMINS T800MOTOR ROJO"/>
    <n v="6"/>
    <n v="300000"/>
    <s v="TRACTOCARGA SAS"/>
    <s v="MARYLUZ DUQUE GARCIA"/>
    <n v="12"/>
    <s v="DICIEMBRE"/>
  </r>
  <r>
    <n v="2025"/>
    <s v="22/12/2025"/>
    <s v="RM"/>
    <n v="21371"/>
    <x v="31"/>
    <s v="RETEN KIT 30437"/>
    <n v="4"/>
    <n v="30000"/>
    <s v="TRACTOCARGA SAS"/>
    <s v="MARYLUZ DUQUE GARCIA"/>
    <n v="12"/>
    <s v="DICIEMBRE"/>
  </r>
  <r>
    <n v="2025"/>
    <s v="22/12/2025"/>
    <s v="RM"/>
    <n v="21371"/>
    <x v="32"/>
    <s v="BUJE KIT CENTRAL"/>
    <n v="4"/>
    <n v="80000"/>
    <s v="TRACTOCARGA SAS"/>
    <s v="MARYLUZ DUQUE GARCIA"/>
    <n v="12"/>
    <s v="DICIEMBRE"/>
  </r>
  <r>
    <n v="2025"/>
    <s v="23/12/2025"/>
    <s v="RM"/>
    <n v="21372"/>
    <x v="33"/>
    <s v="HORQUI TRIPLICADOR MONO 8908/14715/16915"/>
    <n v="1"/>
    <n v="271800"/>
    <s v="COTRANSCOPETROL SAS Y CTC SAS"/>
    <s v="MARYLUZ DUQUE GARCIA"/>
    <n v="12"/>
    <s v="DICIEMBRE"/>
  </r>
  <r>
    <n v="2025"/>
    <s v="23/12/2025"/>
    <s v="RM"/>
    <n v="21374"/>
    <x v="34"/>
    <s v="SENSOR DE VELOCIDAD KENWORTH 2 PATAS"/>
    <n v="5"/>
    <n v="650000"/>
    <s v="COTRANSCOPETROL SAS Y CTC SAS"/>
    <s v="MARYLUZ DUQUE GARCIA"/>
    <n v="12"/>
    <s v="DICIEMBRE"/>
  </r>
  <r>
    <n v="2025"/>
    <s v="23/12/2025"/>
    <s v="RM"/>
    <n v="21376"/>
    <x v="35"/>
    <s v="ENFRIADOR DE ACEITE 14913 KW T800 16915"/>
    <n v="1"/>
    <n v="2400000"/>
    <s v="COTRANSCOPETROL SAS Y CTC SAS"/>
    <s v="MARYLUZ DUQUE GARCIA"/>
    <n v="12"/>
    <s v="DICIEMBRE"/>
  </r>
  <r>
    <n v="2025"/>
    <s v="23/12/2025"/>
    <s v="RM"/>
    <n v="21373"/>
    <x v="36"/>
    <s v="RODILLO MONO RTLO 14915/918 PEST ANGOSTA"/>
    <n v="1"/>
    <n v="316900"/>
    <s v="COTRANSCOPETROL SAS Y CTC SAS"/>
    <s v="MARYLUZ DUQUE GARCIA"/>
    <n v="12"/>
    <s v="DICIEMBRE"/>
  </r>
  <r>
    <n v="2025"/>
    <s v="23/12/2025"/>
    <s v="RM"/>
    <n v="21373"/>
    <x v="37"/>
    <s v="RODILLO TORRE MONO 14715/16915"/>
    <n v="4"/>
    <n v="223600"/>
    <s v="COTRANSCOPETROL SAS Y CTC SAS"/>
    <s v="MARYLUZ DUQUE GARCIA"/>
    <n v="12"/>
    <s v="DICIEMBRE"/>
  </r>
  <r>
    <n v="2025"/>
    <s v="23/12/2025"/>
    <s v="RM"/>
    <n v="21373"/>
    <x v="4"/>
    <s v="KIT RETEN MONO 14715/915/918 11210 (BRA)"/>
    <n v="1"/>
    <n v="97200"/>
    <s v="COTRANSCOPETROL SAS Y CTC SAS"/>
    <s v="MARYLUZ DUQUE GARCIA"/>
    <n v="12"/>
    <s v="DICIEMBRE"/>
  </r>
  <r>
    <n v="2025"/>
    <s v="23/12/2025"/>
    <s v="RM"/>
    <n v="21375"/>
    <x v="33"/>
    <s v="HORQUI TRIPLICADOR MONO 8908/14715/16915"/>
    <n v="1"/>
    <n v="271800"/>
    <s v="COTRANSCOPETROL SAS Y CTC SAS"/>
    <s v="MARYLUZ DUQUE GARCIA"/>
    <n v="12"/>
    <s v="DICIEMBRE"/>
  </r>
  <r>
    <n v="2025"/>
    <s v="23/12/2025"/>
    <s v="RM"/>
    <n v="21375"/>
    <x v="4"/>
    <s v="KIT RETEN MONO 14715/915/918 11210 (BRA)"/>
    <n v="1"/>
    <n v="97200"/>
    <s v="COTRANSCOPETROL SAS Y CTC SAS"/>
    <s v="MARYLUZ DUQUE GARCIA"/>
    <n v="12"/>
    <s v="DICIEMBRE"/>
  </r>
  <r>
    <n v="2025"/>
    <s v="23/12/2025"/>
    <s v="RM"/>
    <n v="21375"/>
    <x v="38"/>
    <s v="KIT EMPAQUES MONO 14715/16915/8908LL"/>
    <n v="1"/>
    <n v="37300"/>
    <s v="COTRANSCOPETROL SAS Y CTC SAS"/>
    <s v="MARYLUZ DUQUE GARCIA"/>
    <n v="12"/>
    <s v="DICIEMBRE"/>
  </r>
  <r>
    <n v="2025"/>
    <s v="23/12/2025"/>
    <s v="RM"/>
    <n v="21375"/>
    <x v="37"/>
    <s v="RODILLO TORRE MONO 14715/16915"/>
    <n v="4"/>
    <n v="223600"/>
    <s v="COTRANSCOPETROL SAS Y CTC SAS"/>
    <s v="MARYLUZ DUQUE GARCIA"/>
    <n v="12"/>
    <s v="DICIEMBRE"/>
  </r>
  <r>
    <n v="2025"/>
    <s v="23/12/2025"/>
    <s v="RM"/>
    <n v="21375"/>
    <x v="39"/>
    <s v="ARANDELA ESTRIADA PIÑÓN MONO 14715-14915"/>
    <n v="1"/>
    <n v="83200"/>
    <s v="COTRANSCOPETROL SAS Y CTC SAS"/>
    <s v="MARYLUZ DUQUE GARCIA"/>
    <n v="12"/>
    <s v="DICIEMBRE"/>
  </r>
  <r>
    <n v="2025"/>
    <s v="23/12/2025"/>
    <s v="RM"/>
    <n v="21375"/>
    <x v="36"/>
    <s v="RODILLO MONO RTLO 14915/918 PEST ANGOSTA"/>
    <n v="1"/>
    <n v="316900"/>
    <s v="COTRANSCOPETROL SAS Y CTC SAS"/>
    <s v="MARYLUZ DUQUE GARCIA"/>
    <n v="12"/>
    <s v="DICIEMBRE"/>
  </r>
  <r>
    <n v="2025"/>
    <s v="23/12/2025"/>
    <s v="RM"/>
    <n v="21375"/>
    <x v="40"/>
    <s v="SINCRONIZADOR (JGO X 5) TODAS PATA GRUES"/>
    <n v="1"/>
    <n v="313400"/>
    <s v="COTRANSCOPETROL SAS Y CTC SAS"/>
    <s v="MARYLUZ DUQUE GARCIA"/>
    <n v="12"/>
    <s v="DICIEMBRE"/>
  </r>
  <r>
    <n v="2025"/>
    <s v="23/12/2025"/>
    <s v="RM"/>
    <n v="21375"/>
    <x v="41"/>
    <s v="PIÑA TRIPLICADOR  14715-915/16915"/>
    <n v="1"/>
    <n v="125500"/>
    <s v="COTRANSCOPETROL SAS Y CTC SAS"/>
    <s v="MARYLUZ DUQUE GARCIA"/>
    <n v="12"/>
    <s v="DICIEMBRE"/>
  </r>
  <r>
    <n v="2025"/>
    <s v="23/12/2025"/>
    <s v="RM"/>
    <n v="21375"/>
    <x v="42"/>
    <s v="ACOPLE PIÑON MONO 14715/915 8908LL"/>
    <n v="1"/>
    <n v="472000"/>
    <s v="COTRANSCOPETROL SAS Y CTC SAS"/>
    <s v="MARYLUZ DUQUE GARCIA"/>
    <n v="12"/>
    <s v="DICIEMBRE"/>
  </r>
  <r>
    <n v="2025"/>
    <s v="23/12/2025"/>
    <s v="RM"/>
    <n v="21375"/>
    <x v="43"/>
    <s v="PIÑON MONO 14715/16915//8908"/>
    <n v="1"/>
    <n v="858700"/>
    <s v="COTRANSCOPETROL SAS Y CTC SAS"/>
    <s v="MARYLUZ DUQUE GARCIA"/>
    <n v="12"/>
    <s v="DICIEMBRE"/>
  </r>
  <r>
    <n v="2025"/>
    <s v="23/12/2025"/>
    <s v="RM"/>
    <n v="21373"/>
    <x v="41"/>
    <s v="PIÑA TRIPLICADOR  14715-915/16915"/>
    <n v="1"/>
    <n v="125500"/>
    <s v="COTRANSCOPETROL SAS Y CTC SAS"/>
    <s v="MARYLUZ DUQUE GARCIA"/>
    <n v="12"/>
    <s v="DICIEMBRE"/>
  </r>
  <r>
    <n v="2025"/>
    <s v="23/12/2025"/>
    <s v="RM"/>
    <n v="21373"/>
    <x v="40"/>
    <s v="SINCRONIZADOR (JGO X 5) TODAS PATA GRUES"/>
    <n v="1"/>
    <n v="313400"/>
    <s v="COTRANSCOPETROL SAS Y CTC SAS"/>
    <s v="MARYLUZ DUQUE GARCIA"/>
    <n v="12"/>
    <s v="DICIEMBRE"/>
  </r>
  <r>
    <n v="2025"/>
    <s v="23/12/2025"/>
    <s v="RM"/>
    <n v="21373"/>
    <x v="42"/>
    <s v="ACOPLE PIÑON MONO 14715/915 8908LL"/>
    <n v="1"/>
    <n v="472000"/>
    <s v="COTRANSCOPETROL SAS Y CTC SAS"/>
    <s v="MARYLUZ DUQUE GARCIA"/>
    <n v="12"/>
    <s v="DICIEMBRE"/>
  </r>
  <r>
    <n v="2025"/>
    <s v="23/12/2025"/>
    <s v="RM"/>
    <n v="21373"/>
    <x v="33"/>
    <s v="HORQUI TRIPLICADOR MONO 8908/14715/16915"/>
    <n v="1"/>
    <n v="271800"/>
    <s v="COTRANSCOPETROL SAS Y CTC SAS"/>
    <s v="MARYLUZ DUQUE GARCIA"/>
    <n v="12"/>
    <s v="DICIEMBRE"/>
  </r>
  <r>
    <n v="2025"/>
    <s v="23/12/2025"/>
    <s v="RM"/>
    <n v="21373"/>
    <x v="38"/>
    <s v="KIT EMPAQUES MONO 14715/16915/8908LL"/>
    <n v="1"/>
    <n v="37300"/>
    <s v="COTRANSCOPETROL SAS Y CTC SAS"/>
    <s v="MARYLUZ DUQUE GARCIA"/>
    <n v="12"/>
    <s v="DICIEMBRE"/>
  </r>
  <r>
    <n v="2025"/>
    <s v="23/12/2025"/>
    <s v="RM"/>
    <n v="21378"/>
    <x v="44"/>
    <s v="PLATO SINCRONIZADOR 14715/14915/16915"/>
    <n v="1"/>
    <n v="289000"/>
    <s v="COTRANSCOPETROL SAS Y CTC SAS"/>
    <s v="MARYLUZ DUQUE GARCIA"/>
    <n v="12"/>
    <s v="DICIEMBRE"/>
  </r>
  <r>
    <n v="2025"/>
    <s v="23/12/2025"/>
    <s v="RM"/>
    <n v="21381"/>
    <x v="45"/>
    <s v="PORTA CORONA 46-145 WORKER"/>
    <n v="6"/>
    <n v="6300000"/>
    <s v="MECTRONICS S.A"/>
    <s v="MARYLUZ DUQUE GARCIA"/>
    <n v="12"/>
    <s v="DICIEMBRE"/>
  </r>
  <r>
    <n v="2025"/>
    <s v="23/12/2025"/>
    <s v="RM"/>
    <n v="21381"/>
    <x v="46"/>
    <s v="CRUCETA ESCUALIZACION S 145/ 230- SQ100"/>
    <n v="5"/>
    <n v="750000"/>
    <s v="MECTRONICS S.A"/>
    <s v="MARYLUZ DUQUE GARCIA"/>
    <n v="12"/>
    <s v="DICIEMBRE"/>
  </r>
  <r>
    <n v="2025"/>
    <s v="23/12/2025"/>
    <s v="RM"/>
    <n v="21381"/>
    <x v="47"/>
    <s v="SATELITE ESCUALIZ S 145-230/ EXCP TR"/>
    <n v="20"/>
    <n v="1800000"/>
    <s v="MECTRONICS S.A"/>
    <s v="MARYLUZ DUQUE GARCIA"/>
    <n v="12"/>
    <s v="DICIEMBRE"/>
  </r>
  <r>
    <n v="2025"/>
    <s v="23/12/2025"/>
    <s v="RM"/>
    <n v="21381"/>
    <x v="48"/>
    <s v="KIT RODAMIENTO TRASERO RS145"/>
    <n v="5"/>
    <n v="4250000"/>
    <s v="MECTRONICS S.A"/>
    <s v="MARYLUZ DUQUE GARCIA"/>
    <n v="12"/>
    <s v="DICIEMBRE"/>
  </r>
  <r>
    <n v="2025"/>
    <s v="23/12/2025"/>
    <s v="RM"/>
    <n v="21381"/>
    <x v="49"/>
    <s v="CORONA Y SPEED TRAS 7X43 S 145"/>
    <n v="5"/>
    <n v="15500000"/>
    <s v="MECTRONICS S.A"/>
    <s v="MARYLUZ DUQUE GARCIA"/>
    <n v="12"/>
    <s v="DICIEMBRE"/>
  </r>
  <r>
    <n v="2025"/>
    <s v="23/12/2025"/>
    <s v="RM"/>
    <n v="21381"/>
    <x v="50"/>
    <s v="ARANDELA PLANETARIO  S 145"/>
    <n v="10"/>
    <n v="370000"/>
    <s v="MECTRONICS S.A"/>
    <s v="MARYLUZ DUQUE GARCIA"/>
    <n v="12"/>
    <s v="DICIEMBRE"/>
  </r>
  <r>
    <n v="2025"/>
    <s v="23/12/2025"/>
    <s v="RM"/>
    <n v="21381"/>
    <x v="51"/>
    <s v="ARANDELA SATEL ESCZ S 145-230 SQHD/SQ100"/>
    <n v="20"/>
    <n v="82000"/>
    <s v="MECTRONICS S.A"/>
    <s v="MARYLUZ DUQUE GARCIA"/>
    <n v="12"/>
    <s v="DICIEMBRE"/>
  </r>
  <r>
    <n v="2025"/>
    <s v="23/12/2025"/>
    <s v="RM"/>
    <n v="21381"/>
    <x v="52"/>
    <s v="PLANETARIO SERIE 145//091260"/>
    <n v="23"/>
    <n v="3795000"/>
    <s v="MECTRONICS S.A"/>
    <s v="MARYLUZ DUQUE GARCIA"/>
    <n v="12"/>
    <s v="DICIEMBRE"/>
  </r>
  <r>
    <n v="2025"/>
    <s v="23/12/2025"/>
    <s v="RM"/>
    <n v="21380"/>
    <x v="53"/>
    <s v="EMPAQ. REPARA MAYOR SIS HIDRAU/ RET EAGL"/>
    <n v="3"/>
    <n v="1260000"/>
    <s v="TRACTOCARGA SAS"/>
    <s v="MARYLUZ DUQUE GARCIA"/>
    <n v="12"/>
    <s v="DICIEMBRE"/>
  </r>
  <r>
    <n v="2025"/>
    <s v="23/12/2025"/>
    <s v="RM"/>
    <n v="21379"/>
    <x v="46"/>
    <s v="CRUCETA ESCUALIZACION S 145/ 230- SQ100"/>
    <n v="1"/>
    <n v="150000"/>
    <s v="MECTRONICS S.A"/>
    <s v="MARYLUZ DUQUE GARCIA"/>
    <n v="12"/>
    <s v="DICIEMBRE"/>
  </r>
  <r>
    <n v="2025"/>
    <s v="23/12/2025"/>
    <s v="RM"/>
    <n v="21379"/>
    <x v="47"/>
    <s v="SATELITE ESCUALIZ S 145-230/ EXCP TR"/>
    <n v="4"/>
    <n v="360000"/>
    <s v="MECTRONICS S.A"/>
    <s v="MARYLUZ DUQUE GARCIA"/>
    <n v="12"/>
    <s v="DICIEMBRE"/>
  </r>
  <r>
    <n v="2025"/>
    <s v="23/12/2025"/>
    <s v="RM"/>
    <n v="21379"/>
    <x v="48"/>
    <s v="KIT RODAMIENTO TRASERO RS145"/>
    <n v="1"/>
    <n v="850000"/>
    <s v="MECTRONICS S.A"/>
    <s v="MARYLUZ DUQUE GARCIA"/>
    <n v="12"/>
    <s v="DICIEMBRE"/>
  </r>
  <r>
    <n v="2025"/>
    <s v="23/12/2025"/>
    <s v="RM"/>
    <n v="21379"/>
    <x v="49"/>
    <s v="CORONA Y SPEED TRAS 7X43 S 145"/>
    <n v="1"/>
    <n v="3100000"/>
    <s v="MECTRONICS S.A"/>
    <s v="MARYLUZ DUQUE GARCIA"/>
    <n v="12"/>
    <s v="DICIEMBRE"/>
  </r>
  <r>
    <n v="2025"/>
    <s v="23/12/2025"/>
    <s v="RM"/>
    <n v="21379"/>
    <x v="50"/>
    <s v="ARANDELA PLANETARIO  S 145"/>
    <n v="2"/>
    <n v="74000"/>
    <s v="MECTRONICS S.A"/>
    <s v="MARYLUZ DUQUE GARCIA"/>
    <n v="12"/>
    <s v="DICIEMBRE"/>
  </r>
  <r>
    <n v="2025"/>
    <s v="23/12/2025"/>
    <s v="RM"/>
    <n v="21379"/>
    <x v="52"/>
    <s v="PLANETARIO SERIE 145//091260"/>
    <n v="2"/>
    <n v="330000"/>
    <s v="MECTRONICS S.A"/>
    <s v="MARYLUZ DUQUE GARCIA"/>
    <n v="12"/>
    <s v="DICIEMBRE"/>
  </r>
  <r>
    <n v="2025"/>
    <s v="23/12/2025"/>
    <s v="RM"/>
    <n v="21379"/>
    <x v="51"/>
    <s v="ARANDELA SATEL ESCZ S 145-230 SQHD/SQ100"/>
    <n v="4"/>
    <n v="16400"/>
    <s v="MECTRONICS S.A"/>
    <s v="MARYLUZ DUQUE GARCIA"/>
    <n v="12"/>
    <s v="DICIEMBRE"/>
  </r>
  <r>
    <n v="2025"/>
    <s v="26/12/2025"/>
    <s v="RM"/>
    <n v="21383"/>
    <x v="54"/>
    <s v="KIT SOP. CARDAN KODIACK"/>
    <n v="5"/>
    <n v="850000"/>
    <s v="MECTRONICS S.A"/>
    <s v="MARYLUZ DUQUE GARCIA"/>
    <n v="12"/>
    <s v="DICIEMBRE"/>
  </r>
  <r>
    <n v="2025"/>
    <s v="26/12/2025"/>
    <s v="RM"/>
    <n v="21382"/>
    <x v="55"/>
    <s v="EMPAQUE DESCARGA DEL TURBO ISX"/>
    <n v="17"/>
    <n v="418585.73"/>
    <s v="TRACTOCARGA SAS"/>
    <s v="MARYLUZ DUQUE GARCIA"/>
    <n v="12"/>
    <s v="DICIEMBRE"/>
  </r>
  <r>
    <n v="2025"/>
    <s v="26/12/2025"/>
    <s v="RM"/>
    <n v="21383"/>
    <x v="56"/>
    <s v="EMPAQUE EJE 9 1/2&quot;"/>
    <n v="5"/>
    <n v="60000"/>
    <s v="MECTRONICS S.A"/>
    <s v="MARYLUZ DUQUE GARCIA"/>
    <n v="12"/>
    <s v="DICIEMBRE"/>
  </r>
  <r>
    <n v="2025"/>
    <s v="26/12/2025"/>
    <s v="RM"/>
    <n v="21384"/>
    <x v="57"/>
    <s v="VALVULA REGULADORA 14715/18/915/918/16"/>
    <n v="4"/>
    <n v="1170400"/>
    <s v="COTRANSCOPETROL SAS Y CTC SAS"/>
    <s v="MARYLUZ DUQUE GARCIA"/>
    <n v="12"/>
    <s v="DICIEMBRE"/>
  </r>
  <r>
    <n v="2025"/>
    <s v="26/12/2025"/>
    <s v="RM"/>
    <n v="21383"/>
    <x v="58"/>
    <s v="RACHE AUTO CH CC 5 1/2&quot; TP3 1-1/2&quot;28E"/>
    <n v="5"/>
    <n v="1635000"/>
    <s v="MECTRONICS S.A"/>
    <s v="MARYLUZ DUQUE GARCIA"/>
    <n v="12"/>
    <s v="DICIEMBRE"/>
  </r>
  <r>
    <n v="2025"/>
    <s v="26/12/2025"/>
    <s v="RM"/>
    <n v="21386"/>
    <x v="59"/>
    <s v="FAN CLUTCH ELECTRONICO DRIVE MASTER"/>
    <n v="1"/>
    <n v="2600000"/>
    <s v="RH GROUP S.A.S"/>
    <s v="FABIO DAVID FORERO RUIZ"/>
    <n v="12"/>
    <s v="DICIEMBRE"/>
  </r>
  <r>
    <n v="2025"/>
    <s v="26/12/2025"/>
    <s v="RM"/>
    <n v="21388"/>
    <x v="60"/>
    <s v="FILTRO O ELEMENTO  DE COMBUSTIBLE PARA KOMATSU"/>
    <n v="3"/>
    <n v="71400"/>
    <s v="TRACTOCARGA SAS"/>
    <s v="MARYLUZ DUQUE GARCIA"/>
    <n v="12"/>
    <s v="DICIEMBRE"/>
  </r>
  <r>
    <n v="2025"/>
    <s v="26/12/2025"/>
    <s v="RM"/>
    <n v="21389"/>
    <x v="61"/>
    <s v="CANAS PORTA COR ESCUALIZA 9X41 JGOX3"/>
    <n v="1"/>
    <n v="2050000"/>
    <s v="TRACTOCARGA SAS"/>
    <s v="MARYLUZ DUQUE GARCIA"/>
    <n v="12"/>
    <s v="DICIEMBRE"/>
  </r>
  <r>
    <n v="2025"/>
    <s v="26/12/2025"/>
    <s v="RM"/>
    <n v="21387"/>
    <x v="62"/>
    <s v="REGISTRO PASO COMBUSTIBLE CUMMINS 350/40"/>
    <n v="4"/>
    <n v="181356"/>
    <s v="TRACTOCARGA SAS"/>
    <s v="MARYLUZ DUQUE GARCIA"/>
    <n v="12"/>
    <s v="DICIEMBRE"/>
  </r>
  <r>
    <n v="2025"/>
    <s v="26/12/2025"/>
    <s v="RM"/>
    <n v="21393"/>
    <x v="63"/>
    <s v="KIT BUJE Y PASADO (JGOX2)TODAS CON HUECO"/>
    <n v="4"/>
    <n v="116000"/>
    <s v="TRACTOCARGA SAS"/>
    <s v="MARYLUZ DUQUE GARCIA"/>
    <n v="12"/>
    <s v="DICIEMBRE"/>
  </r>
  <r>
    <n v="2025"/>
    <s v="26/12/2025"/>
    <s v="RM"/>
    <n v="21390"/>
    <x v="64"/>
    <s v="CRUCETA M2 112 MULA FTL CARDAN DELANTERO"/>
    <n v="1"/>
    <n v="370000"/>
    <s v="RH GROUP S.A.S"/>
    <s v="FABIO DAVID FORERO RUIZ"/>
    <n v="12"/>
    <s v="DICIEMBRE"/>
  </r>
  <r>
    <n v="2025"/>
    <s v="26/12/2025"/>
    <s v="RM"/>
    <n v="21395"/>
    <x v="65"/>
    <s v="TENSOR CORREA (VENTILADOR Y ALTERNADOR)"/>
    <n v="1"/>
    <n v="320000"/>
    <s v="TRACTOCARGA SAS"/>
    <s v="MARYLUZ DUQUE GARCIA"/>
    <n v="12"/>
    <s v="DICIEMBRE"/>
  </r>
  <r>
    <n v="2025"/>
    <s v="26/12/2025"/>
    <s v="RM"/>
    <n v="21395"/>
    <x v="66"/>
    <s v="EMPAQUE CAREVACA PARA MOTOR ISX"/>
    <n v="2"/>
    <n v="305528"/>
    <s v="TRACTOCARGA SAS"/>
    <s v="MARYLUZ DUQUE GARCIA"/>
    <n v="12"/>
    <s v="DICIEMBRE"/>
  </r>
  <r>
    <n v="2025"/>
    <s v="19/12/2025"/>
    <s v="RM"/>
    <n v="21356"/>
    <x v="67"/>
    <s v="RESORTE NARANJA TAPA CAJA - TODAS"/>
    <n v="3"/>
    <n v="9000"/>
    <s v="FL COLOMBIA S.A.S"/>
    <s v="FABIO DAVID FORERO RUIZ"/>
    <n v="12"/>
    <s v="DICIEMBRE"/>
  </r>
  <r>
    <n v="2025"/>
    <s v="19/12/2025"/>
    <s v="RM"/>
    <n v="21356"/>
    <x v="68"/>
    <s v="EMPAQUE PEQUEÑO SOBRE TAPA CAJA"/>
    <n v="1"/>
    <n v="25000"/>
    <s v="FL COLOMBIA S.A.S"/>
    <s v="FABIO DAVID FORERO RUIZ"/>
    <n v="12"/>
    <s v="DICIEMBRE"/>
  </r>
  <r>
    <n v="2025"/>
    <s v="19/12/2025"/>
    <s v="RM"/>
    <n v="21358"/>
    <x v="69"/>
    <s v="CORREA ACANAL P/ALTERN . INTERNATIONAL PROSTAR MOTOR CUMMINS ISX MOD.08-13, A.A. INTERNATIONAL EAGLE 9400 MOTOR CUMMINS ISX"/>
    <n v="10"/>
    <n v="305000"/>
    <s v="TRACTOCARGA SAS"/>
    <s v="MARYLUZ DUQUE GARCIA"/>
    <n v="12"/>
    <s v="DICIEMBRE"/>
  </r>
  <r>
    <n v="2025"/>
    <s v="09/12/2025"/>
    <s v="RM"/>
    <n v="21306"/>
    <x v="70"/>
    <s v="CANAS PORTA COR ESCUALIZA 9X44 JGOX3"/>
    <n v="2"/>
    <n v="3630000"/>
    <s v="FERTRAC SAS"/>
    <s v="LUIS FERNANDO CANGREJO BAQUERO"/>
    <n v="12"/>
    <s v="DICIEMBRE"/>
  </r>
  <r>
    <n v="2025"/>
    <s v="26/12/2025"/>
    <s v="RM"/>
    <n v="21398"/>
    <x v="71"/>
    <s v="ARANDELA LISA PLANA PIÑON MONO 1795"/>
    <n v="1"/>
    <n v="120000"/>
    <s v="FL COLOMBIA S.A.S"/>
    <s v="FABIO DAVID FORERO RUIZ"/>
    <n v="12"/>
    <s v="DICIEMBRE"/>
  </r>
  <r>
    <n v="2025"/>
    <s v="26/12/2025"/>
    <s v="RM"/>
    <n v="21398"/>
    <x v="72"/>
    <s v="ARANDELA EST. PIÑON MONO  18"/>
    <n v="1"/>
    <n v="60000"/>
    <s v="FL COLOMBIA S.A.S"/>
    <s v="FABIO DAVID FORERO RUIZ"/>
    <n v="12"/>
    <s v="DICIEMBRE"/>
  </r>
  <r>
    <n v="2025"/>
    <s v="26/12/2025"/>
    <s v="RM"/>
    <n v="21398"/>
    <x v="73"/>
    <s v="PIÑA BAJO  918B"/>
    <n v="1"/>
    <n v="106000"/>
    <s v="FL COLOMBIA S.A.S"/>
    <s v="FABIO DAVID FORERO RUIZ"/>
    <n v="12"/>
    <s v="DICIEMBRE"/>
  </r>
  <r>
    <n v="2025"/>
    <s v="26/12/2025"/>
    <s v="RM"/>
    <n v="21398"/>
    <x v="74"/>
    <s v="PIN ESPIRAL PIÑON 4303422"/>
    <n v="1"/>
    <n v="25000"/>
    <s v="FL COLOMBIA S.A.S"/>
    <s v="FABIO DAVID FORERO RUIZ"/>
    <n v="12"/>
    <s v="DICIEMBRE"/>
  </r>
  <r>
    <n v="2025"/>
    <s v="26/12/2025"/>
    <s v="RM"/>
    <n v="21398"/>
    <x v="75"/>
    <s v="PIÑON TREN FIJO 14918/16"/>
    <n v="2"/>
    <n v="720000"/>
    <s v="FL COLOMBIA S.A.S"/>
    <s v="FABIO DAVID FORERO RUIZ"/>
    <n v="12"/>
    <s v="DICIEMBRE"/>
  </r>
  <r>
    <n v="2025"/>
    <s v="26/12/2025"/>
    <s v="RM"/>
    <n v="21398"/>
    <x v="76"/>
    <s v="PIÑÓN 2DA TREN FIJO 16918"/>
    <n v="2"/>
    <n v="310000"/>
    <s v="FL COLOMBIA S.A.S"/>
    <s v="FABIO DAVID FORERO RUIZ"/>
    <n v="12"/>
    <s v="DICIEMBRE"/>
  </r>
  <r>
    <n v="2025"/>
    <s v="26/12/2025"/>
    <s v="RM"/>
    <n v="21398"/>
    <x v="77"/>
    <s v="ARANDELA TORRE MONO PARA 18"/>
    <n v="2"/>
    <n v="40000"/>
    <s v="FL COLOMBIA S.A.S"/>
    <s v="FABIO DAVID FORERO RUIZ"/>
    <n v="12"/>
    <s v="DICIEMBRE"/>
  </r>
  <r>
    <n v="2025"/>
    <s v="26/12/2025"/>
    <s v="RM"/>
    <n v="21398"/>
    <x v="78"/>
    <s v="KIT RODAMIENTO PARA CAJA RTLO16918B CON 5556507"/>
    <n v="1"/>
    <n v="2457000"/>
    <s v="FL COLOMBIA S.A.S"/>
    <s v="FABIO DAVID FORERO RUIZ"/>
    <n v="12"/>
    <s v="DICIEMBRE"/>
  </r>
  <r>
    <n v="2025"/>
    <s v="26/12/2025"/>
    <s v="RM"/>
    <n v="21398"/>
    <x v="79"/>
    <s v="PIÑÓN CENT 918"/>
    <n v="1"/>
    <n v="406000"/>
    <s v="FL COLOMBIA S.A.S"/>
    <s v="FABIO DAVID FORERO RUIZ"/>
    <n v="12"/>
    <s v="DICIEMBRE"/>
  </r>
  <r>
    <n v="2025"/>
    <s v="26/12/2025"/>
    <s v="RM"/>
    <n v="21398"/>
    <x v="80"/>
    <s v="PIÑON EJE DE TOMA 16918"/>
    <n v="1"/>
    <n v="398000"/>
    <s v="FL COLOMBIA S.A.S"/>
    <s v="FABIO DAVID FORERO RUIZ"/>
    <n v="12"/>
    <s v="DICIEMBRE"/>
  </r>
  <r>
    <n v="2025"/>
    <s v="26/12/2025"/>
    <s v="RM"/>
    <n v="21398"/>
    <x v="81"/>
    <s v="PIÑÓN 5TA TREN FIJO 16918"/>
    <n v="2"/>
    <n v="660000"/>
    <s v="FL COLOMBIA S.A.S"/>
    <s v="FABIO DAVID FORERO RUIZ"/>
    <n v="12"/>
    <s v="DICIEMBRE"/>
  </r>
  <r>
    <n v="2025"/>
    <s v="27/12/2025"/>
    <s v="RM"/>
    <n v="21399"/>
    <x v="82"/>
    <s v="TENSOR CORREA (ALTERNADOR)"/>
    <n v="1"/>
    <n v="260000"/>
    <s v="RH GROUP S.A.S"/>
    <s v="FABIO DAVID FORERO RUIZ"/>
    <n v="12"/>
    <s v="DICIEMBRE"/>
  </r>
  <r>
    <n v="2025"/>
    <s v="29/12/2025"/>
    <s v="RM"/>
    <n v="21407"/>
    <x v="83"/>
    <s v="CRUCETA CARDAN SPL 170"/>
    <n v="3"/>
    <n v="750000"/>
    <s v="RH GROUP S.A.S"/>
    <s v="FABIO DAVID FORERO RUIZ"/>
    <n v="12"/>
    <s v="DICIEMBRE"/>
  </r>
  <r>
    <n v="2025"/>
    <s v="29/12/2025"/>
    <s v="RM"/>
    <n v="21407"/>
    <x v="84"/>
    <s v="CRUCETA CARDAN SPL 250"/>
    <n v="3"/>
    <n v="900000"/>
    <s v="RH GROUP S.A.S"/>
    <s v="FABIO DAVID FORERO RUIZ"/>
    <n v="12"/>
    <s v="DICIEMBRE"/>
  </r>
  <r>
    <n v="2025"/>
    <s v="29/12/2025"/>
    <s v="RM"/>
    <n v="21409"/>
    <x v="85"/>
    <s v="EMPAQUE DE L TAPA 4302320 FR/FRO 918-915"/>
    <n v="2"/>
    <n v="30200"/>
    <s v="COTRANSCOPETROL SAS Y CTC SAS"/>
    <s v="MARYLUZ DUQUE GARCIA"/>
    <n v="12"/>
    <s v="DICIEMBRE"/>
  </r>
  <r>
    <n v="2025"/>
    <s v="29/12/2025"/>
    <s v="RM"/>
    <n v="21409"/>
    <x v="38"/>
    <s v="KIT EMPAQUES MONO 14715/16915/8908LL"/>
    <n v="1"/>
    <n v="37300"/>
    <s v="COTRANSCOPETROL SAS Y CTC SAS"/>
    <s v="MARYLUZ DUQUE GARCIA"/>
    <n v="12"/>
    <s v="DICIEMBRE"/>
  </r>
  <r>
    <n v="2025"/>
    <s v="29/12/2025"/>
    <s v="RM"/>
    <n v="21409"/>
    <x v="4"/>
    <s v="KIT RETEN MONO 14715/915/918 11210 (BRA)"/>
    <n v="1"/>
    <n v="97200"/>
    <s v="COTRANSCOPETROL SAS Y CTC SAS"/>
    <s v="MARYLUZ DUQUE GARCIA"/>
    <n v="12"/>
    <s v="DICIEMBRE"/>
  </r>
  <r>
    <n v="2025"/>
    <s v="29/12/2025"/>
    <s v="RM"/>
    <n v="21409"/>
    <x v="42"/>
    <s v="ACOPLE PIÑON MONO 14715/915 8908LL"/>
    <n v="1"/>
    <n v="472000"/>
    <s v="COTRANSCOPETROL SAS Y CTC SAS"/>
    <s v="MARYLUZ DUQUE GARCIA"/>
    <n v="12"/>
    <s v="DICIEMBRE"/>
  </r>
  <r>
    <n v="2025"/>
    <s v="29/12/2025"/>
    <s v="RM"/>
    <n v="21409"/>
    <x v="41"/>
    <s v="PIÑA TRIPLICADOR  14715-915/16915"/>
    <n v="1"/>
    <n v="125500"/>
    <s v="COTRANSCOPETROL SAS Y CTC SAS"/>
    <s v="MARYLUZ DUQUE GARCIA"/>
    <n v="12"/>
    <s v="DICIEMBRE"/>
  </r>
  <r>
    <n v="2025"/>
    <s v="29/12/2025"/>
    <s v="RM"/>
    <n v="21409"/>
    <x v="39"/>
    <s v="ARANDELA ESTRIADA PIÑÓN MONO 14715-14915"/>
    <n v="1"/>
    <n v="83200"/>
    <s v="COTRANSCOPETROL SAS Y CTC SAS"/>
    <s v="MARYLUZ DUQUE GARCIA"/>
    <n v="12"/>
    <s v="DICIEMBRE"/>
  </r>
  <r>
    <n v="2025"/>
    <s v="29/12/2025"/>
    <s v="RM"/>
    <n v="21409"/>
    <x v="40"/>
    <s v="SINCRONIZADOR (JGO X 5) TODAS PATA GRUES"/>
    <n v="1"/>
    <n v="313400"/>
    <s v="COTRANSCOPETROL SAS Y CTC SAS"/>
    <s v="MARYLUZ DUQUE GARCIA"/>
    <n v="12"/>
    <s v="DICIEMBRE"/>
  </r>
  <r>
    <n v="2025"/>
    <s v="29/12/2025"/>
    <s v="RM"/>
    <n v="21408"/>
    <x v="37"/>
    <s v="RODILLO TORRE MONO 14715/16915"/>
    <n v="4"/>
    <n v="223600"/>
    <s v="COTRANSCOPETROL SAS Y CTC SAS"/>
    <s v="MARYLUZ DUQUE GARCIA"/>
    <n v="12"/>
    <s v="DICIEMBRE"/>
  </r>
  <r>
    <n v="2025"/>
    <s v="29/12/2025"/>
    <s v="RM"/>
    <n v="21408"/>
    <x v="41"/>
    <s v="PIÑA TRIPLICADOR  14715-915/16915"/>
    <n v="1"/>
    <n v="125500"/>
    <s v="COTRANSCOPETROL SAS Y CTC SAS"/>
    <s v="MARYLUZ DUQUE GARCIA"/>
    <n v="12"/>
    <s v="DICIEMBRE"/>
  </r>
  <r>
    <n v="2025"/>
    <s v="29/12/2025"/>
    <s v="RM"/>
    <n v="21408"/>
    <x v="39"/>
    <s v="ARANDELA ESTRIADA PIÑÓN MONO 14715-14915"/>
    <n v="1"/>
    <n v="83200"/>
    <s v="COTRANSCOPETROL SAS Y CTC SAS"/>
    <s v="MARYLUZ DUQUE GARCIA"/>
    <n v="12"/>
    <s v="DICIEMBRE"/>
  </r>
  <r>
    <n v="2025"/>
    <s v="29/12/2025"/>
    <s v="RM"/>
    <n v="21408"/>
    <x v="42"/>
    <s v="ACOPLE PIÑON MONO 14715/915 8908LL"/>
    <n v="1"/>
    <n v="472000"/>
    <s v="COTRANSCOPETROL SAS Y CTC SAS"/>
    <s v="MARYLUZ DUQUE GARCIA"/>
    <n v="12"/>
    <s v="DICIEMBRE"/>
  </r>
  <r>
    <n v="2025"/>
    <s v="29/12/2025"/>
    <s v="RM"/>
    <n v="21408"/>
    <x v="85"/>
    <s v="EMPAQUE DE L TAPA 4302320 FR/FRO 918-915"/>
    <n v="2"/>
    <n v="30200"/>
    <s v="COTRANSCOPETROL SAS Y CTC SAS"/>
    <s v="MARYLUZ DUQUE GARCIA"/>
    <n v="12"/>
    <s v="DICIEMBRE"/>
  </r>
  <r>
    <n v="2025"/>
    <s v="29/12/2025"/>
    <s v="RM"/>
    <n v="21408"/>
    <x v="38"/>
    <s v="KIT EMPAQUES MONO 14715/16915/8908LL"/>
    <n v="1"/>
    <n v="37300"/>
    <s v="COTRANSCOPETROL SAS Y CTC SAS"/>
    <s v="MARYLUZ DUQUE GARCIA"/>
    <n v="12"/>
    <s v="DICIEMBRE"/>
  </r>
  <r>
    <n v="2025"/>
    <s v="29/12/2025"/>
    <s v="RM"/>
    <n v="21408"/>
    <x v="4"/>
    <s v="KIT RETEN MONO 14715/915/918 11210 (BRA)"/>
    <n v="1"/>
    <n v="97200"/>
    <s v="COTRANSCOPETROL SAS Y CTC SAS"/>
    <s v="MARYLUZ DUQUE GARCIA"/>
    <n v="12"/>
    <s v="DICIEMBRE"/>
  </r>
  <r>
    <n v="2025"/>
    <s v="29/12/2025"/>
    <s v="RM"/>
    <n v="21410"/>
    <x v="63"/>
    <s v="KIT BUJE Y PASADO (JGOX2)TODAS CON HUECO"/>
    <n v="3"/>
    <n v="105000"/>
    <s v="FL COLOMBIA S.A.S"/>
    <s v="FABIO DAVID FORERO RUIZ"/>
    <n v="12"/>
    <s v="DICIEMBRE"/>
  </r>
  <r>
    <n v="2025"/>
    <s v="29/12/2025"/>
    <s v="RM"/>
    <n v="21415"/>
    <x v="86"/>
    <s v="BOLSA DELANTERA BLUE BIRD"/>
    <n v="20"/>
    <n v="14900009"/>
    <s v="MECTRONICS S.A"/>
    <s v="MARYLUZ DUQUE GARCIA"/>
    <n v="12"/>
    <s v="DICIEMBRE"/>
  </r>
  <r>
    <n v="2025"/>
    <s v="30/12/2025"/>
    <s v="RM"/>
    <n v="21419"/>
    <x v="87"/>
    <s v="KIT EMBRA. 15X2 PRENSA 9 RESORTES"/>
    <n v="3"/>
    <n v="6450001.3200000003"/>
    <s v="MDR MUNDIAL DE REPUESTOS S.A.S"/>
    <s v="MARYLUZ DUQUE GARCIA"/>
    <n v="12"/>
    <s v="DICIEMBRE"/>
  </r>
  <r>
    <n v="2025"/>
    <s v="18/12/2025"/>
    <s v="RM"/>
    <n v="21352"/>
    <x v="58"/>
    <s v="RACHE AUTO CH CC 5 1/2&quot; TP3 1-1/2&quot;28E"/>
    <n v="5"/>
    <n v="1635000"/>
    <s v="MECTRONICS S.A"/>
    <s v="MARYLUZ DUQUE GARCIA"/>
    <n v="12"/>
    <s v="DICIEMBRE"/>
  </r>
  <r>
    <n v="2025"/>
    <s v="18/12/2025"/>
    <s v="RM"/>
    <n v="21350"/>
    <x v="58"/>
    <s v="RACHE AUTO CH CC 5 1/2&quot; TP3 1-1/2&quot;28E"/>
    <n v="5"/>
    <n v="1635000"/>
    <s v="MECTRONICS S.A"/>
    <s v="MARYLUZ DUQUE GARCIA"/>
    <n v="12"/>
    <s v="DICIEMBRE"/>
  </r>
  <r>
    <n v="2025"/>
    <s v="18/12/2025"/>
    <s v="RM"/>
    <n v="21350"/>
    <x v="54"/>
    <s v="KIT SOP. CARDAN KODIACK"/>
    <n v="5"/>
    <n v="850000"/>
    <s v="MECTRONICS S.A"/>
    <s v="MARYLUZ DUQUE GARCIA"/>
    <n v="12"/>
    <s v="DICIEMBRE"/>
  </r>
  <r>
    <n v="2025"/>
    <s v="18/12/2025"/>
    <s v="RM"/>
    <n v="21353"/>
    <x v="56"/>
    <s v="EMPAQUE EJE 9 1/2&quot;"/>
    <n v="5"/>
    <n v="60000"/>
    <s v="MECTRONICS S.A"/>
    <s v="MARYLUZ DUQUE GARCIA"/>
    <n v="12"/>
    <s v="DICIEMBRE"/>
  </r>
  <r>
    <n v="2025"/>
    <s v="18/12/2025"/>
    <s v="RM"/>
    <n v="21353"/>
    <x v="54"/>
    <s v="KIT SOP. CARDAN KODIACK"/>
    <n v="5"/>
    <n v="850000"/>
    <s v="MECTRONICS S.A"/>
    <s v="MARYLUZ DUQUE GARCIA"/>
    <n v="12"/>
    <s v="DICIEMBRE"/>
  </r>
  <r>
    <n v="2025"/>
    <s v="18/12/2025"/>
    <s v="RM"/>
    <n v="21353"/>
    <x v="88"/>
    <s v="RETENEDOR 23-240 / 145"/>
    <n v="5"/>
    <n v="750000"/>
    <s v="MECTRONICS S.A"/>
    <s v="MARYLUZ DUQUE GARCIA"/>
    <n v="12"/>
    <s v="DICIEMBRE"/>
  </r>
  <r>
    <n v="2025"/>
    <s v="18/12/2025"/>
    <s v="RM"/>
    <n v="21351"/>
    <x v="58"/>
    <s v="RACHE AUTO CH CC 5 1/2&quot; TP3 1-1/2&quot;28E"/>
    <n v="5"/>
    <n v="1635000"/>
    <s v="MECTRONICS S.A"/>
    <s v="MARYLUZ DUQUE GARCIA"/>
    <n v="12"/>
    <s v="DICIEMBRE"/>
  </r>
  <r>
    <n v="2025"/>
    <s v="18/12/2025"/>
    <s v="RM"/>
    <n v="21351"/>
    <x v="54"/>
    <s v="KIT SOP. CARDAN KODIACK"/>
    <n v="5"/>
    <n v="850000"/>
    <s v="MECTRONICS S.A"/>
    <s v="MARYLUZ DUQUE GARCIA"/>
    <n v="12"/>
    <s v="DICIEMBRE"/>
  </r>
  <r>
    <n v="2025"/>
    <s v="18/12/2025"/>
    <s v="RM"/>
    <n v="21351"/>
    <x v="56"/>
    <s v="EMPAQUE EJE 9 1/2&quot;"/>
    <n v="5"/>
    <n v="60000"/>
    <s v="MECTRONICS S.A"/>
    <s v="MARYLUZ DUQUE GARCIA"/>
    <n v="12"/>
    <s v="DICIEMBRE"/>
  </r>
  <r>
    <n v="2025"/>
    <s v="22/12/2025"/>
    <s v="RM"/>
    <n v="21364"/>
    <x v="89"/>
    <s v="VENTILADOR 32x2,5 x 11"/>
    <n v="1"/>
    <n v="340000"/>
    <s v="TRACTOCARGA SAS"/>
    <s v="MARYLUZ DUQUE GARCIA"/>
    <n v="12"/>
    <s v="DICIEMBRE"/>
  </r>
  <r>
    <n v="2025"/>
    <s v="18/12/2025"/>
    <s v="RM"/>
    <n v="21349"/>
    <x v="90"/>
    <s v="ACTUADOR, METERING (DOSIFICACION)"/>
    <n v="1"/>
    <n v="1956521"/>
    <s v="MARIA VICTORIA MANCIPE PARRA"/>
    <s v="CARLOS HERNAN SALGADO PINZON"/>
    <n v="12"/>
    <s v="DICIEMBRE"/>
  </r>
  <r>
    <n v="2025"/>
    <s v="30/12/2025"/>
    <s v="RM"/>
    <n v="21417"/>
    <x v="91"/>
    <s v="CAMISAS ROSADAS 150 CM SIN ANILLO ANTIPULIDO"/>
    <n v="12"/>
    <n v="3600000"/>
    <s v="TRACTOCARGA SAS"/>
    <s v="MARYLUZ DUQUE GARCIA"/>
    <n v="12"/>
    <s v="DICIEMBRE"/>
  </r>
  <r>
    <n v="2025"/>
    <s v="30/12/2025"/>
    <s v="RM"/>
    <n v="21417"/>
    <x v="92"/>
    <s v="KIT DE EMPAQUETADURA BOMBA INYECCION ISM Y N-14"/>
    <n v="4"/>
    <n v="1022564"/>
    <s v="TRACTOCARGA SAS"/>
    <s v="MARYLUZ DUQUE GARCIA"/>
    <n v="12"/>
    <s v="DICIEMBRE"/>
  </r>
  <r>
    <n v="2025"/>
    <s v="30/12/2025"/>
    <s v="RM"/>
    <n v="21417"/>
    <x v="93"/>
    <s v="CASQUETES BANCADA STD JGO + MEDIALUNAS 5406110 ISX"/>
    <n v="2"/>
    <n v="1680000"/>
    <s v="TRACTOCARGA SAS"/>
    <s v="MARYLUZ DUQUE GARCIA"/>
    <n v="12"/>
    <s v="DICIEMBRE"/>
  </r>
  <r>
    <n v="2025"/>
    <s v="22/12/2025"/>
    <s v="RM"/>
    <n v="21364"/>
    <x v="94"/>
    <s v="KIT REPARACION ADVANTAGE MANZ 2 1/2&quot; Y 5"/>
    <n v="1"/>
    <n v="1580000"/>
    <s v="TRACTOCARGA SAS"/>
    <s v="MARYLUZ DUQUE GARCIA"/>
    <n v="12"/>
    <s v="DICIEMBRE"/>
  </r>
  <r>
    <n v="2025"/>
    <s v="30/12/2025"/>
    <s v="RM"/>
    <n v="21420"/>
    <x v="95"/>
    <s v="BALINERA TENSOR CORREA KW E EAGLE"/>
    <n v="6"/>
    <n v="120000"/>
    <s v="FL COLOMBIA S.A.S"/>
    <s v="FABIO DAVID FORERO RUIZ"/>
    <n v="12"/>
    <s v="DICIEMBRE"/>
  </r>
  <r>
    <n v="2025"/>
    <s v="30/12/2025"/>
    <s v="RM"/>
    <n v="21420"/>
    <x v="96"/>
    <s v="BALINERA TRASERA EJE FAN CLUTCH BORGWARN"/>
    <n v="10"/>
    <n v="150000"/>
    <s v="FL COLOMBIA S.A.S"/>
    <s v="FABIO DAVID FORERO RUIZ"/>
    <n v="12"/>
    <s v="DICIEMBRE"/>
  </r>
  <r>
    <n v="2025"/>
    <s v="22/12/2025"/>
    <s v="RM"/>
    <n v="21365"/>
    <x v="97"/>
    <s v="TUERCA EJE DE SALIDA 46-170"/>
    <n v="2"/>
    <n v="76000"/>
    <s v="TRACTOCARGA SAS"/>
    <s v="MARYLUZ DUQUE GARCIA"/>
    <n v="12"/>
    <s v="DICIEMBRE"/>
  </r>
  <r>
    <n v="2025"/>
    <s v="22/12/2025"/>
    <s v="RM"/>
    <n v="21365"/>
    <x v="98"/>
    <s v="KIT PASADOR Y BUJES BARRA DE CAMBIOS"/>
    <n v="4"/>
    <n v="40000"/>
    <s v="TRACTOCARGA SAS"/>
    <s v="MARYLUZ DUQUE GARCIA"/>
    <n v="12"/>
    <s v="DICIEMBRE"/>
  </r>
  <r>
    <n v="2025"/>
    <s v="30/12/2025"/>
    <s v="RM"/>
    <n v="21422"/>
    <x v="99"/>
    <s v="CULAT P/COMPRESOR CUMMINS ISX 9111535100"/>
    <n v="4"/>
    <n v="1160000"/>
    <s v="TRACTOCARGA SAS"/>
    <s v="MARYLUZ DUQUE GARCIA"/>
    <n v="12"/>
    <s v="DICIEMBRE"/>
  </r>
  <r>
    <n v="2025"/>
    <s v="30/12/2025"/>
    <s v="RM"/>
    <n v="21425"/>
    <x v="100"/>
    <s v="ARANDELA AJUSTE SATELITE AGRALE MS-15 12"/>
    <n v="4"/>
    <n v="70400"/>
    <s v="EMPRESA DE TRANSPORTE INTEGRADO DE BOGOTA SAS"/>
    <s v="FABIO DAVID FORERO RUIZ"/>
    <n v="12"/>
    <s v="DICIEMBRE"/>
  </r>
  <r>
    <n v="2025"/>
    <s v="30/12/2025"/>
    <s v="RM"/>
    <n v="21424"/>
    <x v="101"/>
    <s v="KIT RODAMIENTO 16918"/>
    <n v="1"/>
    <n v="2235600"/>
    <s v="MDR MUNDIAL DE REPUESTOS S.A.S"/>
    <s v="MARYLUZ DUQUE GARCIA"/>
    <n v="12"/>
    <s v="DICIEMBRE"/>
  </r>
  <r>
    <n v="2025"/>
    <s v="22/12/2025"/>
    <s v="RM"/>
    <n v="21367"/>
    <x v="102"/>
    <s v="DIFERENCIAL COMPLETO RS-145"/>
    <n v="1"/>
    <n v="12920000"/>
    <s v="MECTRONICS S.A"/>
    <s v="MARYLUZ DUQUE GARCIA"/>
    <n v="12"/>
    <s v="DICIEMBRE"/>
  </r>
  <r>
    <n v="2025"/>
    <s v="22/12/2025"/>
    <s v="RM"/>
    <n v="21366"/>
    <x v="103"/>
    <s v="EMPAQUE COMPRESOR ISX"/>
    <n v="4"/>
    <n v="158240"/>
    <s v="TRACTOCARGA SAS"/>
    <s v="MARYLUZ DUQUE GARCIA"/>
    <n v="12"/>
    <s v="DICIEMBRE"/>
  </r>
  <r>
    <n v="2025"/>
    <s v="22/12/2025"/>
    <s v="RM"/>
    <n v="21362"/>
    <x v="104"/>
    <s v="BOLSA SILLA CZ TODAS INTER"/>
    <n v="2"/>
    <n v="360000"/>
    <s v="TRACTOCARGA SAS"/>
    <s v="MARYLUZ DUQUE GARCIA"/>
    <n v="12"/>
    <s v="DICIEMBRE"/>
  </r>
  <r>
    <n v="2025"/>
    <s v="22/12/2025"/>
    <s v="RM"/>
    <n v="21361"/>
    <x v="53"/>
    <s v="EMPAQ. REPARA MAYOR SIS HIDRAU/ RET EAGL"/>
    <n v="2"/>
    <n v="836000"/>
    <s v="TRACTOCARGA SAS"/>
    <s v="MARYLUZ DUQUE GARCIA"/>
    <n v="12"/>
    <s v="DICIEMBRE"/>
  </r>
  <r>
    <n v="2025"/>
    <s v="22/12/2025"/>
    <s v="RM"/>
    <n v="21361"/>
    <x v="105"/>
    <s v="SPLINDER 14600 LB BUJE PLAS 9,06&quot; x 1,87"/>
    <n v="1"/>
    <n v="710000"/>
    <s v="TRACTOCARGA SAS"/>
    <s v="MARYLUZ DUQUE GARCIA"/>
    <n v="12"/>
    <s v="DICIEMBRE"/>
  </r>
  <r>
    <n v="2025"/>
    <s v="22/12/2025"/>
    <s v="RM"/>
    <n v="21368"/>
    <x v="102"/>
    <s v="DIFERENCIAL COMPLETO RS-145"/>
    <n v="2"/>
    <n v="25840000"/>
    <s v="MECTRONICS S.A"/>
    <s v="MARYLUZ DUQUE GARCIA"/>
    <n v="12"/>
    <s v="DICIEMBRE"/>
  </r>
  <r>
    <n v="2026"/>
    <s v="06/01/2026"/>
    <s v="RM"/>
    <n v="21433"/>
    <x v="106"/>
    <s v="PIÑON 4TA TREN FIJO 4205"/>
    <n v="1"/>
    <n v="326000"/>
    <s v="EMPRESA DE TRANSPORTE INTEGRADO DE BOGOTA SAS"/>
    <s v="DANNY ENRIQUE PACHON ROCHA"/>
    <n v="1"/>
    <s v="ENERO"/>
  </r>
  <r>
    <n v="2026"/>
    <s v="07/01/2026"/>
    <s v="RM"/>
    <n v="21435"/>
    <x v="107"/>
    <s v="KIT DISCO COMPAC FRENO INERCIA FO-16E318"/>
    <n v="1"/>
    <n v="1400000"/>
    <s v="RH GROUP S.A.S"/>
    <s v="DANNY ENRIQUE PACHON ROCHA"/>
    <n v="1"/>
    <s v="ENERO"/>
  </r>
  <r>
    <n v="2026"/>
    <s v="07/01/2026"/>
    <s v="RM"/>
    <n v="21434"/>
    <x v="108"/>
    <s v="SET ROD Y PISTA INT EJE TOMA/31594-31520"/>
    <n v="1"/>
    <n v="122000"/>
    <s v="FL COLOMBIA S.A.S"/>
    <s v="DANNY ENRIQUE PACHON ROCHA"/>
    <n v="1"/>
    <s v="ENERO"/>
  </r>
  <r>
    <n v="2026"/>
    <s v="07/01/2026"/>
    <s v="RM"/>
    <n v="21434"/>
    <x v="109"/>
    <s v="EJE CORREDI FS6406A/FSB6406A/FS5406N 38E"/>
    <n v="1"/>
    <n v="1158000"/>
    <s v="FL COLOMBIA S.A.S"/>
    <s v="DANNY ENRIQUE PACHON ROCHA"/>
    <n v="1"/>
    <s v="ENERO"/>
  </r>
  <r>
    <n v="2026"/>
    <s v="07/01/2026"/>
    <s v="RM"/>
    <n v="21436"/>
    <x v="54"/>
    <s v="KIT SOP. CARDAN KODIACK"/>
    <n v="5"/>
    <n v="850000"/>
    <s v="MECTRONICS S.A"/>
    <s v="MARYLUZ DUQUE GARCIA"/>
    <n v="1"/>
    <s v="ENERO"/>
  </r>
  <r>
    <n v="2026"/>
    <s v="07/01/2026"/>
    <s v="RM"/>
    <n v="21436"/>
    <x v="88"/>
    <s v="RETENEDOR 23-240 / 145"/>
    <n v="10"/>
    <n v="1500000"/>
    <s v="MECTRONICS S.A"/>
    <s v="MARYLUZ DUQUE GARCIA"/>
    <n v="1"/>
    <s v="ENERO"/>
  </r>
  <r>
    <n v="2026"/>
    <s v="07/01/2026"/>
    <s v="RM"/>
    <n v="21436"/>
    <x v="56"/>
    <s v="EMPAQUE EJE 9 1/2&quot;"/>
    <n v="5"/>
    <n v="60000"/>
    <s v="MECTRONICS S.A"/>
    <s v="MARYLUZ DUQUE GARCIA"/>
    <n v="1"/>
    <s v="ENERO"/>
  </r>
  <r>
    <n v="2026"/>
    <s v="02/01/2026"/>
    <s v="RM"/>
    <n v="21429"/>
    <x v="58"/>
    <s v="RACHE AUTO CH CC 5 1/2&quot; TP3 1-1/2&quot;28E"/>
    <n v="4"/>
    <n v="1308000"/>
    <s v="MECTRONICS S.A"/>
    <s v="MARYLUZ DUQUE GARCIA"/>
    <n v="1"/>
    <s v="ENERO"/>
  </r>
  <r>
    <n v="2026"/>
    <s v="02/01/2026"/>
    <s v="RM"/>
    <n v="21429"/>
    <x v="54"/>
    <s v="KIT SOP. CARDAN KODIACK"/>
    <n v="5"/>
    <n v="850000"/>
    <s v="MECTRONICS S.A"/>
    <s v="MARYLUZ DUQUE GARCIA"/>
    <n v="1"/>
    <s v="ENERO"/>
  </r>
  <r>
    <n v="2026"/>
    <s v="02/01/2026"/>
    <s v="RM"/>
    <n v="21429"/>
    <x v="56"/>
    <s v="EMPAQUE EJE 9 1/2&quot;"/>
    <n v="5"/>
    <n v="60000"/>
    <s v="MECTRONICS S.A"/>
    <s v="MARYLUZ DUQUE GARCIA"/>
    <n v="1"/>
    <s v="ENERO"/>
  </r>
  <r>
    <n v="2026"/>
    <s v="08/01/2026"/>
    <s v="RM"/>
    <n v="21437"/>
    <x v="110"/>
    <s v="BLOQUE TRAILER (CON SOBRE MEDIDA .86 MILESIMAS DE PULGADA MAS GRUESO) PARA ROMARCO CAMPANA DIAM &quot;16.5 x 8&quot; ANCHO"/>
    <n v="2"/>
    <n v="372000"/>
    <s v="RH GROUP S.A.S"/>
    <s v="FABIO DAVID FORERO RUIZ"/>
    <n v="1"/>
    <s v="ENERO"/>
  </r>
  <r>
    <n v="2026"/>
    <s v="08/01/2026"/>
    <s v="RM"/>
    <n v="21438"/>
    <x v="111"/>
    <s v="CASQUETE BANCADA STD CON MEDIA LUNAS ISX"/>
    <n v="1"/>
    <n v="636000"/>
    <s v="RH GROUP S.A.S"/>
    <s v="FABIO DAVID FORERO RUIZ"/>
    <n v="1"/>
    <s v="ENERO"/>
  </r>
  <r>
    <n v="2026"/>
    <s v="08/01/2026"/>
    <s v="RM"/>
    <n v="21438"/>
    <x v="112"/>
    <s v="SENSOR PRESION TEMP ACEITE MOTOR ISX"/>
    <n v="1"/>
    <n v="360000"/>
    <s v="RH GROUP S.A.S"/>
    <s v="FABIO DAVID FORERO RUIZ"/>
    <n v="1"/>
    <s v="ENERO"/>
  </r>
  <r>
    <n v="2026"/>
    <s v="08/01/2026"/>
    <s v="RM"/>
    <n v="21440"/>
    <x v="113"/>
    <s v="CORREA ACANALADA POLY-V (REMPLAZO CORREA AUXILIAR) PARA  MOTOR CUMMINS ISX, KW  Y VOLVO SERIES VN 2003-13 / VOLVO SERIE VT 2006-10"/>
    <n v="2"/>
    <n v="174000"/>
    <s v="RH GROUP S.A.S"/>
    <s v="FABIO DAVID FORERO RUIZ"/>
    <n v="1"/>
    <s v="ENERO"/>
  </r>
  <r>
    <n v="2026"/>
    <s v="08/01/2026"/>
    <s v="RM"/>
    <n v="21440"/>
    <x v="114"/>
    <s v="CORREA ACANALADA POLY-PRINCIPAL PARA EAGLE VENT. - ALT. INTERNATIONAL EAGLE 9400 MOTOR CUMMINS ISX 15.0, VENT. - ALT.  INTERNATIONAL 9200 MOTOR CUMMINS ISX 15.0 MOD.05-09, VENT. - ALT. KENWORTH  W900 MOTOR CUMMINS ISX 15.0 MOD.08-0"/>
    <n v="3"/>
    <n v="384000"/>
    <s v="RH GROUP S.A.S"/>
    <s v="FABIO DAVID FORERO RUIZ"/>
    <n v="1"/>
    <s v="ENERO"/>
  </r>
  <r>
    <n v="2026"/>
    <s v="08/01/2026"/>
    <s v="RM"/>
    <n v="21442"/>
    <x v="23"/>
    <s v="FAN CLUTCH KLONDIKE K32 (ALIMENTACIÓN DE AIRE POR DELANTE)"/>
    <n v="1"/>
    <n v="1811667"/>
    <s v="MARIA VICTORIA MANCIPE PARRA"/>
    <s v="LUIS FERNANDO CANGREJO BAQUERO"/>
    <n v="1"/>
    <s v="ENERO"/>
  </r>
  <r>
    <n v="2026"/>
    <s v="08/01/2026"/>
    <s v="RM"/>
    <n v="21442"/>
    <x v="24"/>
    <s v="KIT DE REPARACION KY K26FA X 5 PI"/>
    <n v="1"/>
    <n v="486132"/>
    <s v="MARIA VICTORIA MANCIPE PARRA"/>
    <s v="LUIS FERNANDO CANGREJO BAQUERO"/>
    <n v="1"/>
    <s v="ENERO"/>
  </r>
  <r>
    <n v="2026"/>
    <s v="08/01/2026"/>
    <s v="RM"/>
    <n v="21442"/>
    <x v="115"/>
    <s v="KIT REPARACIÓN SOLO ORINGS Fan clutch Klondike K32 Piloto Dual (alimentación delantera)"/>
    <n v="1"/>
    <n v="336842"/>
    <s v="MARIA VICTORIA MANCIPE PARRA"/>
    <s v="LUIS FERNANDO CANGREJO BAQUERO"/>
    <n v="1"/>
    <s v="ENERO"/>
  </r>
  <r>
    <n v="2026"/>
    <s v="08/01/2026"/>
    <s v="RM"/>
    <n v="21442"/>
    <x v="116"/>
    <s v="KIT DE REPARACION KLONDIKE K26RA -K26 Y K30  K32 Y K32 ENTRADA DE AIRE POR ATRÁS // ASBESTO + TORNILLOS (=40600-02 FIBRA)"/>
    <n v="1"/>
    <n v="350000"/>
    <s v="MARIA VICTORIA MANCIPE PARRA"/>
    <s v="LUIS FERNANDO CANGREJO BAQUERO"/>
    <n v="1"/>
    <s v="ENERO"/>
  </r>
  <r>
    <n v="2026"/>
    <s v="05/01/2026"/>
    <s v="RM"/>
    <n v="21432"/>
    <x v="107"/>
    <s v="KIT DISCO COMPAC FRENO INERCIA FO-16E318"/>
    <n v="1"/>
    <n v="1400000"/>
    <s v="RH GROUP S.A.S"/>
    <s v="DANNY ENRIQUE PACHON ROCHA"/>
    <n v="1"/>
    <s v="ENERO"/>
  </r>
  <r>
    <n v="2026"/>
    <s v="08/01/2026"/>
    <s v="RM"/>
    <n v="21444"/>
    <x v="117"/>
    <s v="AISLANTE INFERIOR POLIURETANO"/>
    <n v="6"/>
    <n v="1919154"/>
    <s v="SURTIREPUESTOS Y SERVICIOS DIESEL SAS"/>
    <s v="LUIS FERNANDO CANGREJO BAQUERO"/>
    <n v="1"/>
    <s v="ENERO"/>
  </r>
  <r>
    <n v="2026"/>
    <s v="08/01/2026"/>
    <s v="RM"/>
    <n v="21443"/>
    <x v="118"/>
    <s v="KIT RODAMIENTOS PARA DIFERENCIAL PLANA TRASERA 46,000 LBS"/>
    <n v="1"/>
    <n v="1657300"/>
    <s v="TRACTOCARGA SAS"/>
    <s v="MARYLUZ DUQUE GARCIA"/>
    <n v="1"/>
    <s v="ENERO"/>
  </r>
  <r>
    <n v="2026"/>
    <s v="08/01/2026"/>
    <s v="RM"/>
    <n v="21443"/>
    <x v="119"/>
    <s v="RETEN SPEED 46.000 LBS C/ Y SIN BAJO"/>
    <n v="1"/>
    <n v="120000"/>
    <s v="TRACTOCARGA SAS"/>
    <s v="MARYLUZ DUQUE GARCIA"/>
    <n v="1"/>
    <s v="ENERO"/>
  </r>
  <r>
    <n v="2026"/>
    <s v="08/01/2026"/>
    <s v="RM"/>
    <n v="21443"/>
    <x v="120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121"/>
    <s v="ARANDELA SATÈLITE ESC 46 LBS PLANA"/>
    <n v="4"/>
    <n v="68000"/>
    <s v="TRACTOCARGA SAS"/>
    <s v="MARYLUZ DUQUE GARCIA"/>
    <n v="1"/>
    <s v="ENERO"/>
  </r>
  <r>
    <n v="2026"/>
    <s v="08/01/2026"/>
    <s v="RM"/>
    <n v="21443"/>
    <x v="122"/>
    <s v="KIT RODAMIENTOS PARA DIFERENCIAL PLANA DELANTERA 46,000 LBS"/>
    <n v="1"/>
    <n v="2118000"/>
    <s v="TRACTOCARGA SAS"/>
    <s v="MARYLUZ DUQUE GARCIA"/>
    <n v="1"/>
    <s v="ENERO"/>
  </r>
  <r>
    <n v="2026"/>
    <s v="08/01/2026"/>
    <s v="RM"/>
    <n v="21443"/>
    <x v="123"/>
    <s v="RETEN EJE DIVISOR 46ML C/BAJO Y PLANO"/>
    <n v="1"/>
    <n v="122000"/>
    <s v="TRACTOCARGA SAS"/>
    <s v="MARYLUZ DUQUE GARCIA"/>
    <n v="1"/>
    <s v="ENERO"/>
  </r>
  <r>
    <n v="2026"/>
    <s v="08/01/2026"/>
    <s v="RM"/>
    <n v="21443"/>
    <x v="120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121"/>
    <s v="ARANDELA SATÈLITE ESC 46 LBS PLANA"/>
    <n v="4"/>
    <n v="68000"/>
    <s v="TRACTOCARGA SAS"/>
    <s v="MARYLUZ DUQUE GARCIA"/>
    <n v="1"/>
    <s v="ENERO"/>
  </r>
  <r>
    <n v="2026"/>
    <s v="08/01/2026"/>
    <s v="RM"/>
    <n v="21445"/>
    <x v="124"/>
    <s v="PIÑON DE 4TA  COR 19T FS4205A-B-C"/>
    <n v="1"/>
    <n v="367000"/>
    <s v="EMPRESA DE TRANSPORTE INTEGRADO DE BOGOTA SAS"/>
    <s v="FABIO DAVID FORERO RUIZ"/>
    <n v="1"/>
    <s v="ENERO"/>
  </r>
  <r>
    <n v="2026"/>
    <s v="09/01/2026"/>
    <s v="RM"/>
    <n v="21446"/>
    <x v="125"/>
    <s v="PIÑA CDIZO"/>
    <n v="2"/>
    <n v="200000"/>
    <s v="FL COLOMBIA S.A.S"/>
    <s v="FABIO DAVID FORERO RUIZ"/>
    <n v="1"/>
    <s v="ENERO"/>
  </r>
  <r>
    <n v="2026"/>
    <s v="09/01/2026"/>
    <s v="RM"/>
    <n v="21448"/>
    <x v="126"/>
    <s v="RETEN EJE DE TOMA FS4205A/FS6406A"/>
    <n v="2"/>
    <n v="44000"/>
    <s v="FL COLOMBIA S.A.S"/>
    <s v="FABIO DAVID FORERO RUIZ"/>
    <n v="1"/>
    <s v="ENERO"/>
  </r>
  <r>
    <n v="2026"/>
    <s v="09/01/2026"/>
    <s v="RM"/>
    <n v="21449"/>
    <x v="126"/>
    <s v="RETEN EJE DE TOMA FS4205A/FS6406A"/>
    <n v="1"/>
    <n v="22000"/>
    <s v="FL COLOMBIA S.A.S"/>
    <s v="FABIO DAVID FORERO RUIZ"/>
    <n v="1"/>
    <s v="ENERO"/>
  </r>
  <r>
    <n v="2026"/>
    <s v="09/01/2026"/>
    <s v="RM"/>
    <n v="21450"/>
    <x v="127"/>
    <s v="KIT FAN CLUTCH TIPO KYSOR K32-S JGX7"/>
    <n v="2"/>
    <n v="920000"/>
    <s v="FL COLOMBIA S.A.S"/>
    <s v="FABIO DAVID FORERO RUIZ"/>
    <n v="1"/>
    <s v="ENERO"/>
  </r>
  <r>
    <n v="2026"/>
    <s v="09/01/2026"/>
    <s v="RM"/>
    <n v="21451"/>
    <x v="128"/>
    <s v="CRUCETA 19.5CM SERIE 1810 PAREJA"/>
    <n v="1"/>
    <n v="410000"/>
    <s v="KENWORTH DE LA MONTAÑA SAS"/>
    <s v="MARYLUZ DUQUE GARCIA"/>
    <n v="1"/>
    <s v="ENERO"/>
  </r>
  <r>
    <n v="2026"/>
    <s v="09/01/2026"/>
    <s v="RM"/>
    <n v="21451"/>
    <x v="129"/>
    <s v="PIÑON DEL BAJO FO-16E318B-MXP"/>
    <n v="1"/>
    <n v="289898"/>
    <s v="KENWORTH DE LA MONTAÑA SAS"/>
    <s v="MARYLUZ DUQUE GARCIA"/>
    <n v="1"/>
    <s v="ENERO"/>
  </r>
  <r>
    <n v="2026"/>
    <s v="09/01/2026"/>
    <s v="RM"/>
    <n v="21451"/>
    <x v="130"/>
    <s v="ENFRIADOR ACEITE"/>
    <n v="1"/>
    <n v="800000"/>
    <s v="KENWORTH DE LA MONTAÑA SAS"/>
    <s v="MARYLUZ DUQUE GARCIA"/>
    <n v="1"/>
    <s v="ENERO"/>
  </r>
  <r>
    <n v="2026"/>
    <s v="09/01/2026"/>
    <s v="RM"/>
    <n v="21451"/>
    <x v="131"/>
    <s v="KIT EMBRAGUE"/>
    <n v="1"/>
    <n v="3206731.77"/>
    <s v="KENWORTH DE LA MONTAÑA SAS"/>
    <s v="MARYLUZ DUQUE GARCIA"/>
    <n v="1"/>
    <s v="ENERO"/>
  </r>
  <r>
    <n v="2026"/>
    <s v="09/01/2026"/>
    <s v="RM"/>
    <n v="21451"/>
    <x v="132"/>
    <s v="ARANDELA EST.INT CDIZO  14/16918"/>
    <n v="1"/>
    <n v="42775"/>
    <s v="KENWORTH DE LA MONTAÑA SAS"/>
    <s v="MARYLUZ DUQUE GARCIA"/>
    <n v="1"/>
    <s v="ENERO"/>
  </r>
  <r>
    <n v="2026"/>
    <s v="09/01/2026"/>
    <s v="RM"/>
    <n v="21451"/>
    <x v="133"/>
    <s v="PIÑA CDIZO 14/16"/>
    <n v="1"/>
    <n v="83775"/>
    <s v="KENWORTH DE LA MONTAÑA SAS"/>
    <s v="MARYLUZ DUQUE GARCIA"/>
    <n v="1"/>
    <s v="ENERO"/>
  </r>
  <r>
    <n v="2026"/>
    <s v="09/01/2026"/>
    <s v="RM"/>
    <n v="21451"/>
    <x v="134"/>
    <s v="SEPARADOR EJE DE TOMA 14715/16918"/>
    <n v="1"/>
    <n v="88313"/>
    <s v="KENWORTH DE LA MONTAÑA SAS"/>
    <s v="MARYLUZ DUQUE GARCIA"/>
    <n v="1"/>
    <s v="ENERO"/>
  </r>
  <r>
    <n v="2026"/>
    <s v="09/01/2026"/>
    <s v="RM"/>
    <n v="21451"/>
    <x v="135"/>
    <s v="ARANDELA EST INT CDIZO RT/RTLO TODAS"/>
    <n v="2"/>
    <n v="61326"/>
    <s v="KENWORTH DE LA MONTAÑA SAS"/>
    <s v="MARYLUZ DUQUE GARCIA"/>
    <n v="1"/>
    <s v="ENERO"/>
  </r>
  <r>
    <n v="2026"/>
    <s v="09/01/2026"/>
    <s v="RM"/>
    <n v="21451"/>
    <x v="2"/>
    <s v="KIT EMPAQUES MONO 14918/16"/>
    <n v="1"/>
    <n v="59070"/>
    <s v="KENWORTH DE LA MONTAÑA SAS"/>
    <s v="MARYLUZ DUQUE GARCIA"/>
    <n v="1"/>
    <s v="ENERO"/>
  </r>
  <r>
    <n v="2026"/>
    <s v="09/01/2026"/>
    <s v="RM"/>
    <n v="21451"/>
    <x v="34"/>
    <s v="SENSOR DE VELOCIDAD KENWORTH 2 PATAS"/>
    <n v="1"/>
    <n v="156998.35"/>
    <s v="KENWORTH DE LA MONTAÑA SAS"/>
    <s v="MARYLUZ DUQUE GARCIA"/>
    <n v="1"/>
    <s v="ENERO"/>
  </r>
  <r>
    <n v="2026"/>
    <s v="09/01/2026"/>
    <s v="RM"/>
    <n v="21451"/>
    <x v="136"/>
    <s v="KIT SENSOR VELOCIDAD CLUTCH AUTOMATIZADA"/>
    <n v="2"/>
    <n v="360000"/>
    <s v="KENWORTH DE LA MONTAÑA SAS"/>
    <s v="MARYLUZ DUQUE GARCIA"/>
    <n v="1"/>
    <s v="ENERO"/>
  </r>
  <r>
    <n v="2026"/>
    <s v="09/01/2026"/>
    <s v="RM"/>
    <n v="21451"/>
    <x v="137"/>
    <s v="PIÑON CENTRAL"/>
    <n v="2"/>
    <n v="936326"/>
    <s v="KENWORTH DE LA MONTAÑA SAS"/>
    <s v="MARYLUZ DUQUE GARCIA"/>
    <n v="1"/>
    <s v="ENERO"/>
  </r>
  <r>
    <n v="2026"/>
    <s v="09/01/2026"/>
    <s v="RM"/>
    <n v="21451"/>
    <x v="138"/>
    <s v="KIT RODAMIENTO FO-16E318-MXP"/>
    <n v="1"/>
    <n v="2200000"/>
    <s v="KENWORTH DE LA MONTAÑA SAS"/>
    <s v="MARYLUZ DUQUE GARCIA"/>
    <n v="1"/>
    <s v="ENERO"/>
  </r>
  <r>
    <n v="2026"/>
    <s v="09/01/2026"/>
    <s v="RM"/>
    <n v="21451"/>
    <x v="139"/>
    <s v="KIT ACTUADOR ELECT CLUCTH FO-16E3 ECA"/>
    <n v="1"/>
    <n v="1450000"/>
    <s v="KENWORTH DE LA MONTAÑA SAS"/>
    <s v="MARYLUZ DUQUE GARCIA"/>
    <n v="1"/>
    <s v="ENERO"/>
  </r>
  <r>
    <n v="2026"/>
    <s v="09/01/2026"/>
    <s v="RM"/>
    <n v="21451"/>
    <x v="140"/>
    <s v="TORRE MONO  14/1618/918"/>
    <n v="1"/>
    <n v="1120230"/>
    <s v="KENWORTH DE LA MONTAÑA SAS"/>
    <s v="MARYLUZ DUQUE GARCIA"/>
    <n v="1"/>
    <s v="ENERO"/>
  </r>
  <r>
    <n v="2026"/>
    <s v="09/01/2026"/>
    <s v="RM"/>
    <n v="21451"/>
    <x v="87"/>
    <s v="KIT EMBRA. 15X2 PRENSA 9 RESORTES"/>
    <n v="1"/>
    <n v="2500000"/>
    <s v="KENWORTH DE LA MONTAÑA SAS"/>
    <s v="MARYLUZ DUQUE GARCIA"/>
    <n v="1"/>
    <s v="ENERO"/>
  </r>
  <r>
    <n v="2026"/>
    <s v="09/01/2026"/>
    <s v="RM"/>
    <n v="21451"/>
    <x v="4"/>
    <s v="KIT RETEN MONO 14715/915/918 11210 (BRA)"/>
    <n v="1"/>
    <n v="99000"/>
    <s v="KENWORTH DE LA MONTAÑA SAS"/>
    <s v="MARYLUZ DUQUE GARCIA"/>
    <n v="1"/>
    <s v="ENERO"/>
  </r>
  <r>
    <n v="2026"/>
    <s v="09/01/2026"/>
    <s v="RM"/>
    <n v="21451"/>
    <x v="80"/>
    <s v="PIÑON EJE DE TOMA 16918"/>
    <n v="1"/>
    <n v="438900"/>
    <s v="KENWORTH DE LA MONTAÑA SAS"/>
    <s v="MARYLUZ DUQUE GARCIA"/>
    <n v="1"/>
    <s v="ENERO"/>
  </r>
  <r>
    <n v="2026"/>
    <s v="09/01/2026"/>
    <s v="RM"/>
    <n v="21451"/>
    <x v="141"/>
    <s v="O'RING EJE TOMA TODAS"/>
    <n v="1"/>
    <n v="4615"/>
    <s v="KENWORTH DE LA MONTAÑA SAS"/>
    <s v="MARYLUZ DUQUE GARCIA"/>
    <n v="1"/>
    <s v="ENERO"/>
  </r>
  <r>
    <n v="2026"/>
    <s v="09/01/2026"/>
    <s v="RM"/>
    <n v="21451"/>
    <x v="142"/>
    <s v="ARANDELA EST.INT DEL K-2808"/>
    <n v="1"/>
    <n v="29904"/>
    <s v="KENWORTH DE LA MONTAÑA SAS"/>
    <s v="MARYLUZ DUQUE GARCIA"/>
    <n v="1"/>
    <s v="ENERO"/>
  </r>
  <r>
    <n v="2026"/>
    <s v="09/01/2026"/>
    <s v="RM"/>
    <n v="21451"/>
    <x v="143"/>
    <s v="TUBO CACHO LUBRICACION LARGO"/>
    <n v="1"/>
    <n v="80000"/>
    <s v="KENWORTH DE LA MONTAÑA SAS"/>
    <s v="MARYLUZ DUQUE GARCIA"/>
    <n v="1"/>
    <s v="ENERO"/>
  </r>
  <r>
    <n v="2026"/>
    <s v="09/01/2026"/>
    <s v="RM"/>
    <n v="21451"/>
    <x v="144"/>
    <s v="DESFOGUE TAPA 16915-16918"/>
    <n v="2"/>
    <n v="56377.68"/>
    <s v="KENWORTH DE LA MONTAÑA SAS"/>
    <s v="MARYLUZ DUQUE GARCIA"/>
    <n v="1"/>
    <s v="ENERO"/>
  </r>
  <r>
    <n v="2026"/>
    <s v="09/01/2026"/>
    <s v="RM"/>
    <n v="21451"/>
    <x v="145"/>
    <s v="RODILLO TREN FIJO PARTE TRAS - TODAS 18"/>
    <n v="1"/>
    <n v="82761"/>
    <s v="KENWORTH DE LA MONTAÑA SAS"/>
    <s v="MARYLUZ DUQUE GARCIA"/>
    <n v="1"/>
    <s v="ENERO"/>
  </r>
  <r>
    <n v="2026"/>
    <s v="09/01/2026"/>
    <s v="RM"/>
    <n v="21451"/>
    <x v="28"/>
    <s v="PIÑA DEL BAJO FO-16E318B-MXP"/>
    <n v="1"/>
    <n v="172857"/>
    <s v="KENWORTH DE LA MONTAÑA SAS"/>
    <s v="MARYLUZ DUQUE GARCIA"/>
    <n v="1"/>
    <s v="ENERO"/>
  </r>
  <r>
    <n v="2026"/>
    <s v="09/01/2026"/>
    <s v="RM"/>
    <n v="21451"/>
    <x v="146"/>
    <s v="RETENEDOR SPEED 177E CHINA"/>
    <n v="2"/>
    <n v="360000"/>
    <s v="KENWORTH DE LA MONTAÑA SAS"/>
    <s v="MARYLUZ DUQUE GARCIA"/>
    <n v="1"/>
    <s v="ENERO"/>
  </r>
  <r>
    <n v="2026"/>
    <s v="09/01/2026"/>
    <s v="RM"/>
    <n v="21451"/>
    <x v="147"/>
    <s v="ENFRIADOR DE ACEITE FO-16E318B-MXP"/>
    <n v="1"/>
    <n v="1607871"/>
    <s v="KENWORTH DE LA MONTAÑA SAS"/>
    <s v="MARYLUZ DUQUE GARCIA"/>
    <n v="1"/>
    <s v="ENERO"/>
  </r>
  <r>
    <n v="2026"/>
    <s v="09/01/2026"/>
    <s v="RM"/>
    <n v="21451"/>
    <x v="148"/>
    <s v="TORRE MONO RT/RTO-14915/16"/>
    <n v="1"/>
    <n v="1701100"/>
    <s v="KENWORTH DE LA MONTAÑA SAS"/>
    <s v="MARYLUZ DUQUE GARCIA"/>
    <n v="1"/>
    <s v="ENERO"/>
  </r>
  <r>
    <n v="2026"/>
    <s v="09/01/2026"/>
    <s v="RM"/>
    <n v="21451"/>
    <x v="149"/>
    <s v="KIT RODAMIENTO TRASERO 46160 PAREJO"/>
    <n v="1"/>
    <n v="935714"/>
    <s v="KENWORTH DE LA MONTAÑA SAS"/>
    <s v="MARYLUZ DUQUE GARCIA"/>
    <n v="1"/>
    <s v="ENERO"/>
  </r>
  <r>
    <n v="2026"/>
    <s v="09/01/2026"/>
    <s v="RM"/>
    <n v="21451"/>
    <x v="150"/>
    <s v="KIT RODAMIENTO FR/FRO 9210B"/>
    <n v="1"/>
    <n v="1962100.84"/>
    <s v="KENWORTH DE LA MONTAÑA SAS"/>
    <s v="MARYLUZ DUQUE GARCIA"/>
    <n v="1"/>
    <s v="ENERO"/>
  </r>
  <r>
    <n v="2026"/>
    <s v="09/01/2026"/>
    <s v="RM"/>
    <n v="21451"/>
    <x v="107"/>
    <s v="KIT DISCO COMPAC FRENO INERCIA FO-16E318"/>
    <n v="1"/>
    <n v="1600000"/>
    <s v="KENWORTH DE LA MONTAÑA SAS"/>
    <s v="MARYLUZ DUQUE GARCIA"/>
    <n v="1"/>
    <s v="ENERO"/>
  </r>
  <r>
    <n v="2026"/>
    <s v="09/01/2026"/>
    <s v="RM"/>
    <n v="21451"/>
    <x v="151"/>
    <s v="PIÑÓN MONO TODAS 18 CAMBIOS"/>
    <n v="1"/>
    <n v="632943.9"/>
    <s v="KENWORTH DE LA MONTAÑA SAS"/>
    <s v="MARYLUZ DUQUE GARCIA"/>
    <n v="1"/>
    <s v="ENERO"/>
  </r>
  <r>
    <n v="2026"/>
    <s v="09/01/2026"/>
    <s v="RM"/>
    <n v="21451"/>
    <x v="152"/>
    <s v="KIT BOMBA ACEITE CAJA JGOX3 14718/918/16"/>
    <n v="1"/>
    <n v="329414.40000000002"/>
    <s v="KENWORTH DE LA MONTAÑA SAS"/>
    <s v="MARYLUZ DUQUE GARCIA"/>
    <n v="1"/>
    <s v="ENERO"/>
  </r>
  <r>
    <n v="2026"/>
    <s v="09/01/2026"/>
    <s v="RM"/>
    <n v="21451"/>
    <x v="153"/>
    <s v="KIT MÓDULO ELECT DE KJA T.E.C.U. COMPU"/>
    <n v="1"/>
    <n v="5427135.9000000004"/>
    <s v="KENWORTH DE LA MONTAÑA SAS"/>
    <s v="MARYLUZ DUQUE GARCIA"/>
    <n v="1"/>
    <s v="ENERO"/>
  </r>
  <r>
    <n v="2026"/>
    <s v="09/01/2026"/>
    <s v="RM"/>
    <n v="21451"/>
    <x v="133"/>
    <s v="PIÑA CDIZO 14/16"/>
    <n v="1"/>
    <n v="74340"/>
    <s v="KENWORTH DE LA MONTAÑA SAS"/>
    <s v="MARYLUZ DUQUE GARCIA"/>
    <n v="1"/>
    <s v="ENERO"/>
  </r>
  <r>
    <n v="2026"/>
    <s v="09/01/2026"/>
    <s v="RM"/>
    <n v="21451"/>
    <x v="154"/>
    <s v="EMPAQUE CAREVACA CAJA - APLICA K3676/71"/>
    <n v="1"/>
    <n v="50234"/>
    <s v="KENWORTH DE LA MONTAÑA SAS"/>
    <s v="MARYLUZ DUQUE GARCIA"/>
    <n v="1"/>
    <s v="ENERO"/>
  </r>
  <r>
    <n v="2026"/>
    <s v="09/01/2026"/>
    <s v="RM"/>
    <n v="21451"/>
    <x v="155"/>
    <s v="KIT SENSOR DE POSICION PARA MOTOR"/>
    <n v="1"/>
    <n v="265410"/>
    <s v="KENWORTH DE LA MONTAÑA SAS"/>
    <s v="MARYLUZ DUQUE GARCIA"/>
    <n v="1"/>
    <s v="ENERO"/>
  </r>
  <r>
    <n v="2026"/>
    <s v="09/01/2026"/>
    <s v="RM"/>
    <n v="21451"/>
    <x v="63"/>
    <s v="KIT BUJE Y PASADO (JGOX2)TODAS CON HUECO"/>
    <n v="3"/>
    <n v="89499.6"/>
    <s v="KENWORTH DE LA MONTAÑA SAS"/>
    <s v="MARYLUZ DUQUE GARCIA"/>
    <n v="1"/>
    <s v="ENERO"/>
  </r>
  <r>
    <n v="2026"/>
    <s v="09/01/2026"/>
    <s v="RM"/>
    <n v="21451"/>
    <x v="156"/>
    <s v="VALVULA REGULADORA 14715/915/718/8908LL"/>
    <n v="1"/>
    <n v="140580"/>
    <s v="KENWORTH DE LA MONTAÑA SAS"/>
    <s v="MARYLUZ DUQUE GARCIA"/>
    <n v="1"/>
    <s v="ENERO"/>
  </r>
  <r>
    <n v="2026"/>
    <s v="09/01/2026"/>
    <s v="RM"/>
    <n v="21451"/>
    <x v="28"/>
    <s v="PIÑA DEL BAJO FO-16E318B-MXP"/>
    <n v="1"/>
    <n v="152460"/>
    <s v="KENWORTH DE LA MONTAÑA SAS"/>
    <s v="MARYLUZ DUQUE GARCIA"/>
    <n v="1"/>
    <s v="ENERO"/>
  </r>
  <r>
    <n v="2026"/>
    <s v="09/01/2026"/>
    <s v="RM"/>
    <n v="21451"/>
    <x v="157"/>
    <s v="PIÑÓN CENT ARRAS/MAND FR/FRO TODAS"/>
    <n v="1"/>
    <n v="405650.7"/>
    <s v="KENWORTH DE LA MONTAÑA SAS"/>
    <s v="MARYLUZ DUQUE GARCIA"/>
    <n v="1"/>
    <s v="ENERO"/>
  </r>
  <r>
    <n v="2026"/>
    <s v="09/01/2026"/>
    <s v="RM"/>
    <n v="21451"/>
    <x v="158"/>
    <s v="KIT SOP CARDAN SPL/EAGL/KW/FL/SUPE B./76"/>
    <n v="2"/>
    <n v="409500"/>
    <s v="KENWORTH DE LA MONTAÑA SAS"/>
    <s v="MARYLUZ DUQUE GARCIA"/>
    <n v="1"/>
    <s v="ENERO"/>
  </r>
  <r>
    <n v="2026"/>
    <s v="09/01/2026"/>
    <s v="RM"/>
    <n v="21451"/>
    <x v="159"/>
    <s v="CARCASA CLUTCH  (JGOX3) 16918 20&quot;/ ALUMI"/>
    <n v="1"/>
    <n v="1429699.5"/>
    <s v="KENWORTH DE LA MONTAÑA SAS"/>
    <s v="MARYLUZ DUQUE GARCIA"/>
    <n v="1"/>
    <s v="ENERO"/>
  </r>
  <r>
    <n v="2026"/>
    <s v="09/01/2026"/>
    <s v="RM"/>
    <n v="21451"/>
    <x v="160"/>
    <s v="VALVULA SOLENOIDE MONO Y BAJO"/>
    <n v="1"/>
    <n v="830510.1"/>
    <s v="KENWORTH DE LA MONTAÑA SAS"/>
    <s v="MARYLUZ DUQUE GARCIA"/>
    <n v="1"/>
    <s v="ENERO"/>
  </r>
  <r>
    <n v="2026"/>
    <s v="09/01/2026"/>
    <s v="RM"/>
    <n v="21452"/>
    <x v="161"/>
    <s v="BLOQUE TRASERA (1 JG VIENE X 8 BLOQUES) PARA KENWORTH T300-T800/MACK CT713INTERNATIONAL 4700 -4300-7600/ ROCKWELL AXLE / FREIGHTLINER M2 106-113"/>
    <n v="20"/>
    <n v="3133100"/>
    <s v="E&amp;M DIESEL S.A.S"/>
    <s v="JUAN YANEZ LOBO"/>
    <n v="1"/>
    <s v="ENERO"/>
  </r>
  <r>
    <n v="2026"/>
    <s v="09/01/2026"/>
    <s v="RM"/>
    <n v="21452"/>
    <x v="162"/>
    <s v="BLOQUE TRASERA (1 JG VIENE X 8 BLOQUES) PARA INTERNATIONAL 9400--9900/EATON BRAKES 16.5&quot; DIA. X 7&quot; /MERCEDES CAMION CLASE7 / KENWORTH T600,T800 EJE EATON MODELO 2002-2007-CAMION 7600 INTER."/>
    <n v="20"/>
    <n v="3334500"/>
    <s v="E&amp;M DIESEL S.A.S"/>
    <s v="JUAN YANEZ LOBO"/>
    <n v="1"/>
    <s v="ENERO"/>
  </r>
  <r>
    <n v="2026"/>
    <s v="09/01/2026"/>
    <s v="RM"/>
    <n v="21452"/>
    <x v="163"/>
    <s v="FILTRO ACEITE MOTOR CUMMINS ISX, ISM, KW, FRL-M2, INT-EAGLE"/>
    <n v="12"/>
    <n v="1311000"/>
    <s v="E&amp;M DIESEL S.A.S"/>
    <s v="JUAN YANEZ LOBO"/>
    <n v="1"/>
    <s v="ENERO"/>
  </r>
  <r>
    <n v="2026"/>
    <s v="09/01/2026"/>
    <s v="RM"/>
    <n v="21452"/>
    <x v="164"/>
    <s v="EJE DE LEVAS DE VALVULAS MODERNO-CUÑERO ANCHO-(DELGADO)"/>
    <n v="1"/>
    <n v="2361842.5"/>
    <s v="E&amp;M DIESEL S.A.S"/>
    <s v="JUAN YANEZ LOBO"/>
    <n v="1"/>
    <s v="ENERO"/>
  </r>
  <r>
    <n v="2026"/>
    <s v="09/01/2026"/>
    <s v="RM"/>
    <n v="21452"/>
    <x v="165"/>
    <s v="KIT BUJE DE LEVAS ISX INYEC GRUES3680581"/>
    <n v="4"/>
    <n v="1912000.4"/>
    <s v="E&amp;M DIESEL S.A.S"/>
    <s v="JUAN YANEZ LOBO"/>
    <n v="1"/>
    <s v="ENERO"/>
  </r>
  <r>
    <n v="2026"/>
    <s v="09/01/2026"/>
    <s v="RM"/>
    <n v="21452"/>
    <x v="166"/>
    <s v="OVERHAUL MAS COMPLETO PIST APR150MM DOBL CAQ BIE"/>
    <n v="1"/>
    <n v="13386935.449999999"/>
    <s v="E&amp;M DIESEL S.A.S"/>
    <s v="JUAN YANEZ LOBO"/>
    <n v="1"/>
    <s v="ENERO"/>
  </r>
  <r>
    <n v="2026"/>
    <s v="05/01/2026"/>
    <s v="RM"/>
    <n v="21431"/>
    <x v="167"/>
    <s v="FAN CLUTCH TIPO KYSOR K32S"/>
    <n v="30"/>
    <n v="51000000"/>
    <s v="FERTRAC SAS"/>
    <s v="LUIS FERNANDO CANGREJO BAQUERO"/>
    <n v="1"/>
    <s v="ENERO"/>
  </r>
  <r>
    <n v="2026"/>
    <s v="02/01/2026"/>
    <s v="RM"/>
    <n v="21428"/>
    <x v="168"/>
    <s v="SET ROD/PIS SPEED DIF EXT DEL MS120/124"/>
    <n v="1"/>
    <n v="317000"/>
    <s v="EMPRESA DE TRANSPORTE INTEGRADO DE BOGOTA SAS"/>
    <s v="DANNY ENRIQUE PACHON ROCHA"/>
    <n v="1"/>
    <s v="ENERO"/>
  </r>
  <r>
    <n v="2026"/>
    <s v="02/01/2026"/>
    <s v="RM"/>
    <n v="21428"/>
    <x v="100"/>
    <s v="ARANDELA AJUSTE SATELITE AGRALE MS-15 12"/>
    <n v="4"/>
    <n v="70400"/>
    <s v="EMPRESA DE TRANSPORTE INTEGRADO DE BOGOTA SAS"/>
    <s v="DANNY ENRIQUE PACHON ROCHA"/>
    <n v="1"/>
    <s v="ENERO"/>
  </r>
  <r>
    <n v="2026"/>
    <s v="02/01/2026"/>
    <s v="RM"/>
    <n v="21428"/>
    <x v="169"/>
    <s v="SET ROD Y PISTA LATERAL MS120/124"/>
    <n v="1"/>
    <n v="220000"/>
    <s v="EMPRESA DE TRANSPORTE INTEGRADO DE BOGOTA SAS"/>
    <s v="DANNY ENRIQUE PACHON ROCHA"/>
    <n v="1"/>
    <s v="ENERO"/>
  </r>
  <r>
    <n v="2026"/>
    <s v="02/01/2026"/>
    <s v="RM"/>
    <n v="21428"/>
    <x v="168"/>
    <s v="SET ROD/PIS SPEED DIF EXT DEL MS120/124"/>
    <n v="1"/>
    <n v="317000"/>
    <s v="EMPRESA DE TRANSPORTE INTEGRADO DE BOGOTA SAS"/>
    <s v="DANNY ENRIQUE PACHON ROCHA"/>
    <n v="1"/>
    <s v="ENERO"/>
  </r>
  <r>
    <n v="2026"/>
    <s v="02/01/2026"/>
    <s v="RM"/>
    <n v="21428"/>
    <x v="100"/>
    <s v="ARANDELA AJUSTE SATELITE AGRALE MS-15 12"/>
    <n v="4"/>
    <n v="70400"/>
    <s v="EMPRESA DE TRANSPORTE INTEGRADO DE BOGOTA SAS"/>
    <s v="DANNY ENRIQUE PACHON ROCHA"/>
    <n v="1"/>
    <s v="ENERO"/>
  </r>
  <r>
    <n v="2026"/>
    <s v="02/01/2026"/>
    <s v="RM"/>
    <n v="21428"/>
    <x v="169"/>
    <s v="SET ROD Y PISTA LATERAL MS120/124"/>
    <n v="1"/>
    <n v="220000"/>
    <s v="EMPRESA DE TRANSPORTE INTEGRADO DE BOGOTA SAS"/>
    <s v="DANNY ENRIQUE PACHON ROCHA"/>
    <n v="1"/>
    <s v="ENER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8">
  <r>
    <n v="2019"/>
    <s v="07/11/2019"/>
    <s v="RMC"/>
    <n v="2359"/>
    <x v="0"/>
    <s v="PERA/SENSOR LUZ DIA BLANCA"/>
    <n v="1"/>
    <n v="70000"/>
    <s v="IMPOCOMA S.A.S"/>
    <s v="FABIO DAVID FORERO RUIZ"/>
    <n v="11"/>
    <s v="NOVIEMBRE"/>
  </r>
  <r>
    <n v="2019"/>
    <s v="07/11/2019"/>
    <s v="RMC"/>
    <n v="2359"/>
    <x v="1"/>
    <s v="RACHE AUTO CH CC 6&quot; TP3 1-1/2&quot;28E"/>
    <n v="1"/>
    <n v="127000"/>
    <s v="IMPOCOMA S.A.S"/>
    <s v="FABIO DAVID FORERO RUIZ"/>
    <n v="11"/>
    <s v="NOVIEMBRE"/>
  </r>
  <r>
    <n v="2019"/>
    <s v="07/11/2019"/>
    <s v="RMC"/>
    <n v="2359"/>
    <x v="2"/>
    <s v="RACHE AUTO CH CC 6&quot; TRAS TP2 1-1/2&quot;28E"/>
    <n v="1"/>
    <n v="144000"/>
    <s v="IMPOCOMA S.A.S"/>
    <s v="FABIO DAVID FORERO RUIZ"/>
    <n v="11"/>
    <s v="NOVIEMBRE"/>
  </r>
  <r>
    <n v="2019"/>
    <s v="16/12/2019"/>
    <s v="RMC"/>
    <n v="2446"/>
    <x v="3"/>
    <s v="ARANDELA TORRE MONO PARA 18"/>
    <n v="2"/>
    <n v="23500"/>
    <s v="TRACTOCARGA SAS"/>
    <s v="MARYLUZ DUQUE GARCIA"/>
    <n v="12"/>
    <s v="DICIEMBRE"/>
  </r>
  <r>
    <n v="2019"/>
    <s v="16/12/2019"/>
    <s v="RMC"/>
    <n v="2442"/>
    <x v="4"/>
    <s v="PIÑÓN 5TA TREN FIJO 14715/16915"/>
    <n v="1"/>
    <n v="180000"/>
    <s v="TRACTOCARGA SAS"/>
    <s v="MARYLUZ DUQUE GARCIA"/>
    <n v="12"/>
    <s v="DICIEMBRE"/>
  </r>
  <r>
    <n v="2020"/>
    <s v="29/01/2020"/>
    <s v="RMC"/>
    <n v="2530"/>
    <x v="5"/>
    <s v="CODO INTERCOOLER 45°KW HASTA EL 2008 9LO"/>
    <n v="2"/>
    <n v="224200"/>
    <s v="TRACTOCARGA SAS"/>
    <s v="MARYLUZ DUQUE GARCIA"/>
    <n v="1"/>
    <s v="ENERO"/>
  </r>
  <r>
    <n v="2020"/>
    <s v="03/09/2020"/>
    <s v="RMC"/>
    <n v="2867"/>
    <x v="6"/>
    <s v="FAN CLUTCH T800 2 TIEM MT ISM BALN 30 mm"/>
    <n v="1"/>
    <n v="2200000"/>
    <s v="MARIA VICTORIA MANCIPE PARRA"/>
    <s v="JONATHAN PAEZ PEDRAZA"/>
    <n v="9"/>
    <s v="SEPTIEMBRE"/>
  </r>
  <r>
    <n v="2020"/>
    <s v="06/02/2020"/>
    <s v="RMC"/>
    <n v="2557"/>
    <x v="7"/>
    <s v="BOLSA SILLA CZ TODAS INTER"/>
    <n v="1"/>
    <n v="130000"/>
    <s v="TRACTOCARGA SAS"/>
    <s v="MARYLUZ DUQUE GARCIA"/>
    <n v="2"/>
    <s v="FEBRERO"/>
  </r>
  <r>
    <n v="2020"/>
    <s v="11/02/2020"/>
    <s v="RMC"/>
    <n v="2564"/>
    <x v="5"/>
    <s v="CODO INTERCOOLER 45°KW HASTA EL 2008 9LO"/>
    <n v="1"/>
    <n v="112100"/>
    <s v="TRACTOCARGA SAS"/>
    <s v="MARYLUZ DUQUE GARCIA"/>
    <n v="2"/>
    <s v="FEBRERO"/>
  </r>
  <r>
    <n v="2020"/>
    <s v="23/06/2020"/>
    <s v="RMC"/>
    <n v="2733"/>
    <x v="8"/>
    <s v="KIT JUNTA FIJA MAZDA 626 ASAHI 2.0"/>
    <n v="2"/>
    <n v="83600"/>
    <s v="ALMACEN MAC REPUESTOS LTDA"/>
    <s v="LUIS FERNANDO CANGREJO BAQUERO"/>
    <n v="6"/>
    <s v="JUNIO"/>
  </r>
  <r>
    <n v="2021"/>
    <s v="21/09/2021"/>
    <s v="RMC"/>
    <n v="3510"/>
    <x v="9"/>
    <s v="CRUCETA 15.5CM (334) SERIE 1710 PAREJA"/>
    <n v="1"/>
    <n v="190000"/>
    <s v="EMPRESA DE DISTRIBUCIONES INDUSTRIALES S.A.S."/>
    <s v="WILLIAM DUVAN REYES DIAZ"/>
    <n v="9"/>
    <s v="SEPTIEMBRE"/>
  </r>
  <r>
    <n v="2021"/>
    <s v="08/02/2021"/>
    <s v="RMC"/>
    <n v="3123"/>
    <x v="10"/>
    <s v="RACHE AUTO CH CC 6&quot; TRAS TP1 1-1/2&quot;28E"/>
    <n v="1"/>
    <n v="179400"/>
    <s v="IMPOCOMA S.A.S"/>
    <s v="FABIO DAVID FORERO RUIZ"/>
    <n v="2"/>
    <s v="FEBRERO"/>
  </r>
  <r>
    <n v="2021"/>
    <s v="22/10/2021"/>
    <s v="RMC"/>
    <n v="3574"/>
    <x v="11"/>
    <s v="LEVA FRENO TRAS 13&quot; 3/4 (Z)"/>
    <n v="1"/>
    <n v="88100"/>
    <s v="TRANSPORTES Y SERVICIOS TRANSER SAS"/>
    <s v="JONATHAN PAEZ PEDRAZA"/>
    <n v="10"/>
    <s v="OCTUBRE"/>
  </r>
  <r>
    <n v="2021"/>
    <s v="12/07/2021"/>
    <s v="RMC"/>
    <n v="3391"/>
    <x v="12"/>
    <s v="TAPON IMANTADO TRANSMISION"/>
    <n v="4"/>
    <n v="37200"/>
    <s v="IMPOCOMA S.A.S"/>
    <s v="FABIO DAVID FORERO RUIZ"/>
    <n v="7"/>
    <s v="JULIO"/>
  </r>
  <r>
    <n v="2021"/>
    <s v="12/07/2021"/>
    <s v="RMC"/>
    <n v="3391"/>
    <x v="13"/>
    <s v="CRUCETA CARDAN 19 1/2&quot; MIXTA C/GRAPAS"/>
    <n v="1"/>
    <n v="240000"/>
    <s v="IMPOCOMA S.A.S"/>
    <s v="FABIO DAVID FORERO RUIZ"/>
    <n v="7"/>
    <s v="JULIO"/>
  </r>
  <r>
    <n v="2021"/>
    <s v="02/06/2021"/>
    <s v="RMC"/>
    <n v="3341"/>
    <x v="14"/>
    <s v="PRENSA DE CLUTCH HINO 155 NISS 160 11,8"/>
    <n v="1"/>
    <n v="256120"/>
    <s v="ALMACEN MAC REPUESTOS LTDA"/>
    <s v="LUIS FERNANDO CANGREJO BAQUERO"/>
    <n v="6"/>
    <s v="JUNIO"/>
  </r>
  <r>
    <n v="2021"/>
    <s v="21/09/2021"/>
    <s v="RMC"/>
    <n v="3507"/>
    <x v="15"/>
    <s v="BALINERA REFORZADA GERMANY"/>
    <n v="1"/>
    <n v="111000"/>
    <s v="EMPRESA DE DISTRIBUCIONES INDUSTRIALES S.A.S."/>
    <s v="WILLIAM DUVAN REYES DIAZ"/>
    <n v="9"/>
    <s v="SEPTIEMBRE"/>
  </r>
  <r>
    <n v="2021"/>
    <s v="21/09/2021"/>
    <s v="RMC"/>
    <n v="3507"/>
    <x v="16"/>
    <s v="JUEGO CHAPETA CRUCETA 15 1/2&quot; 17 1/2&quot;"/>
    <n v="1"/>
    <n v="14000"/>
    <s v="EMPRESA DE DISTRIBUCIONES INDUSTRIALES S.A.S."/>
    <s v="WILLIAM DUVAN REYES DIAZ"/>
    <n v="9"/>
    <s v="SEPTIEMBRE"/>
  </r>
  <r>
    <n v="2021"/>
    <s v="22/04/2021"/>
    <s v="RMC"/>
    <n v="3269"/>
    <x v="17"/>
    <s v="BOLSA SUSPENSION CABINA EAGLE"/>
    <n v="1"/>
    <n v="100000"/>
    <s v="IMPOCOMA S.A.S"/>
    <s v="FABIO DAVID FORERO RUIZ"/>
    <n v="4"/>
    <s v="ABRIL"/>
  </r>
  <r>
    <n v="2021"/>
    <s v="24/03/2021"/>
    <s v="RMC"/>
    <n v="3214"/>
    <x v="0"/>
    <s v="PERA/SENSOR LUZ DIA BLANCA"/>
    <n v="1"/>
    <n v="77000"/>
    <s v="IMPOCOMA S.A.S"/>
    <s v="FABIO DAVID FORERO RUIZ"/>
    <n v="3"/>
    <s v="MARZO"/>
  </r>
  <r>
    <n v="2021"/>
    <s v="27/10/2021"/>
    <s v="RMC"/>
    <n v="3582"/>
    <x v="18"/>
    <s v="RACHE AUT CONT RAP SH CC 5&quot;Y 6&quot; 28 E"/>
    <n v="2"/>
    <n v="648000"/>
    <s v="TRANSPORTES Y SERVICIOS TRANSER SAS"/>
    <s v="JONATHAN PAEZ PEDRAZA"/>
    <n v="10"/>
    <s v="OCTUBRE"/>
  </r>
  <r>
    <n v="2022"/>
    <s v="12/10/2022"/>
    <s v="RMC"/>
    <n v="4280"/>
    <x v="19"/>
    <s v="LEVA FRENO TRAILER RH WATSON -28E"/>
    <n v="1"/>
    <n v="173000"/>
    <s v="TRANSPORTES Y SERVICIOS TRANSER SAS"/>
    <s v="JONATHAN PAEZ PEDRAZA"/>
    <n v="10"/>
    <s v="OCTUBRE"/>
  </r>
  <r>
    <n v="2022"/>
    <s v="11/11/2022"/>
    <s v="RMC"/>
    <n v="4326"/>
    <x v="20"/>
    <s v="OVERHAUL DT466 PISTON 410024 &quot;1824810C1&quot;"/>
    <n v="1"/>
    <n v="3580499.65"/>
    <s v="ALMACEN MAC REPUESTOS LTDA"/>
    <s v="LUIS FERNANDO CANGREJO BAQUERO"/>
    <n v="11"/>
    <s v="NOVIEMBRE"/>
  </r>
  <r>
    <n v="2022"/>
    <s v="03/10/2022"/>
    <s v="RMC"/>
    <n v="4263"/>
    <x v="21"/>
    <s v="ARANDELA AJUSTE CDIZO  ESTRIA INTERNA-BL"/>
    <n v="1"/>
    <n v="27000"/>
    <s v="TRANSPORTES Y SERVICIOS TRANSER SAS"/>
    <s v="JONATHAN PAEZ PEDRAZA"/>
    <n v="10"/>
    <s v="OCTUBRE"/>
  </r>
  <r>
    <n v="2022"/>
    <s v="18/02/2022"/>
    <s v="RMC"/>
    <n v="3776"/>
    <x v="22"/>
    <s v="SEPARADOR"/>
    <n v="1"/>
    <n v="280000"/>
    <s v="TRANSPORTES Y SERVICIOS TRANSER SAS"/>
    <s v="JONATHAN PAEZ PEDRAZA"/>
    <n v="2"/>
    <s v="FEBRERO"/>
  </r>
  <r>
    <n v="2022"/>
    <s v="05/12/2022"/>
    <s v="RMC"/>
    <n v="4362"/>
    <x v="23"/>
    <s v="OVERHAUL MTR DT466  PIST-1833092"/>
    <n v="1"/>
    <n v="4030399.7"/>
    <s v="ALMACEN MAC REPUESTOS LTDA"/>
    <s v="LUIS FERNANDO CANGREJO BAQUERO"/>
    <n v="12"/>
    <s v="DICIEMBRE"/>
  </r>
  <r>
    <n v="2022"/>
    <s v="16/03/2022"/>
    <s v="RMC"/>
    <n v="3838"/>
    <x v="22"/>
    <s v="SEPARADOR"/>
    <n v="2"/>
    <n v="560000"/>
    <s v="TRANSPORTES Y SERVICIOS TRANSER SAS"/>
    <s v="JONATHAN PAEZ PEDRAZA"/>
    <n v="3"/>
    <s v="MARZO"/>
  </r>
  <r>
    <n v="2022"/>
    <s v="11/02/2022"/>
    <s v="RMC"/>
    <n v="3763"/>
    <x v="24"/>
    <s v="KIT DE REPARACION MENOR HTS VIEJO"/>
    <n v="1"/>
    <n v="260000"/>
    <s v="TRANSPORTES Y SERVICIOS TRANSER SAS"/>
    <s v="JONATHAN PAEZ PEDRAZA"/>
    <n v="2"/>
    <s v="FEBRERO"/>
  </r>
  <r>
    <n v="2022"/>
    <s v="03/08/2022"/>
    <s v="RMC"/>
    <n v="4136"/>
    <x v="25"/>
    <s v="LEVA FRENO LH 10E KW TRASERA"/>
    <n v="1"/>
    <n v="153000"/>
    <s v="TRANSPORTES Y SERVICIOS TRANSER SAS"/>
    <s v="JONATHAN PAEZ PEDRAZA"/>
    <n v="8"/>
    <s v="AGOSTO"/>
  </r>
  <r>
    <n v="2022"/>
    <s v="25/05/2022"/>
    <s v="RMC"/>
    <n v="3981"/>
    <x v="26"/>
    <s v="BARRA TORSION DE SUSP TR1601"/>
    <n v="1"/>
    <n v="80040"/>
    <s v="ORGANIZACION DIFERTRANSM SAS"/>
    <s v="JONATHAN PAEZ PEDRAZA"/>
    <n v="5"/>
    <s v="MAYO"/>
  </r>
  <r>
    <n v="2022"/>
    <s v="14/10/2022"/>
    <s v="RMC"/>
    <n v="4285"/>
    <x v="19"/>
    <s v="LEVA FRENO TRAILER RH WATSON -28E"/>
    <n v="1"/>
    <n v="173000"/>
    <s v="TRANSPORTES Y SERVICIOS TRANSER SAS"/>
    <s v="JONATHAN PAEZ PEDRAZA"/>
    <n v="10"/>
    <s v="OCTUBRE"/>
  </r>
  <r>
    <n v="2022"/>
    <s v="22/03/2022"/>
    <s v="RMC"/>
    <n v="3851"/>
    <x v="27"/>
    <s v="LEVA FRENO TRAS 13&quot; 3/4 (S)"/>
    <n v="1"/>
    <n v="86000"/>
    <s v="TRANSPORTES Y SERVICIOS TRANSER SAS"/>
    <s v="JONATHAN PAEZ PEDRAZA"/>
    <n v="3"/>
    <s v="MARZO"/>
  </r>
  <r>
    <n v="2022"/>
    <s v="24/11/2022"/>
    <s v="RMC"/>
    <n v="4348"/>
    <x v="28"/>
    <s v="TENSOR CORREA PARA DETROT SERIE 60"/>
    <n v="1"/>
    <n v="250000"/>
    <s v="TRANSPORTES Y SERVICIOS TRANSER SAS"/>
    <s v="JONATHAN PAEZ PEDRAZA"/>
    <n v="11"/>
    <s v="NOVIEMBRE"/>
  </r>
  <r>
    <n v="2022"/>
    <s v="01/07/2022"/>
    <s v="RMC"/>
    <n v="4066"/>
    <x v="18"/>
    <s v="RACHE AUT CONT RAP SH CC 5&quot;Y 6&quot; 28 E"/>
    <n v="1"/>
    <n v="324000"/>
    <s v="TRANSPORTES Y SERVICIOS TRANSER SAS"/>
    <s v="JONATHAN PAEZ PEDRAZA"/>
    <n v="7"/>
    <s v="JULIO"/>
  </r>
  <r>
    <n v="2022"/>
    <s v="18/10/2022"/>
    <s v="RMC"/>
    <n v="4288"/>
    <x v="29"/>
    <s v="BALINERA MONO REFORZADA"/>
    <n v="1"/>
    <n v="260000"/>
    <s v="TRANSPORTES Y SERVICIOS TRANSER SAS"/>
    <s v="JONATHAN PAEZ PEDRAZA"/>
    <n v="10"/>
    <s v="OCTUBRE"/>
  </r>
  <r>
    <n v="2022"/>
    <s v="21/07/2022"/>
    <s v="RMC"/>
    <n v="4108"/>
    <x v="21"/>
    <s v="ARANDELA AJUSTE CDIZO  ESTRIA INTERNA-BL"/>
    <n v="3"/>
    <n v="81000"/>
    <s v="TRANSPORTES Y SERVICIOS TRANSER SAS"/>
    <s v="JONATHAN PAEZ PEDRAZA"/>
    <n v="7"/>
    <s v="JULIO"/>
  </r>
  <r>
    <n v="2022"/>
    <s v="06/09/2022"/>
    <s v="RMC"/>
    <n v="4210"/>
    <x v="30"/>
    <s v="CRUCETA CONROL DIRECCION"/>
    <n v="1"/>
    <n v="18000"/>
    <s v="EMPRESA DE DISTRIBUCIONES INDUSTRIALES S.A.S."/>
    <s v="WILLIAM DUVAN REYES DIAZ"/>
    <n v="9"/>
    <s v="SEPTIEMBRE"/>
  </r>
  <r>
    <n v="2022"/>
    <s v="06/09/2022"/>
    <s v="RMC"/>
    <n v="4210"/>
    <x v="9"/>
    <s v="CRUCETA 15.5CM (334) SERIE 1710 PAREJA"/>
    <n v="1"/>
    <n v="200000"/>
    <s v="EMPRESA DE DISTRIBUCIONES INDUSTRIALES S.A.S."/>
    <s v="WILLIAM DUVAN REYES DIAZ"/>
    <n v="9"/>
    <s v="SEPTIEMBRE"/>
  </r>
  <r>
    <n v="2022"/>
    <s v="06/09/2022"/>
    <s v="RMC"/>
    <n v="4210"/>
    <x v="16"/>
    <s v="JUEGO CHAPETA CRUCETA 15 1/2&quot; 17 1/2&quot;"/>
    <n v="1"/>
    <n v="15000"/>
    <s v="EMPRESA DE DISTRIBUCIONES INDUSTRIALES S.A.S."/>
    <s v="WILLIAM DUVAN REYES DIAZ"/>
    <n v="9"/>
    <s v="SEPTIEMBRE"/>
  </r>
  <r>
    <n v="2022"/>
    <s v="06/09/2022"/>
    <s v="RMC"/>
    <n v="4210"/>
    <x v="15"/>
    <s v="BALINERA REFORZADA GERMANY"/>
    <n v="1"/>
    <n v="111000"/>
    <s v="EMPRESA DE DISTRIBUCIONES INDUSTRIALES S.A.S."/>
    <s v="WILLIAM DUVAN REYES DIAZ"/>
    <n v="9"/>
    <s v="SEPTIEMBRE"/>
  </r>
  <r>
    <n v="2022"/>
    <s v="14/09/2022"/>
    <s v="RMC"/>
    <n v="4228"/>
    <x v="31"/>
    <s v="RODILLO TREN FIJO/MS1309 GERX"/>
    <n v="2"/>
    <n v="230000"/>
    <s v="TRANSPORTES Y SERVICIOS TRANSER SAS"/>
    <s v="JONATHAN PAEZ PEDRAZA"/>
    <n v="9"/>
    <s v="SEPTIEMBRE"/>
  </r>
  <r>
    <n v="2022"/>
    <s v="21/12/2022"/>
    <s v="RMC"/>
    <n v="4392"/>
    <x v="32"/>
    <s v="PIÑÓN 4TA TREN FIJO FS6305A"/>
    <n v="2"/>
    <n v="828000"/>
    <s v="EMPRESA DE DISTRIBUCIONES INDUSTRIALES S.A.S."/>
    <s v="WILLIAM DUVAN REYES DIAZ"/>
    <n v="12"/>
    <s v="DICIEMBRE"/>
  </r>
  <r>
    <n v="2022"/>
    <s v="21/12/2022"/>
    <s v="RMC"/>
    <n v="4392"/>
    <x v="33"/>
    <s v="TUERCA SPEED DELANTERO 46160 (1229G4063)"/>
    <n v="1"/>
    <n v="39600"/>
    <s v="EMPRESA DE DISTRIBUCIONES INDUSTRIALES S.A.S."/>
    <s v="WILLIAM DUVAN REYES DIAZ"/>
    <n v="12"/>
    <s v="DICIEMBRE"/>
  </r>
  <r>
    <n v="2022"/>
    <s v="01/09/2022"/>
    <s v="RMC"/>
    <n v="4198"/>
    <x v="34"/>
    <s v="RODILLO TORRE MONO 14715/16915"/>
    <n v="4"/>
    <n v="228000"/>
    <s v="TRANSPORTES Y SERVICIOS TRANSER SAS"/>
    <s v="JONATHAN PAEZ PEDRAZA"/>
    <n v="9"/>
    <s v="SEPTIEMBRE"/>
  </r>
  <r>
    <n v="2022"/>
    <s v="01/09/2022"/>
    <s v="RMC"/>
    <n v="4198"/>
    <x v="35"/>
    <s v="RODILLO TREN FIJO/MS1309 GERX"/>
    <n v="2"/>
    <n v="154000"/>
    <s v="TRANSPORTES Y SERVICIOS TRANSER SAS"/>
    <s v="JONATHAN PAEZ PEDRAZA"/>
    <n v="9"/>
    <s v="SEPTIEMBRE"/>
  </r>
  <r>
    <n v="2022"/>
    <s v="21/09/2022"/>
    <s v="RMC"/>
    <n v="4241"/>
    <x v="33"/>
    <s v="TUERCA SPEED DELANTERO 46160 (1229G4063)"/>
    <n v="3"/>
    <n v="99000"/>
    <s v="EMPRESA DE DISTRIBUCIONES INDUSTRIALES S.A.S."/>
    <s v="WILLIAM DUVAN REYES DIAZ"/>
    <n v="9"/>
    <s v="SEPTIEMBRE"/>
  </r>
  <r>
    <n v="2022"/>
    <s v="21/09/2022"/>
    <s v="RMC"/>
    <n v="4241"/>
    <x v="30"/>
    <s v="CRUCETA CONROL DIRECCION"/>
    <n v="2"/>
    <n v="36000"/>
    <s v="EMPRESA DE DISTRIBUCIONES INDUSTRIALES S.A.S."/>
    <s v="WILLIAM DUVAN REYES DIAZ"/>
    <n v="9"/>
    <s v="SEPTIEMBRE"/>
  </r>
  <r>
    <n v="2022"/>
    <s v="19/07/2022"/>
    <s v="RMC"/>
    <n v="4104"/>
    <x v="36"/>
    <s v="VALVULA REG DE SILLA BOTON ROJA"/>
    <n v="1"/>
    <n v="44000"/>
    <s v="IMPOCOMA S.A.S"/>
    <s v="FABIO DAVID FORERO RUIZ"/>
    <n v="7"/>
    <s v="JULIO"/>
  </r>
  <r>
    <n v="2022"/>
    <s v="30/08/2022"/>
    <s v="RMC"/>
    <n v="4191"/>
    <x v="37"/>
    <s v="LEVA FRENO TRAILER LH WATSON -28E"/>
    <n v="2"/>
    <n v="346000"/>
    <s v="TRANSPORTES Y SERVICIOS TRANSER SAS"/>
    <s v="JONATHAN PAEZ PEDRAZA"/>
    <n v="8"/>
    <s v="AGOSTO"/>
  </r>
  <r>
    <n v="2022"/>
    <s v="11/03/2022"/>
    <s v="RMC"/>
    <n v="3829"/>
    <x v="38"/>
    <s v="CANASTILLA 1RA Y 2DA CORREDIZO FS6305A"/>
    <n v="2"/>
    <n v="64000"/>
    <s v="EMPRESA DE DISTRIBUCIONES INDUSTRIALES S.A.S."/>
    <s v="WILLIAM DUVAN REYES DIAZ"/>
    <n v="3"/>
    <s v="MARZO"/>
  </r>
  <r>
    <n v="2023"/>
    <s v="21/02/2023"/>
    <s v="RMC"/>
    <n v="4510"/>
    <x v="39"/>
    <s v="OVERHAUL DT360 PISTON 410010 &quot;1817178C2&quot;"/>
    <n v="1"/>
    <n v="3079999.75"/>
    <s v="ALMACEN MAC REPUESTOS LTDA"/>
    <s v="LUIS FERNANDO CANGREJO BAQUERO"/>
    <n v="2"/>
    <s v="FEBRERO"/>
  </r>
  <r>
    <n v="2023"/>
    <s v="04/09/2023"/>
    <s v="RMC"/>
    <n v="4844"/>
    <x v="40"/>
    <s v="OVERHAUL DT466 PISTON 410001&quot;1817520C2&quot;"/>
    <n v="1"/>
    <n v="3634183.2"/>
    <s v="ALMACEN MAC REPUESTOS LTDA"/>
    <s v="LUIS FERNANDO CANGREJO BAQUERO"/>
    <n v="9"/>
    <s v="SEPTIEMBRE"/>
  </r>
  <r>
    <n v="2023"/>
    <s v="05/08/2023"/>
    <s v="RMC"/>
    <n v="4803"/>
    <x v="41"/>
    <s v="OVERHAUL MTR DT466 PIST-1836321"/>
    <n v="1"/>
    <n v="4399999.0999999996"/>
    <s v="ALMACEN MAC REPUESTOS LTDA"/>
    <s v="LUIS FERNANDO CANGREJO BAQUERO"/>
    <n v="8"/>
    <s v="AGOSTO"/>
  </r>
  <r>
    <n v="2023"/>
    <s v="06/03/2023"/>
    <s v="RMC"/>
    <n v="4547"/>
    <x v="42"/>
    <s v="TUERCA  ESPIGO CENTRAL"/>
    <n v="1"/>
    <n v="19000"/>
    <s v="TRANSPORTES Y SERVICIOS TRANSER SAS"/>
    <s v="JONATHAN PAEZ PEDRAZA"/>
    <n v="3"/>
    <s v="MARZO"/>
  </r>
  <r>
    <n v="2023"/>
    <s v="15/03/2023"/>
    <s v="RMC"/>
    <n v="4568"/>
    <x v="43"/>
    <s v="ORINGNITRILO REF 149"/>
    <n v="3"/>
    <n v="3750"/>
    <s v="TRANSPORTES Y SERVICIOS TRANSER SAS"/>
    <s v="JONATHAN PAEZ PEDRAZA"/>
    <n v="3"/>
    <s v="MARZO"/>
  </r>
  <r>
    <n v="2023"/>
    <s v="19/12/2023"/>
    <s v="RMC"/>
    <n v="5035"/>
    <x v="44"/>
    <s v="YOKE CENTR 38E 3&quot; DE 1,998"/>
    <n v="1"/>
    <n v="234000"/>
    <s v="EMPRESA DE DISTRIBUCIONES INDUSTRIALES S.A.S."/>
    <s v="WILLIAM DUVAN REYES DIAZ"/>
    <n v="12"/>
    <s v="DICIEMBRE"/>
  </r>
  <r>
    <n v="2023"/>
    <s v="29/03/2023"/>
    <s v="RMC"/>
    <n v="4598"/>
    <x v="29"/>
    <s v="BALINERA MONO REFORZADA"/>
    <n v="1"/>
    <n v="260000"/>
    <s v="TRANSPORTES Y SERVICIOS TRANSER SAS"/>
    <s v="JONATHAN PAEZ PEDRAZA"/>
    <n v="3"/>
    <s v="MARZO"/>
  </r>
  <r>
    <n v="2023"/>
    <s v="08/03/2023"/>
    <s v="RMC"/>
    <n v="4550"/>
    <x v="45"/>
    <s v="RETENEDOR SPEED 46160"/>
    <n v="1"/>
    <n v="152000"/>
    <s v="UNION ANDINA DE TRANSPORTES SAS"/>
    <s v="CARLOS ALBERTO CABEZA NOPE"/>
    <n v="3"/>
    <s v="MARZO"/>
  </r>
  <r>
    <n v="2023"/>
    <s v="11/08/2023"/>
    <s v="RMC"/>
    <n v="4810"/>
    <x v="46"/>
    <s v="JGO SPLIN X15-M2106 DOBL/SENC/PATI T300"/>
    <n v="1"/>
    <n v="625000"/>
    <s v="TRANSPORTES Y SERVICIOS TRANSER SAS"/>
    <s v="JONATHAN PAEZ PEDRAZA"/>
    <n v="8"/>
    <s v="AGOSTO"/>
  </r>
  <r>
    <n v="2023"/>
    <s v="19/07/2023"/>
    <s v="RMC"/>
    <n v="4773"/>
    <x v="47"/>
    <s v="OVERHAUL DT466 PISTO 410005 688835C2 STD"/>
    <n v="1"/>
    <n v="3749999.6"/>
    <s v="ALMACEN MAC REPUESTOS LTDA"/>
    <s v="LUIS FERNANDO CANGREJO BAQUERO"/>
    <n v="7"/>
    <s v="JULIO"/>
  </r>
  <r>
    <n v="2023"/>
    <s v="12/12/2023"/>
    <s v="RMC"/>
    <n v="5021"/>
    <x v="48"/>
    <s v="TEFLON HOJA Z"/>
    <n v="1"/>
    <n v="12000"/>
    <s v="TRANSPORTES Y SERVICIOS TRANSER SAS"/>
    <s v="JONATHAN PAEZ PEDRAZA"/>
    <n v="12"/>
    <s v="DICIEMBRE"/>
  </r>
  <r>
    <n v="2023"/>
    <s v="10/02/2023"/>
    <s v="RMC"/>
    <n v="4484"/>
    <x v="49"/>
    <s v="KIT BUJE Y PASADO (JGOX2)TODAS CON HUECO"/>
    <n v="5"/>
    <n v="241800"/>
    <s v="KW AUTOMOTORES Y REPUESTOS A SAS"/>
    <s v="ERMES ISAAC SOTO PATERNINA"/>
    <n v="2"/>
    <s v="FEBRERO"/>
  </r>
  <r>
    <n v="2023"/>
    <s v="22/12/2023"/>
    <s v="RMC"/>
    <n v="5042"/>
    <x v="17"/>
    <s v="BOLSA SUSPENSION CABINA EAGLE"/>
    <n v="4"/>
    <n v="528000"/>
    <s v="IMPOCOMA S.A.S"/>
    <s v="FABIO DAVID FORERO RUIZ"/>
    <n v="12"/>
    <s v="DICIEMBRE"/>
  </r>
  <r>
    <n v="2023"/>
    <s v="12/04/2023"/>
    <s v="RMC"/>
    <n v="4624"/>
    <x v="50"/>
    <s v="BUJE PIÑON ACOPLE A-5156/ 14715"/>
    <n v="2"/>
    <n v="10800"/>
    <s v="TRANSPORTES Y SERVICIOS TRANSER SAS"/>
    <s v="JONATHAN PAEZ PEDRAZA"/>
    <n v="4"/>
    <s v="ABRIL"/>
  </r>
  <r>
    <n v="2023"/>
    <s v="18/12/2023"/>
    <s v="RMC"/>
    <n v="5033"/>
    <x v="51"/>
    <s v="VALVULA REGULADORA 14715/915/718/8908LL"/>
    <n v="1"/>
    <n v="124000"/>
    <s v="TRANSPORTES Y SERVICIOS TRANSER SAS"/>
    <s v="JONATHAN PAEZ PEDRAZA"/>
    <n v="12"/>
    <s v="DICIEMBRE"/>
  </r>
  <r>
    <n v="2023"/>
    <s v="01/06/2023"/>
    <s v="RMC"/>
    <n v="4703"/>
    <x v="52"/>
    <s v="CORBATIN SUSP PUNTA TANDEM HDR (JGO X2)"/>
    <n v="4"/>
    <n v="2717600"/>
    <s v="IMPOCOMA S.A.S"/>
    <s v="FABIO DAVID FORERO RUIZ"/>
    <n v="6"/>
    <s v="JUNIO"/>
  </r>
  <r>
    <n v="2023"/>
    <s v="28/08/2023"/>
    <s v="RMC"/>
    <n v="4830"/>
    <x v="9"/>
    <s v="CRUCETA 15.5CM (334) SERIE 1710 PAREJA"/>
    <n v="2"/>
    <n v="437000"/>
    <s v="UNION ANDINA DE TRANSPORTES SAS"/>
    <s v="CARLOS ALBERTO CABEZA NOPE"/>
    <n v="8"/>
    <s v="AGOSTO"/>
  </r>
  <r>
    <n v="2023"/>
    <s v="22/02/2023"/>
    <s v="RMC"/>
    <n v="4518"/>
    <x v="43"/>
    <s v="ORINGNITRILO REF 149"/>
    <n v="4"/>
    <n v="5000"/>
    <s v="TRANSPORTES Y SERVICIOS TRANSER SAS"/>
    <s v="JONATHAN PAEZ PEDRAZA"/>
    <n v="2"/>
    <s v="FEBRERO"/>
  </r>
  <r>
    <n v="2023"/>
    <s v="22/02/2023"/>
    <s v="RMC"/>
    <n v="4518"/>
    <x v="53"/>
    <s v="ORING TAPÓN CARTER PEQUEÑO VITON #221"/>
    <n v="3"/>
    <n v="19800"/>
    <s v="TRANSPORTES Y SERVICIOS TRANSER SAS"/>
    <s v="JONATHAN PAEZ PEDRAZA"/>
    <n v="2"/>
    <s v="FEBRERO"/>
  </r>
  <r>
    <n v="2023"/>
    <s v="06/12/2023"/>
    <s v="RMC"/>
    <n v="5015"/>
    <x v="44"/>
    <s v="YOKE CENTR 38E 3&quot; DE 1,998"/>
    <n v="2"/>
    <n v="468000"/>
    <s v="EMPRESA DE DISTRIBUCIONES INDUSTRIALES S.A.S."/>
    <s v="WILLIAM DUVAN REYES DIAZ"/>
    <n v="12"/>
    <s v="DICIEMBRE"/>
  </r>
  <r>
    <n v="2023"/>
    <s v="23/09/2023"/>
    <s v="RMC"/>
    <n v="4886"/>
    <x v="54"/>
    <s v="CORONA Y SPEED TRAS RS 9X41 46160"/>
    <n v="1"/>
    <n v="2782000"/>
    <s v="CEMEX COLOMBIA S.A."/>
    <s v="YASMID DEL PILAR URIBE DELGADO"/>
    <n v="9"/>
    <s v="SEPTIEMBRE"/>
  </r>
  <r>
    <n v="2023"/>
    <s v="19/04/2023"/>
    <s v="RMC"/>
    <n v="4638"/>
    <x v="46"/>
    <s v="JGO SPLIN X15-M2106 DOBL/SENC/PATI T300"/>
    <n v="1"/>
    <n v="625000"/>
    <s v="TRANSPORTES Y SERVICIOS TRANSER SAS"/>
    <s v="JONATHAN PAEZ PEDRAZA"/>
    <n v="4"/>
    <s v="ABRIL"/>
  </r>
  <r>
    <n v="2023"/>
    <s v="17/06/2023"/>
    <s v="RMC"/>
    <n v="4731"/>
    <x v="55"/>
    <s v="YOKE SP 46E S 6,500 Q 2,344 R 3 1/4&quot;/160"/>
    <n v="1"/>
    <n v="715000"/>
    <s v="CEMEX COLOMBIA S.A."/>
    <s v="YASMID DEL PILAR URIBE DELGADO"/>
    <n v="6"/>
    <s v="JUNIO"/>
  </r>
  <r>
    <n v="2023"/>
    <s v="21/09/2023"/>
    <s v="RMC"/>
    <n v="4880"/>
    <x v="0"/>
    <s v="PERA/SENSOR LUZ DIA BLANCA"/>
    <n v="3"/>
    <n v="390000"/>
    <s v="IMPOCOMA S.A.S"/>
    <s v="FABIO DAVID FORERO RUIZ"/>
    <n v="9"/>
    <s v="SEPTIEMBRE"/>
  </r>
  <r>
    <n v="2023"/>
    <s v="13/04/2023"/>
    <s v="RMC"/>
    <n v="4628"/>
    <x v="36"/>
    <s v="VALVULA REG DE SILLA BOTON ROJA"/>
    <n v="2"/>
    <n v="100000"/>
    <s v="IMPOCOMA S.A.S"/>
    <s v="FABIO DAVID FORERO RUIZ"/>
    <n v="4"/>
    <s v="ABRIL"/>
  </r>
  <r>
    <n v="2023"/>
    <s v="21/09/2023"/>
    <s v="RMC"/>
    <n v="4880"/>
    <x v="56"/>
    <s v="PERA/SENSOR FRENO"/>
    <n v="2"/>
    <n v="340000"/>
    <s v="IMPOCOMA S.A.S"/>
    <s v="FABIO DAVID FORERO RUIZ"/>
    <n v="9"/>
    <s v="SEPTIEMBRE"/>
  </r>
  <r>
    <n v="2023"/>
    <s v="06/12/2023"/>
    <s v="RMC"/>
    <n v="5017"/>
    <x v="57"/>
    <s v="ABRAZADERA EXOSTO 4&quot;"/>
    <n v="2"/>
    <n v="108600"/>
    <s v="TRANSPORTES Y SERVICIOS TRANSER SAS"/>
    <s v="JONATHAN PAEZ PEDRAZA"/>
    <n v="12"/>
    <s v="DICIEMBRE"/>
  </r>
  <r>
    <n v="2023"/>
    <s v="25/10/2023"/>
    <s v="RMC"/>
    <n v="4949"/>
    <x v="58"/>
    <s v="ORING NITRILO REF 103"/>
    <n v="1"/>
    <n v="100"/>
    <s v="TRANSPORTES Y SERVICIOS TRANSER SAS"/>
    <s v="JONATHAN PAEZ PEDRAZA"/>
    <n v="10"/>
    <s v="OCTUBRE"/>
  </r>
  <r>
    <n v="2023"/>
    <s v="30/08/2023"/>
    <s v="RMC"/>
    <n v="4836"/>
    <x v="53"/>
    <s v="ORING TAPÓN CARTER PEQUEÑO VITON #221"/>
    <n v="1"/>
    <n v="6600"/>
    <s v="TRANSPORTES Y SERVICIOS TRANSER SAS"/>
    <s v="JONATHAN PAEZ PEDRAZA"/>
    <n v="8"/>
    <s v="AGOSTO"/>
  </r>
  <r>
    <n v="2023"/>
    <s v="17/10/2023"/>
    <s v="RMC"/>
    <n v="4932"/>
    <x v="59"/>
    <s v="SILLIN SUSPENSION BAJITO"/>
    <n v="1"/>
    <n v="1800000"/>
    <s v="TRANSPORTES Y SERVICIOS TRANSER SAS"/>
    <s v="JONATHAN PAEZ PEDRAZA"/>
    <n v="10"/>
    <s v="OCTUBRE"/>
  </r>
  <r>
    <n v="2023"/>
    <s v="05/10/2023"/>
    <s v="RMC"/>
    <n v="4914"/>
    <x v="60"/>
    <s v="PERA/SENSOR LUZ DIA ROJA"/>
    <n v="2"/>
    <n v="320000"/>
    <s v="IMPOCOMA S.A.S"/>
    <s v="FABIO DAVID FORERO RUIZ"/>
    <n v="10"/>
    <s v="OCTUBRE"/>
  </r>
  <r>
    <n v="2023"/>
    <s v="02/11/2023"/>
    <s v="RMC"/>
    <n v="4963"/>
    <x v="61"/>
    <s v="BALINERA FAN CLUTCH KYSOR"/>
    <n v="6"/>
    <n v="522000"/>
    <s v="IMPOCOMA S.A.S"/>
    <s v="FABIO DAVID FORERO RUIZ"/>
    <n v="11"/>
    <s v="NOVIEMBRE"/>
  </r>
  <r>
    <n v="2023"/>
    <s v="16/11/2023"/>
    <s v="RMC"/>
    <n v="4982"/>
    <x v="62"/>
    <s v="KIT REPAR VÁLVULA LATERAL 14715/915/918"/>
    <n v="11"/>
    <n v="1135376"/>
    <s v="CEMEX COLOMBIA S.A."/>
    <s v="YASMID DEL PILAR URIBE DELGADO"/>
    <n v="11"/>
    <s v="NOVIEMBRE"/>
  </r>
  <r>
    <n v="2023"/>
    <s v="15/12/2023"/>
    <s v="RMC"/>
    <n v="5031"/>
    <x v="63"/>
    <s v="ESPIGO DESLIZANTE SPL250 38E"/>
    <n v="1"/>
    <n v="875598"/>
    <s v="CEMEX COLOMBIA S.A."/>
    <s v="YASMID DEL PILAR URIBE DELGADO"/>
    <n v="12"/>
    <s v="DICIEMBRE"/>
  </r>
  <r>
    <n v="2023"/>
    <s v="04/01/2023"/>
    <s v="RMC"/>
    <n v="4411"/>
    <x v="13"/>
    <s v="CRUCETA CARDAN 19 1/2&quot; MIXTA C/GRAPAS"/>
    <n v="1"/>
    <n v="288000"/>
    <s v="IMPOCOMA S.A.S"/>
    <s v="FABIO DAVID FORERO RUIZ"/>
    <n v="1"/>
    <s v="ENERO"/>
  </r>
  <r>
    <n v="2023"/>
    <s v="04/01/2023"/>
    <s v="RMC"/>
    <n v="4411"/>
    <x v="64"/>
    <s v="FAN CLUTCH TIPO KYSOR K32S"/>
    <n v="1"/>
    <n v="1639200"/>
    <s v="IMPOCOMA S.A.S"/>
    <s v="FABIO DAVID FORERO RUIZ"/>
    <n v="1"/>
    <s v="ENERO"/>
  </r>
  <r>
    <n v="2023"/>
    <s v="04/01/2023"/>
    <s v="RMC"/>
    <n v="4411"/>
    <x v="65"/>
    <s v="CRUCETA CARDAN 15 1/2&quot; MIXTA S1710 C/GRA"/>
    <n v="1"/>
    <n v="310900"/>
    <s v="IMPOCOMA S.A.S"/>
    <s v="FABIO DAVID FORERO RUIZ"/>
    <n v="1"/>
    <s v="ENERO"/>
  </r>
  <r>
    <n v="2023"/>
    <s v="06/10/2023"/>
    <s v="RMC"/>
    <n v="4917"/>
    <x v="66"/>
    <s v="CORBATIN TENSORA MARCA HENDRICKSON"/>
    <n v="4"/>
    <n v="436000"/>
    <s v="TRANSPORTES Y SERVICIOS TRANSER SAS"/>
    <s v="JONATHAN PAEZ PEDRAZA"/>
    <n v="10"/>
    <s v="OCTUBRE"/>
  </r>
  <r>
    <n v="2023"/>
    <s v="30/11/2023"/>
    <s v="RMC"/>
    <n v="5003"/>
    <x v="67"/>
    <s v="CANASTILLA PIÑON 4TA CORREDIZO FS6305"/>
    <n v="1"/>
    <n v="67200"/>
    <s v="EMPRESA DE DISTRIBUCIONES INDUSTRIALES S.A.S."/>
    <s v="WILLIAM DUVAN REYES DIAZ"/>
    <n v="11"/>
    <s v="NOVIEMBRE"/>
  </r>
  <r>
    <n v="2023"/>
    <s v="28/11/2023"/>
    <s v="RMC"/>
    <n v="4999"/>
    <x v="68"/>
    <s v="PERA/SENSOR TEMPER. Y DIFEREN. TRANSM."/>
    <n v="4"/>
    <n v="160000"/>
    <s v="CEMEX COLOMBIA S.A."/>
    <s v="YASMID DEL PILAR URIBE DELGADO"/>
    <n v="11"/>
    <s v="NOVIEMBRE"/>
  </r>
  <r>
    <n v="2023"/>
    <s v="28/11/2023"/>
    <s v="RMC"/>
    <n v="4999"/>
    <x v="55"/>
    <s v="YOKE SP 46E S 6,500 Q 2,344 R 3 1/4&quot;/160"/>
    <n v="1"/>
    <n v="715000"/>
    <s v="CEMEX COLOMBIA S.A."/>
    <s v="YASMID DEL PILAR URIBE DELGADO"/>
    <n v="11"/>
    <s v="NOVIEMBRE"/>
  </r>
  <r>
    <n v="2024"/>
    <s v="18/11/2024"/>
    <s v="RMC"/>
    <n v="5671"/>
    <x v="69"/>
    <s v="RETENEDOR EJE SALIDA 46160"/>
    <n v="1"/>
    <n v="135600"/>
    <s v="EMPRESA DE DISTRIBUCIONES INDUSTRIALES S.A.S."/>
    <s v="WILLIAM DUVAN REYES DIAZ"/>
    <n v="11"/>
    <s v="NOVIEMBRE"/>
  </r>
  <r>
    <n v="2024"/>
    <s v="22/02/2024"/>
    <s v="RMC"/>
    <n v="5131"/>
    <x v="70"/>
    <s v="BUJE TRIFUNCIONAL KIT JGOx6"/>
    <n v="3"/>
    <n v="1830000"/>
    <s v="TRANSPORTES Y SERVICIOS TRANSER SAS"/>
    <s v="JONATHAN PAEZ PEDRAZA"/>
    <n v="2"/>
    <s v="FEBRERO"/>
  </r>
  <r>
    <n v="2024"/>
    <s v="22/02/2024"/>
    <s v="RMC"/>
    <n v="5131"/>
    <x v="71"/>
    <s v="BUJE TRIFUNCIONAL KIT JGOx7"/>
    <n v="6"/>
    <n v="3360000"/>
    <s v="TRANSPORTES Y SERVICIOS TRANSER SAS"/>
    <s v="JONATHAN PAEZ PEDRAZA"/>
    <n v="2"/>
    <s v="FEBRERO"/>
  </r>
  <r>
    <n v="2024"/>
    <s v="15/01/2024"/>
    <s v="RMC"/>
    <n v="5065"/>
    <x v="72"/>
    <s v="RACHE FRENO MEC.1-5/8&quot;-37E"/>
    <n v="2"/>
    <n v="200000"/>
    <s v="IMPOCOMA S.A.S"/>
    <s v="FABIO DAVID FORERO RUIZ"/>
    <n v="1"/>
    <s v="ENERO"/>
  </r>
  <r>
    <n v="2024"/>
    <s v="30/08/2024"/>
    <s v="RMC"/>
    <n v="5486"/>
    <x v="73"/>
    <s v="ORING NITRILO ELECTROVALVU ABS (8) #10*1"/>
    <n v="12"/>
    <n v="3600"/>
    <s v="TRANSPORTES Y SERVICIOS TRANSER SAS"/>
    <s v="JONATHAN PAEZ PEDRAZA"/>
    <n v="8"/>
    <s v="AGOSTO"/>
  </r>
  <r>
    <n v="2024"/>
    <s v="19/02/2024"/>
    <s v="RMC"/>
    <n v="5125"/>
    <x v="73"/>
    <s v="ORING NITRILO ELECTROVALVU ABS (8) #10*1"/>
    <n v="1"/>
    <n v="300"/>
    <s v="TRANSPORTES Y SERVICIOS TRANSER SAS"/>
    <s v="JONATHAN PAEZ PEDRAZA"/>
    <n v="2"/>
    <s v="FEBRERO"/>
  </r>
  <r>
    <n v="2024"/>
    <s v="01/02/2024"/>
    <s v="RMC"/>
    <n v="5092"/>
    <x v="74"/>
    <s v="KIT SUSP BUJE CENTRAL TANDEM (JGO X 18)"/>
    <n v="1"/>
    <n v="1600000"/>
    <s v="IMPOCOMA S.A.S"/>
    <s v="FABIO DAVID FORERO RUIZ"/>
    <n v="2"/>
    <s v="FEBRERO"/>
  </r>
  <r>
    <n v="2024"/>
    <s v="16/12/2024"/>
    <s v="RMC"/>
    <n v="5730"/>
    <x v="75"/>
    <s v="OVERHAUL MWM 4,12CTAE"/>
    <n v="1"/>
    <n v="1525084.4"/>
    <s v="ALMACEN MAC REPUESTOS LTDA"/>
    <s v="LUIS FERNANDO CANGREJO BAQUERO"/>
    <n v="12"/>
    <s v="DICIEMBRE"/>
  </r>
  <r>
    <n v="2024"/>
    <s v="02/08/2024"/>
    <s v="RMC"/>
    <n v="5419"/>
    <x v="76"/>
    <s v="PLACA ADAPTADORA"/>
    <n v="1"/>
    <n v="202000"/>
    <s v="TRANSPORTES Y SERVICIOS TRANSER SAS"/>
    <s v="JONATHAN PAEZ PEDRAZA"/>
    <n v="8"/>
    <s v="AGOSTO"/>
  </r>
  <r>
    <n v="2024"/>
    <s v="02/08/2024"/>
    <s v="RMC"/>
    <n v="5419"/>
    <x v="77"/>
    <s v="EJE LATERAL EAGLE RECTO LARGO"/>
    <n v="2"/>
    <n v="1294000"/>
    <s v="TRANSPORTES Y SERVICIOS TRANSER SAS"/>
    <s v="JONATHAN PAEZ PEDRAZA"/>
    <n v="8"/>
    <s v="AGOSTO"/>
  </r>
  <r>
    <n v="2024"/>
    <s v="02/08/2024"/>
    <s v="RMC"/>
    <n v="5419"/>
    <x v="78"/>
    <s v="EJE LATERAL EAGLE RECTO CORTO"/>
    <n v="2"/>
    <n v="1348000"/>
    <s v="TRANSPORTES Y SERVICIOS TRANSER SAS"/>
    <s v="JONATHAN PAEZ PEDRAZA"/>
    <n v="8"/>
    <s v="AGOSTO"/>
  </r>
  <r>
    <n v="2024"/>
    <s v="13/08/2024"/>
    <s v="RMC"/>
    <n v="5442"/>
    <x v="79"/>
    <s v="KIT FAN CLUTCH TIPO KYSOR K32-S JGX7"/>
    <n v="2"/>
    <n v="766116"/>
    <s v="CEMEX COLOMBIA S.A."/>
    <s v="YASMID DEL PILAR URIBE DELGADO"/>
    <n v="8"/>
    <s v="AGOSTO"/>
  </r>
  <r>
    <n v="2024"/>
    <s v="04/07/2024"/>
    <s v="RMC"/>
    <n v="5351"/>
    <x v="80"/>
    <s v="SENSOR NIVEL REFRIGERANTE FAN 2012"/>
    <n v="1"/>
    <n v="450000"/>
    <s v="IMPOCOMA S.A.S"/>
    <s v="FABIO DAVID FORERO RUIZ"/>
    <n v="7"/>
    <s v="JULIO"/>
  </r>
  <r>
    <n v="2024"/>
    <s v="04/07/2024"/>
    <s v="RMC"/>
    <n v="5351"/>
    <x v="81"/>
    <s v="BOLSA DE SUSPENSION TANDEM DE LA PROSTAR CON BASE Y SOPORTE."/>
    <n v="1"/>
    <n v="1100000"/>
    <s v="IMPOCOMA S.A.S"/>
    <s v="FABIO DAVID FORERO RUIZ"/>
    <n v="7"/>
    <s v="JULIO"/>
  </r>
  <r>
    <n v="2024"/>
    <s v="23/04/2024"/>
    <s v="RMC"/>
    <n v="5231"/>
    <x v="82"/>
    <s v="RODILLO TORRE MONO 918"/>
    <n v="4"/>
    <n v="596000"/>
    <s v="EMPRESA DE DISTRIBUCIONES INDUSTRIALES S.A.S."/>
    <s v="WILLIAM DUVAN REYES DIAZ"/>
    <n v="4"/>
    <s v="ABRIL"/>
  </r>
  <r>
    <n v="2024"/>
    <s v="27/06/2024"/>
    <s v="RMC"/>
    <n v="5338"/>
    <x v="83"/>
    <s v="RACHE AUTO CH CC 5 1/2&quot; TP2 1-1/2&quot;28E"/>
    <n v="1"/>
    <n v="257461"/>
    <s v="CEMEX COLOMBIA S.A."/>
    <s v="YASMID DEL PILAR URIBE DELGADO"/>
    <n v="6"/>
    <s v="JUNIO"/>
  </r>
  <r>
    <n v="2024"/>
    <s v="22/04/2024"/>
    <s v="RMC"/>
    <n v="5227"/>
    <x v="84"/>
    <s v="TAPA BARRA FS 6305"/>
    <n v="1"/>
    <n v="117936"/>
    <s v="EMPRESA DE DISTRIBUCIONES INDUSTRIALES S.A.S."/>
    <s v="WILLIAM DUVAN REYES DIAZ"/>
    <n v="4"/>
    <s v="ABRIL"/>
  </r>
  <r>
    <n v="2024"/>
    <s v="08/05/2024"/>
    <s v="RMC"/>
    <n v="5257"/>
    <x v="85"/>
    <s v="BOLSA SILLA PROSTAR"/>
    <n v="1"/>
    <n v="280000"/>
    <s v="TRANSPORTES Y SERVICIOS TRANSER SAS"/>
    <s v="JONATHAN PAEZ PEDRAZA"/>
    <n v="5"/>
    <s v="MAYO"/>
  </r>
  <r>
    <n v="2024"/>
    <s v="06/06/2024"/>
    <s v="RMC"/>
    <n v="5305"/>
    <x v="86"/>
    <s v="TUERCA TRAILER TODOS"/>
    <n v="1"/>
    <n v="230000"/>
    <s v="TRANSPORTES Y SERVICIOS TRANSER SAS"/>
    <s v="JONATHAN PAEZ PEDRAZA"/>
    <n v="6"/>
    <s v="JUNIO"/>
  </r>
  <r>
    <n v="2024"/>
    <s v="16/09/2024"/>
    <s v="RMC"/>
    <n v="5522"/>
    <x v="87"/>
    <s v="KIT EMBRA. 15X2 PRENSA 9 RESORTES"/>
    <n v="1"/>
    <n v="2486400"/>
    <s v="EMPRESA DE DISTRIBUCIONES INDUSTRIALES S.A.S."/>
    <s v="WILLIAM DUVAN REYES DIAZ"/>
    <n v="9"/>
    <s v="SEPTIEMBRE"/>
  </r>
  <r>
    <n v="2024"/>
    <s v="18/10/2024"/>
    <s v="RMC"/>
    <n v="5604"/>
    <x v="88"/>
    <s v="TAPA GRASERA.EJE DELANTERO EN PLASTICO"/>
    <n v="1"/>
    <n v="71007"/>
    <s v="CENTRO AUTOMOTOR DIESEL S.A CENTRODIESEL"/>
    <s v="DANIELA ALEJANDRA LEON VARGAS"/>
    <n v="10"/>
    <s v="OCTUBRE"/>
  </r>
  <r>
    <n v="2024"/>
    <s v="10/04/2024"/>
    <s v="RMC"/>
    <n v="5205"/>
    <x v="89"/>
    <s v="SILLIN P/HAS 460 DELANTERO RYL 3,0°"/>
    <n v="1"/>
    <n v="460000"/>
    <s v="TRANSPORTES Y SERVICIOS TRANSER SAS"/>
    <s v="JONATHAN PAEZ PEDRAZA"/>
    <n v="4"/>
    <s v="ABRIL"/>
  </r>
  <r>
    <n v="2024"/>
    <s v="04/10/2024"/>
    <s v="RMC"/>
    <n v="5581"/>
    <x v="90"/>
    <s v="CRUCETA CARDAN SPL 170"/>
    <n v="2"/>
    <n v="360000"/>
    <s v="IMPOCOMA S.A.S"/>
    <s v="FABIO DAVID FORERO RUIZ"/>
    <n v="10"/>
    <s v="OCTUBRE"/>
  </r>
  <r>
    <n v="2024"/>
    <s v="04/10/2024"/>
    <s v="RMC"/>
    <n v="5581"/>
    <x v="91"/>
    <s v="CRUCETA CARDAN SPL 250"/>
    <n v="2"/>
    <n v="560000"/>
    <s v="IMPOCOMA S.A.S"/>
    <s v="FABIO DAVID FORERO RUIZ"/>
    <n v="10"/>
    <s v="OCTUBRE"/>
  </r>
  <r>
    <n v="2024"/>
    <s v="05/07/2024"/>
    <s v="RMC"/>
    <n v="5352"/>
    <x v="92"/>
    <s v="EMPAQ. REP. SIST. HIDRAU FREIG/KW COMPLE"/>
    <n v="2"/>
    <n v="553650"/>
    <s v="CEMEX COLOMBIA S.A."/>
    <s v="YASMID DEL PILAR URIBE DELGADO"/>
    <n v="7"/>
    <s v="JULIO"/>
  </r>
  <r>
    <n v="2024"/>
    <s v="26/08/2024"/>
    <s v="RMC"/>
    <n v="5476"/>
    <x v="87"/>
    <s v="KIT EMBRA. 15X2 PRENSA 9 RESORTES"/>
    <n v="1"/>
    <n v="2486400"/>
    <s v="EMPRESA DE DISTRIBUCIONES INDUSTRIALES S.A.S."/>
    <s v="WILLIAM DUVAN REYES DIAZ"/>
    <n v="8"/>
    <s v="AGOSTO"/>
  </r>
  <r>
    <n v="2024"/>
    <s v="14/05/2024"/>
    <s v="RMC"/>
    <n v="5269"/>
    <x v="7"/>
    <s v="BOLSA SILLA CZ TODAS INTER"/>
    <n v="3"/>
    <n v="570000"/>
    <s v="IMPOCOMA S.A.S"/>
    <s v="FABIO DAVID FORERO RUIZ"/>
    <n v="5"/>
    <s v="MAYO"/>
  </r>
  <r>
    <n v="2024"/>
    <s v="06/09/2024"/>
    <s v="RMC"/>
    <n v="5497"/>
    <x v="93"/>
    <s v="PIN BALINERA O RODILLO EJE DE TOMA - TOD"/>
    <n v="1"/>
    <n v="3636"/>
    <s v="CENTRO AUTOMOTOR DIESEL S.A CENTRODIESEL"/>
    <s v="DANIELA ALEJANDRA LEON VARGAS"/>
    <n v="9"/>
    <s v="SEPTIEMBRE"/>
  </r>
  <r>
    <n v="2024"/>
    <s v="27/09/2024"/>
    <s v="RMC"/>
    <n v="5550"/>
    <x v="94"/>
    <s v="FILTRO SECADOR DE AIRE DORADO"/>
    <n v="1"/>
    <n v="235000"/>
    <s v="TRANSPORTES Y SERVICIOS TRANSER SAS"/>
    <s v="JONATHAN PAEZ PEDRAZA"/>
    <n v="9"/>
    <s v="SEPTIEMBRE"/>
  </r>
  <r>
    <n v="2024"/>
    <s v="04/07/2024"/>
    <s v="RMC"/>
    <n v="5348"/>
    <x v="95"/>
    <s v="KIT TUERCA Y ARANDELA DIV(40X1233/4521)"/>
    <n v="1"/>
    <n v="85000"/>
    <s v="TRANSPORTES Y SERVICIOS TRANSER SAS"/>
    <s v="JONATHAN PAEZ PEDRAZA"/>
    <n v="7"/>
    <s v="JULIO"/>
  </r>
  <r>
    <n v="2024"/>
    <s v="05/11/2024"/>
    <s v="RMC"/>
    <n v="5640"/>
    <x v="96"/>
    <s v="ORING NITRILO REF 348"/>
    <n v="2"/>
    <n v="8000"/>
    <s v="TRANSPORTES Y SERVICIOS TRANSER SAS"/>
    <s v="JONATHAN PAEZ PEDRAZA"/>
    <n v="11"/>
    <s v="NOVIEMBRE"/>
  </r>
  <r>
    <n v="2024"/>
    <s v="05/11/2024"/>
    <s v="RMC"/>
    <n v="5640"/>
    <x v="97"/>
    <s v="ORING NITRILO VALVULA REPARTIDORA #106"/>
    <n v="1"/>
    <n v="126"/>
    <s v="TRANSPORTES Y SERVICIOS TRANSER SAS"/>
    <s v="JONATHAN PAEZ PEDRAZA"/>
    <n v="11"/>
    <s v="NOVIEMBRE"/>
  </r>
  <r>
    <n v="2024"/>
    <s v="06/06/2024"/>
    <s v="RMC"/>
    <n v="5306"/>
    <x v="98"/>
    <s v="AMORTIGUADOR CAPO"/>
    <n v="1"/>
    <n v="280000"/>
    <s v="TRANSPORTES Y SERVICIOS TRANSER SAS"/>
    <s v="JONATHAN PAEZ PEDRAZA"/>
    <n v="6"/>
    <s v="JUNIO"/>
  </r>
  <r>
    <n v="2024"/>
    <s v="14/06/2024"/>
    <s v="RMC"/>
    <n v="5318"/>
    <x v="99"/>
    <s v="LEVA FRENO TRAS (PRO -9400) 16&quot; 5/16 S"/>
    <n v="1"/>
    <n v="138001"/>
    <s v="TRANSPORTES Y SERVICIOS TRANSER SAS"/>
    <s v="JONATHAN PAEZ PEDRAZA"/>
    <n v="6"/>
    <s v="JUNIO"/>
  </r>
  <r>
    <n v="2024"/>
    <s v="23/09/2024"/>
    <s v="RMC"/>
    <n v="5531"/>
    <x v="100"/>
    <s v="RODILLO ANCLAJE CLUTCH KENWORTH T800"/>
    <n v="2"/>
    <n v="116000"/>
    <s v="TRANSPORTES Y SERVICIOS TRANSER SAS"/>
    <s v="JONATHAN PAEZ PEDRAZA"/>
    <n v="9"/>
    <s v="SEPTIEMBRE"/>
  </r>
  <r>
    <n v="2024"/>
    <s v="17/06/2024"/>
    <s v="RMC"/>
    <n v="5322"/>
    <x v="101"/>
    <s v="CAUCHO DEL BAJO TODAS EATON"/>
    <n v="1"/>
    <n v="23000"/>
    <s v="TRANSPORTES Y SERVICIOS TRANSER SAS"/>
    <s v="JONATHAN PAEZ PEDRAZA"/>
    <n v="6"/>
    <s v="JUNIO"/>
  </r>
  <r>
    <n v="2024"/>
    <s v="17/06/2024"/>
    <s v="RMC"/>
    <n v="5322"/>
    <x v="102"/>
    <s v="ARANDELA PLANETARIO 46000 LB"/>
    <n v="1"/>
    <n v="16000"/>
    <s v="TRANSPORTES Y SERVICIOS TRANSER SAS"/>
    <s v="JONATHAN PAEZ PEDRAZA"/>
    <n v="6"/>
    <s v="JUNIO"/>
  </r>
  <r>
    <n v="2024"/>
    <s v="17/06/2024"/>
    <s v="RMC"/>
    <n v="5322"/>
    <x v="103"/>
    <s v="SET ROD Y PISTA LAT. 46 LB 68462/712"/>
    <n v="1"/>
    <n v="350000"/>
    <s v="TRANSPORTES Y SERVICIOS TRANSER SAS"/>
    <s v="JONATHAN PAEZ PEDRAZA"/>
    <n v="6"/>
    <s v="JUNIO"/>
  </r>
  <r>
    <n v="2024"/>
    <s v="07/06/2024"/>
    <s v="RMC"/>
    <n v="5308"/>
    <x v="70"/>
    <s v="BUJE TRIFUNCIONAL KIT JGOx6"/>
    <n v="6"/>
    <n v="3660000"/>
    <s v="TRANSPORTES Y SERVICIOS TRANSER SAS"/>
    <s v="JONATHAN PAEZ PEDRAZA"/>
    <n v="6"/>
    <s v="JUNIO"/>
  </r>
  <r>
    <n v="2024"/>
    <s v="11/06/2024"/>
    <s v="RMC"/>
    <n v="5312"/>
    <x v="104"/>
    <s v="SHIMS SPLINDER 328349  A= 0.70"/>
    <n v="2"/>
    <n v="3808"/>
    <s v="TRANSPORTES Y SERVICIOS TRANSER SAS"/>
    <s v="JONATHAN PAEZ PEDRAZA"/>
    <n v="6"/>
    <s v="JUNIO"/>
  </r>
  <r>
    <n v="2024"/>
    <s v="22/05/2024"/>
    <s v="RMC"/>
    <n v="5283"/>
    <x v="105"/>
    <s v="ELECTRO VALVULA FAN CABLE  NEGRO-ROJO"/>
    <n v="1"/>
    <n v="585000"/>
    <s v="TRANSPORTES Y SERVICIOS TRANSER SAS"/>
    <s v="JONATHAN PAEZ PEDRAZA"/>
    <n v="5"/>
    <s v="MAYO"/>
  </r>
  <r>
    <n v="2024"/>
    <s v="20/08/2024"/>
    <s v="RMC"/>
    <n v="5458"/>
    <x v="104"/>
    <s v="SHIMS SPLINDER 328349  A= 0.70"/>
    <n v="2"/>
    <n v="3200"/>
    <s v="TRANSPORTES Y SERVICIOS TRANSER SAS"/>
    <s v="JONATHAN PAEZ PEDRAZA"/>
    <n v="8"/>
    <s v="AGOSTO"/>
  </r>
  <r>
    <n v="2024"/>
    <s v="03/02/2024"/>
    <s v="RMC"/>
    <n v="5096"/>
    <x v="73"/>
    <s v="ORING NITRILO ELECTROVALVU ABS (8) #10*1"/>
    <n v="4"/>
    <n v="1200"/>
    <s v="TRANSPORTES Y SERVICIOS TRANSER SAS"/>
    <s v="JONATHAN PAEZ PEDRAZA"/>
    <n v="2"/>
    <s v="FEBRERO"/>
  </r>
  <r>
    <n v="2024"/>
    <s v="08/07/2024"/>
    <s v="RMC"/>
    <n v="5354"/>
    <x v="106"/>
    <s v="ARANDELA SATELITE 46 MLB"/>
    <n v="4"/>
    <n v="60000"/>
    <s v="TRANSPORTES Y SERVICIOS TRANSER SAS"/>
    <s v="JONATHAN PAEZ PEDRAZA"/>
    <n v="7"/>
    <s v="JULIO"/>
  </r>
  <r>
    <n v="2024"/>
    <s v="08/07/2024"/>
    <s v="RMC"/>
    <n v="5354"/>
    <x v="102"/>
    <s v="ARANDELA PLANETARIO 46000 LB"/>
    <n v="4"/>
    <n v="64000"/>
    <s v="TRANSPORTES Y SERVICIOS TRANSER SAS"/>
    <s v="JONATHAN PAEZ PEDRAZA"/>
    <n v="7"/>
    <s v="JULIO"/>
  </r>
  <r>
    <n v="2024"/>
    <s v="16/09/2024"/>
    <s v="RMC"/>
    <n v="5520"/>
    <x v="107"/>
    <s v="BALINERA FAN CLUTCH KYSOR"/>
    <n v="4"/>
    <n v="140000"/>
    <s v="IMPOCOMA S.A.S"/>
    <s v="FABIO DAVID FORERO RUIZ"/>
    <n v="9"/>
    <s v="SEPTIEMBRE"/>
  </r>
  <r>
    <n v="2024"/>
    <s v="25/04/2024"/>
    <s v="RMC"/>
    <n v="5236"/>
    <x v="108"/>
    <s v="VALVULA REG DE SILLA BOTON GRIS"/>
    <n v="4"/>
    <n v="148000"/>
    <s v="IMPOCOMA S.A.S"/>
    <s v="FABIO DAVID FORERO RUIZ"/>
    <n v="4"/>
    <s v="ABRIL"/>
  </r>
  <r>
    <n v="2024"/>
    <s v="19/02/2024"/>
    <s v="RMC"/>
    <n v="5122"/>
    <x v="109"/>
    <s v="PIÑÓN MONO TODAS 18 CAMBIOS"/>
    <n v="1"/>
    <n v="815000"/>
    <s v="CEMEX COLOMBIA S.A."/>
    <s v="YASMID DEL PILAR URIBE DELGADO"/>
    <n v="2"/>
    <s v="FEBRERO"/>
  </r>
  <r>
    <n v="2024"/>
    <s v="21/09/2024"/>
    <s v="RMC"/>
    <n v="5530"/>
    <x v="110"/>
    <s v="SOPORTE TRASERO MOTOR HI"/>
    <n v="1"/>
    <n v="85000"/>
    <s v="CEMEX COLOMBIA S.A."/>
    <s v="YASMID DEL PILAR URIBE DELGADO"/>
    <n v="9"/>
    <s v="SEPTIEMBRE"/>
  </r>
  <r>
    <n v="2024"/>
    <s v="07/03/2024"/>
    <s v="RMC"/>
    <n v="5151"/>
    <x v="111"/>
    <s v="TAPA EJE DE TOMA 2&quot;"/>
    <n v="2"/>
    <n v="196000"/>
    <s v="CEMEX COLOMBIA S.A."/>
    <s v="YASMID DEL PILAR URIBE DELGADO"/>
    <n v="3"/>
    <s v="MARZO"/>
  </r>
  <r>
    <n v="2024"/>
    <s v="21/03/2024"/>
    <s v="RMC"/>
    <n v="5181"/>
    <x v="112"/>
    <s v="ARANDELA  BAJO 44/46.000 LBS"/>
    <n v="1"/>
    <n v="48000"/>
    <s v="TRANSPORTES Y SERVICIOS TRANSER SAS"/>
    <s v="JONATHAN PAEZ PEDRAZA"/>
    <n v="3"/>
    <s v="MARZO"/>
  </r>
  <r>
    <n v="2024"/>
    <s v="19/07/2024"/>
    <s v="RMC"/>
    <n v="5387"/>
    <x v="76"/>
    <s v="PLACA ADAPTADORA"/>
    <n v="1"/>
    <n v="202000"/>
    <s v="TRANSPORTES Y SERVICIOS TRANSER SAS"/>
    <s v="JONATHAN PAEZ PEDRAZA"/>
    <n v="7"/>
    <s v="JULIO"/>
  </r>
  <r>
    <n v="2024"/>
    <s v="19/07/2024"/>
    <s v="RMC"/>
    <n v="5387"/>
    <x v="113"/>
    <s v="BARRA SUJETADORA  DEL CINTURON SEGURIDAD"/>
    <n v="1"/>
    <n v="56000"/>
    <s v="TRANSPORTES Y SERVICIOS TRANSER SAS"/>
    <s v="JONATHAN PAEZ PEDRAZA"/>
    <n v="7"/>
    <s v="JULIO"/>
  </r>
  <r>
    <n v="2024"/>
    <s v="01/04/2024"/>
    <s v="RMC"/>
    <n v="5193"/>
    <x v="113"/>
    <s v="BARRA SUJETADORA  DEL CINTURON SEGURIDAD"/>
    <n v="1"/>
    <n v="56000"/>
    <s v="TRANSPORTES Y SERVICIOS TRANSER SAS"/>
    <s v="JONATHAN PAEZ PEDRAZA"/>
    <n v="4"/>
    <s v="ABRIL"/>
  </r>
  <r>
    <n v="2024"/>
    <s v="15/06/2024"/>
    <s v="RMC"/>
    <n v="5321"/>
    <x v="114"/>
    <s v="KIT REPARACION ADVANTAGE MANZ 2 1/2&quot; Y 5"/>
    <n v="2"/>
    <n v="3670000"/>
    <s v="CEMEX COLOMBIA S.A."/>
    <s v="YASMID DEL PILAR URIBE DELGADO"/>
    <n v="6"/>
    <s v="JUNIO"/>
  </r>
  <r>
    <n v="2024"/>
    <s v="21/11/2024"/>
    <s v="RMC"/>
    <n v="5679"/>
    <x v="115"/>
    <s v="PIÑA CDIZO"/>
    <n v="1"/>
    <n v="91400"/>
    <s v="CENTRO AUTOMOTOR DIESEL S.A CENTRODIESEL"/>
    <s v="DANIELA ALEJANDRA LEON VARGAS"/>
    <n v="11"/>
    <s v="NOVIEMBRE"/>
  </r>
  <r>
    <n v="2024"/>
    <s v="21/11/2024"/>
    <s v="RMC"/>
    <n v="5679"/>
    <x v="116"/>
    <s v="KIT RETEN MONO 14715/915/918 11210 (BRA)"/>
    <n v="1"/>
    <n v="96800"/>
    <s v="CENTRO AUTOMOTOR DIESEL S.A CENTRODIESEL"/>
    <s v="DANIELA ALEJANDRA LEON VARGAS"/>
    <n v="11"/>
    <s v="NOVIEMBRE"/>
  </r>
  <r>
    <n v="2024"/>
    <s v="09/10/2024"/>
    <s v="RMC"/>
    <n v="5594"/>
    <x v="73"/>
    <s v="ORING NITRILO ELECTROVALVU ABS (8) #10*1"/>
    <n v="8"/>
    <n v="2400"/>
    <s v="TRANSPORTES Y SERVICIOS TRANSER SAS"/>
    <s v="JONATHAN PAEZ PEDRAZA"/>
    <n v="10"/>
    <s v="OCTUBRE"/>
  </r>
  <r>
    <n v="2024"/>
    <s v="09/10/2024"/>
    <s v="RMC"/>
    <n v="5594"/>
    <x v="117"/>
    <s v="ORING NITRILO ELECTROVALV ABS (8) #15*1"/>
    <n v="8"/>
    <n v="2400"/>
    <s v="TRANSPORTES Y SERVICIOS TRANSER SAS"/>
    <s v="JONATHAN PAEZ PEDRAZA"/>
    <n v="10"/>
    <s v="OCTUBRE"/>
  </r>
  <r>
    <n v="2024"/>
    <s v="09/10/2024"/>
    <s v="RMC"/>
    <n v="5594"/>
    <x v="58"/>
    <s v="ORING NITRILO REF 103"/>
    <n v="3"/>
    <n v="300"/>
    <s v="TRANSPORTES Y SERVICIOS TRANSER SAS"/>
    <s v="JONATHAN PAEZ PEDRAZA"/>
    <n v="10"/>
    <s v="OCTUBRE"/>
  </r>
  <r>
    <n v="2024"/>
    <s v="18/09/2024"/>
    <s v="RMC"/>
    <n v="5524"/>
    <x v="73"/>
    <s v="ORING NITRILO ELECTROVALVU ABS (8) #10*1"/>
    <n v="4"/>
    <n v="1200"/>
    <s v="TRANSPORTES Y SERVICIOS TRANSER SAS"/>
    <s v="JONATHAN PAEZ PEDRAZA"/>
    <n v="9"/>
    <s v="SEPTIEMBRE"/>
  </r>
  <r>
    <n v="2024"/>
    <s v="17/12/2024"/>
    <s v="RMC"/>
    <n v="5732"/>
    <x v="118"/>
    <s v="ARANDELA CONCENTRICA ALINEACION BRONCE"/>
    <n v="7"/>
    <n v="561162"/>
    <s v="TRANSPORTES Y SERVICIOS TRANSER SAS"/>
    <s v="JONATHAN PAEZ PEDRAZA"/>
    <n v="12"/>
    <s v="DICIEMBRE"/>
  </r>
  <r>
    <n v="2024"/>
    <s v="17/12/2024"/>
    <s v="RMC"/>
    <n v="5733"/>
    <x v="119"/>
    <s v="PIN ESPIRAL PIÑON 4303422"/>
    <n v="1"/>
    <n v="19000"/>
    <s v="CEMEX COLOMBIA S.A."/>
    <s v="YASMID DEL PILAR URIBE DELGADO"/>
    <n v="12"/>
    <s v="DICIEMBRE"/>
  </r>
  <r>
    <n v="2024"/>
    <s v="05/09/2024"/>
    <s v="RMC"/>
    <n v="5494"/>
    <x v="120"/>
    <s v="ARANDELA SATELITE DIVISOR 46160"/>
    <n v="2"/>
    <n v="9200"/>
    <s v="CEMEX COLOMBIA S.A."/>
    <s v="YASMID DEL PILAR URIBE DELGADO"/>
    <n v="9"/>
    <s v="SEPTIEMBRE"/>
  </r>
  <r>
    <n v="2024"/>
    <s v="12/09/2024"/>
    <s v="RMC"/>
    <n v="5511"/>
    <x v="121"/>
    <s v="VALV SOLENOID BLANCA AIRE FRENO PROSTAR"/>
    <n v="2"/>
    <n v="596000"/>
    <s v="TRANSPORTES Y SERVICIOS TRANSER SAS"/>
    <s v="JONATHAN PAEZ PEDRAZA"/>
    <n v="9"/>
    <s v="SEPTIEMBRE"/>
  </r>
  <r>
    <n v="2024"/>
    <s v="05/06/2024"/>
    <s v="RMC"/>
    <n v="5304"/>
    <x v="122"/>
    <s v="CILINDRO AUXI CLUTCH M2106-112/CASCADIA"/>
    <n v="1"/>
    <n v="465300"/>
    <s v="CEMEX COLOMBIA S.A."/>
    <s v="YASMID DEL PILAR URIBE DELGADO"/>
    <n v="6"/>
    <s v="JUNIO"/>
  </r>
  <r>
    <n v="2024"/>
    <s v="21/11/2024"/>
    <s v="RMC"/>
    <n v="5682"/>
    <x v="123"/>
    <s v="RETEN BOMBA DE ACEITE 46-170 (JGOX4)"/>
    <n v="1"/>
    <n v="320000"/>
    <s v="CEMEX COLOMBIA S.A."/>
    <s v="YASMID DEL PILAR URIBE DELGADO"/>
    <n v="11"/>
    <s v="NOVIEMBRE"/>
  </r>
  <r>
    <n v="2024"/>
    <s v="21/11/2024"/>
    <s v="RMC"/>
    <n v="5682"/>
    <x v="109"/>
    <s v="PIÑÓN MONO TODAS 18 CAMBIOS"/>
    <n v="3"/>
    <n v="2445000"/>
    <s v="CEMEX COLOMBIA S.A."/>
    <s v="YASMID DEL PILAR URIBE DELGADO"/>
    <n v="11"/>
    <s v="NOVIEMBRE"/>
  </r>
  <r>
    <n v="2024"/>
    <s v="12/09/2024"/>
    <s v="RMC"/>
    <n v="5512"/>
    <x v="124"/>
    <s v="ELECTROVALVULA FAN CLUTCH TIPO PALA"/>
    <n v="1"/>
    <n v="289933"/>
    <s v="CEMEX COLOMBIA S.A."/>
    <s v="YASMID DEL PILAR URIBE DELGADO"/>
    <n v="9"/>
    <s v="SEPTIEMBRE"/>
  </r>
  <r>
    <n v="2024"/>
    <s v="08/11/2024"/>
    <s v="RMC"/>
    <n v="5657"/>
    <x v="125"/>
    <s v="SPLINDER BRONCE 2 CUÑ. 90,06&quot; X 1,87&quot;"/>
    <n v="1"/>
    <n v="1114736"/>
    <s v="TRANSPORTES Y SERVICIOS TRANSER SAS"/>
    <s v="JONATHAN PAEZ PEDRAZA"/>
    <n v="11"/>
    <s v="NOVIEMBRE"/>
  </r>
  <r>
    <n v="2024"/>
    <s v="08/11/2024"/>
    <s v="RMC"/>
    <n v="5657"/>
    <x v="105"/>
    <s v="ELECTRO VALVULA FAN CABLE  NEGRO-ROJO"/>
    <n v="1"/>
    <n v="585000"/>
    <s v="TRANSPORTES Y SERVICIOS TRANSER SAS"/>
    <s v="JONATHAN PAEZ PEDRAZA"/>
    <n v="11"/>
    <s v="NOVIEMBRE"/>
  </r>
  <r>
    <n v="2024"/>
    <s v="15/03/2024"/>
    <s v="RMC"/>
    <n v="5169"/>
    <x v="104"/>
    <s v="SHIMS SPLINDER 328349  A= 0.70"/>
    <n v="4"/>
    <n v="6400"/>
    <s v="TRANSPORTES Y SERVICIOS TRANSER SAS"/>
    <s v="JONATHAN PAEZ PEDRAZA"/>
    <n v="3"/>
    <s v="MARZO"/>
  </r>
  <r>
    <n v="2024"/>
    <s v="15/03/2024"/>
    <s v="RMC"/>
    <n v="5169"/>
    <x v="126"/>
    <s v="SHIM SPLINDER R201309"/>
    <n v="3"/>
    <n v="4200"/>
    <s v="TRANSPORTES Y SERVICIOS TRANSER SAS"/>
    <s v="JONATHAN PAEZ PEDRAZA"/>
    <n v="3"/>
    <s v="MARZO"/>
  </r>
  <r>
    <n v="2024"/>
    <s v="08/10/2024"/>
    <s v="RMC"/>
    <n v="5589"/>
    <x v="124"/>
    <s v="ELECTROVALVULA FAN CLUTCH TIPO PALA"/>
    <n v="3"/>
    <n v="869799"/>
    <s v="CEMEX COLOMBIA S.A."/>
    <s v="YASMID DEL PILAR URIBE DELGADO"/>
    <n v="10"/>
    <s v="OCTUBRE"/>
  </r>
  <r>
    <n v="2024"/>
    <s v="08/10/2024"/>
    <s v="RMC"/>
    <n v="5589"/>
    <x v="116"/>
    <s v="KIT RETEN MONO 14715/915/918 11210 (BRA)"/>
    <n v="2"/>
    <n v="241806"/>
    <s v="CEMEX COLOMBIA S.A."/>
    <s v="YASMID DEL PILAR URIBE DELGADO"/>
    <n v="10"/>
    <s v="OCTUBRE"/>
  </r>
  <r>
    <n v="2024"/>
    <s v="31/05/2024"/>
    <s v="RMC"/>
    <n v="5300"/>
    <x v="124"/>
    <s v="ELECTROVALVULA FAN CLUTCH TIPO PALA"/>
    <n v="1"/>
    <n v="289933"/>
    <s v="CEMEX COLOMBIA S.A."/>
    <s v="YASMID DEL PILAR URIBE DELGADO"/>
    <n v="5"/>
    <s v="MAYO"/>
  </r>
  <r>
    <n v="2024"/>
    <s v="02/08/2024"/>
    <s v="RMC"/>
    <n v="5420"/>
    <x v="61"/>
    <s v="BALINERA FAN CLUTCH KYSOR"/>
    <n v="6"/>
    <n v="502200"/>
    <s v="IMPOCOMA S.A.S"/>
    <s v="FABIO DAVID FORERO RUIZ"/>
    <n v="8"/>
    <s v="AGOSTO"/>
  </r>
  <r>
    <n v="2024"/>
    <s v="02/08/2024"/>
    <s v="RMC"/>
    <n v="5420"/>
    <x v="79"/>
    <s v="KIT FAN CLUTCH TIPO KYSOR K32-S JGX7"/>
    <n v="3"/>
    <n v="825000"/>
    <s v="IMPOCOMA S.A.S"/>
    <s v="FABIO DAVID FORERO RUIZ"/>
    <n v="8"/>
    <s v="AGOSTO"/>
  </r>
  <r>
    <n v="2024"/>
    <s v="04/07/2024"/>
    <s v="RMC"/>
    <n v="5350"/>
    <x v="73"/>
    <s v="ORING NITRILO ELECTROVALVU ABS (8) #10*1"/>
    <n v="7"/>
    <n v="2100"/>
    <s v="TRANSPORTES Y SERVICIOS TRANSER SAS"/>
    <s v="JONATHAN PAEZ PEDRAZA"/>
    <n v="7"/>
    <s v="JULIO"/>
  </r>
  <r>
    <n v="2024"/>
    <s v="26/07/2024"/>
    <s v="RMC"/>
    <n v="5396"/>
    <x v="127"/>
    <s v="SET ROD Y PISTA EJE DE SALIDA 46160"/>
    <n v="1"/>
    <n v="85700"/>
    <s v="CENTRO AUTOMOTOR DIESEL S.A CENTRODIESEL"/>
    <s v="DANIELA ALEJANDRA LEON VARGAS"/>
    <n v="7"/>
    <s v="JULIO"/>
  </r>
  <r>
    <n v="2024"/>
    <s v="26/07/2024"/>
    <s v="RMC"/>
    <n v="5396"/>
    <x v="128"/>
    <s v="KIT EMPAQUES PRINCIPAL 14/16918"/>
    <n v="1"/>
    <n v="145700"/>
    <s v="CENTRO AUTOMOTOR DIESEL S.A CENTRODIESEL"/>
    <s v="DANIELA ALEJANDRA LEON VARGAS"/>
    <n v="7"/>
    <s v="JULIO"/>
  </r>
  <r>
    <n v="2024"/>
    <s v="22/05/2024"/>
    <s v="RMC"/>
    <n v="5285"/>
    <x v="129"/>
    <s v="POLISOMBRA VERDE 2.10x33M"/>
    <n v="297"/>
    <n v="691416"/>
    <s v="TRANSPORTES Y SERVICIOS TRANSER SAS"/>
    <s v="JONATHAN PAEZ PEDRAZA"/>
    <n v="5"/>
    <s v="MAYO"/>
  </r>
  <r>
    <n v="2024"/>
    <s v="26/02/2024"/>
    <s v="RMC"/>
    <n v="5138"/>
    <x v="130"/>
    <s v="PERA/SENSOR NIVEL REFRIG. EAGLE Y KW"/>
    <n v="3"/>
    <n v="1260000"/>
    <s v="IMPOCOMA S.A.S"/>
    <s v="FABIO DAVID FORERO RUIZ"/>
    <n v="2"/>
    <s v="FEBRERO"/>
  </r>
  <r>
    <n v="2024"/>
    <s v="26/02/2024"/>
    <s v="RMC"/>
    <n v="5138"/>
    <x v="57"/>
    <s v="ABRAZADERA EXOSTO 4&quot;"/>
    <n v="8"/>
    <n v="400000"/>
    <s v="IMPOCOMA S.A.S"/>
    <s v="FABIO DAVID FORERO RUIZ"/>
    <n v="2"/>
    <s v="FEBRERO"/>
  </r>
  <r>
    <n v="2025"/>
    <s v="24/04/2025"/>
    <s v="RMC"/>
    <n v="6021"/>
    <x v="131"/>
    <s v="EMPAQUETADURA SUPERIOR CUMMINS"/>
    <n v="1"/>
    <n v="1136842"/>
    <s v="MUNDIAL DE PARTES PINZON Y ASOCIADOS SAS"/>
    <s v="CARLOS HERNAN SALGADO PINZON"/>
    <n v="4"/>
    <s v="ABRIL"/>
  </r>
  <r>
    <n v="2025"/>
    <s v="24/04/2025"/>
    <s v="RMC"/>
    <n v="6021"/>
    <x v="132"/>
    <s v="EMPAQUETADURA INFERIOR CUMMINS ISM Y L10 (L10 después de 1991 - L10E - M11 E ISM)"/>
    <n v="1"/>
    <n v="1684210"/>
    <s v="MUNDIAL DE PARTES PINZON Y ASOCIADOS SAS"/>
    <s v="CARLOS HERNAN SALGADO PINZON"/>
    <n v="4"/>
    <s v="ABRIL"/>
  </r>
  <r>
    <n v="2025"/>
    <s v="31/03/2025"/>
    <s v="RMC"/>
    <n v="5958"/>
    <x v="133"/>
    <s v="OVERHAUL CUM 855 350 PIST3051555 CON EMP"/>
    <n v="1"/>
    <n v="3700240"/>
    <s v="COMERCIALIZADORA DE REPUESTOS M&amp;C SAS"/>
    <s v="CARLOS ALBERTO CABEZA NOPE"/>
    <n v="3"/>
    <s v="MARZO"/>
  </r>
  <r>
    <n v="2025"/>
    <s v="04/04/2025"/>
    <s v="RMC"/>
    <n v="5980"/>
    <x v="134"/>
    <s v="OVERHAUL CUMMINS ISM/M11 SIN PISTON"/>
    <n v="1"/>
    <n v="3049999.7"/>
    <s v="ALMACEN MAC REPUESTOS LTDA"/>
    <s v="CARLOS HERNAN SALGADO PINZON"/>
    <n v="4"/>
    <s v="ABRIL"/>
  </r>
  <r>
    <n v="2025"/>
    <s v="19/05/2025"/>
    <s v="RMC"/>
    <n v="6063"/>
    <x v="135"/>
    <s v="BALINERA 118L PIÑON CENTRAL 8908/14715"/>
    <n v="1"/>
    <n v="190000"/>
    <s v="TRANSPORTES Y SERVICIOS TRANSER SAS"/>
    <s v="JONATHAN PAEZ PEDRAZA"/>
    <n v="5"/>
    <s v="MAYO"/>
  </r>
  <r>
    <n v="2025"/>
    <s v="25/04/2025"/>
    <s v="RMC"/>
    <n v="6026"/>
    <x v="136"/>
    <s v="KIT OVERHAUL ISM"/>
    <n v="1"/>
    <n v="8806500"/>
    <s v="ALMACEN MAC REPUESTOS LTDA"/>
    <s v="CARLOS HERNAN SALGADO PINZON"/>
    <n v="4"/>
    <s v="ABRIL"/>
  </r>
  <r>
    <n v="2025"/>
    <s v="25/04/2025"/>
    <s v="RMC"/>
    <n v="6026"/>
    <x v="137"/>
    <s v="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"/>
    <n v="1"/>
    <n v="2641000"/>
    <s v="ALMACEN MAC REPUESTOS LTDA"/>
    <s v="CARLOS HERNAN SALGADO PINZON"/>
    <n v="4"/>
    <s v="ABRIL"/>
  </r>
  <r>
    <n v="2025"/>
    <s v="05/02/2025"/>
    <s v="RMC"/>
    <n v="5830"/>
    <x v="138"/>
    <s v="ABRAZADERA EXOSTO 5&quot;"/>
    <n v="4"/>
    <n v="160800"/>
    <s v="EMPRESA DE DISTRIBUCIONES INDUSTRIALES S.A.S."/>
    <s v="WILLIAM DUVAN REYES DIAZ"/>
    <n v="2"/>
    <s v="FEBRERO"/>
  </r>
  <r>
    <n v="2025"/>
    <s v="19/03/2025"/>
    <s v="RMC"/>
    <n v="5930"/>
    <x v="139"/>
    <s v="RODILLO ANCLAJE CLUTCH KENWORTH"/>
    <n v="1"/>
    <n v="78300"/>
    <s v="TRANSPORTES Y SERVICIOS TRANSER SAS"/>
    <s v="JONATHAN PAEZ PEDRAZA"/>
    <n v="3"/>
    <s v="MARZO"/>
  </r>
  <r>
    <n v="2025"/>
    <s v="28/01/2025"/>
    <s v="RMC"/>
    <n v="5815"/>
    <x v="93"/>
    <s v="PIN BALINERA O RODILLO EJE DE TOMA - TOD"/>
    <n v="1"/>
    <n v="3700"/>
    <s v="CENTRO AUTOMOTOR DIESEL S.A CENTRODIESEL"/>
    <s v="DANIELA ALEJANDRA LEON VARGAS"/>
    <n v="1"/>
    <s v="ENERO"/>
  </r>
  <r>
    <n v="2025"/>
    <s v="22/01/2025"/>
    <s v="RMC"/>
    <n v="5801"/>
    <x v="84"/>
    <s v="TAPA BARRA FS 6305"/>
    <n v="1"/>
    <n v="117936"/>
    <s v="EMPRESA DE DISTRIBUCIONES INDUSTRIALES S.A.S."/>
    <s v="WILLIAM DUVAN REYES DIAZ"/>
    <n v="1"/>
    <s v="ENERO"/>
  </r>
  <r>
    <n v="2025"/>
    <s v="07/02/2025"/>
    <s v="RMC"/>
    <n v="5841"/>
    <x v="47"/>
    <s v="OVERHAUL DT466 PISTO 410005 688835C2 STD"/>
    <n v="1"/>
    <n v="3300000.75"/>
    <s v="ALMACEN MAC REPUESTOS LTDA"/>
    <s v="JUAN CAMILO BONILLA CASTELLANOS"/>
    <n v="2"/>
    <s v="FEBRERO"/>
  </r>
  <r>
    <n v="2025"/>
    <s v="02/01/2025"/>
    <s v="RMC"/>
    <n v="5762"/>
    <x v="140"/>
    <s v="KIT TUER  ARANDE EJE SAL 160/ SPEED 240"/>
    <n v="1"/>
    <n v="35000"/>
    <s v="CEMEX COLOMBIA S.A."/>
    <s v="YASMID DEL PILAR URIBE DELGADO"/>
    <n v="1"/>
    <s v="ENERO"/>
  </r>
  <r>
    <n v="2025"/>
    <s v="26/05/2025"/>
    <s v="RMC"/>
    <n v="6075"/>
    <x v="141"/>
    <s v="PIN AJUSTE RODILLOS EJE SALIDA 0.161 IN"/>
    <n v="3"/>
    <n v="99891"/>
    <s v="TRANSPORTES Y SERVICIOS TRANSER SAS"/>
    <s v="JONATHAN PAEZ PEDRAZA"/>
    <n v="5"/>
    <s v="MAYO"/>
  </r>
  <r>
    <n v="2025"/>
    <s v="26/05/2025"/>
    <s v="RMC"/>
    <n v="6076"/>
    <x v="142"/>
    <s v="PIN AJUSTE RODILLOS EJE SALIDA 0.158 IN"/>
    <n v="3"/>
    <n v="80964"/>
    <s v="TRANSPORTES Y SERVICIOS TRANSER SAS"/>
    <s v="JONATHAN PAEZ PEDRAZA"/>
    <n v="5"/>
    <s v="MAYO"/>
  </r>
  <r>
    <n v="2025"/>
    <s v="30/05/2025"/>
    <s v="RMC"/>
    <n v="6090"/>
    <x v="143"/>
    <s v="MAQUINA REMACHADORA"/>
    <n v="1"/>
    <n v="9473684"/>
    <s v="JOHAN ERASMO VELASQUEZ MUÑOZ"/>
    <s v="JUAN YANEZ LOBO"/>
    <n v="5"/>
    <s v="MAYO"/>
  </r>
  <r>
    <n v="2025"/>
    <s v="07/02/2025"/>
    <s v="RMC"/>
    <n v="5835"/>
    <x v="144"/>
    <s v="SET ROD Y PISTA PLANETAR DIVISOR 160"/>
    <n v="1"/>
    <n v="105000"/>
    <s v="TRANSPORTES Y SERVICIOS TRANSER SAS"/>
    <s v="JONATHAN PAEZ PEDRAZA"/>
    <n v="2"/>
    <s v="FEBRERO"/>
  </r>
  <r>
    <n v="2025"/>
    <s v="07/07/2025"/>
    <s v="RMC"/>
    <n v="6143"/>
    <x v="145"/>
    <s v="CORREA PARA VENTILADOR INTERNATIONAL 9100,9200, 9400 CON MOTOR DETROIT"/>
    <n v="2"/>
    <n v="200000"/>
    <s v="TRANSPORTES Y SERVICIOS TRANSER SAS"/>
    <s v="JONATHAN PAEZ PEDRAZA"/>
    <n v="7"/>
    <s v="JULIO"/>
  </r>
  <r>
    <n v="2025"/>
    <s v="02/01/2025"/>
    <s v="RMC"/>
    <n v="5760"/>
    <x v="146"/>
    <s v="BOLSA SUSPENSION"/>
    <n v="1"/>
    <n v="340000"/>
    <s v="TRANSPORTES Y SERVICIOS TRANSER SAS"/>
    <s v="JONATHAN PAEZ PEDRAZA"/>
    <n v="1"/>
    <s v="ENERO"/>
  </r>
  <r>
    <n v="2025"/>
    <s v="12/06/2025"/>
    <s v="RMC"/>
    <n v="6107"/>
    <x v="147"/>
    <s v="BOMBA DE DIRECCION ASISTIDA COLUMBIA MOTOR DETROIT SERIE 60 / FN32X15"/>
    <n v="1"/>
    <n v="845500"/>
    <s v="SURTIREPUESTOS SAMACA S.A.S"/>
    <s v="JONATHAN PAEZ PEDRAZA"/>
    <n v="6"/>
    <s v="JUNIO"/>
  </r>
  <r>
    <n v="2025"/>
    <s v="18/06/2025"/>
    <s v="RMC"/>
    <n v="6116"/>
    <x v="148"/>
    <s v="BUJE COMPRESOR BAJO ISX"/>
    <n v="1"/>
    <n v="106000"/>
    <s v="TRANSPORTES Y SERVICIOS TRANSER SAS"/>
    <s v="JONATHAN PAEZ PEDRAZA"/>
    <n v="6"/>
    <s v="JUNIO"/>
  </r>
  <r>
    <n v="2025"/>
    <s v="24/01/2025"/>
    <s v="RMC"/>
    <n v="5802"/>
    <x v="149"/>
    <s v="HORQUILLA 3RA Y 4TA 14718/915/918/16918"/>
    <n v="1"/>
    <n v="222000"/>
    <s v="TRANSPORTES Y SERVICIOS TRANSER SAS"/>
    <s v="JONATHAN PAEZ PEDRAZA"/>
    <n v="1"/>
    <s v="ENERO"/>
  </r>
  <r>
    <n v="2025"/>
    <s v="11/07/2025"/>
    <s v="RMC"/>
    <n v="6152"/>
    <x v="147"/>
    <s v="BOMBA DE DIRECCION ASISTIDA COLUMBIA MOTOR DETROIT SERIE 60 / FN32X15"/>
    <n v="1"/>
    <n v="898276.04"/>
    <s v="COMERCIALIZADORA DE REPUESTOS M&amp;C SAS"/>
    <s v="LUIS FERNANDO CANGREJO BAQUERO"/>
    <n v="7"/>
    <s v="JULIO"/>
  </r>
  <r>
    <n v="2025"/>
    <s v="06/06/2025"/>
    <s v="RMC"/>
    <n v="6094"/>
    <x v="150"/>
    <s v="INTERCOOLER KENWORTH T880 Y T680 (COMPAÑERO S-23037)"/>
    <n v="1"/>
    <n v="2463760"/>
    <s v="COMERCIALIZADORA DE REPUESTOS M&amp;C SAS"/>
    <s v="CARLOS ALBERTO CABEZA NOPE"/>
    <n v="6"/>
    <s v="JUNIO"/>
  </r>
  <r>
    <n v="2025"/>
    <s v="11/07/2025"/>
    <s v="RMC"/>
    <n v="6152"/>
    <x v="151"/>
    <s v="VALVULA DE EXPANCIÓN DE AIRE ACONDICIONADO KENWORTH T660 Y T800"/>
    <n v="1"/>
    <n v="90885.88"/>
    <s v="COMERCIALIZADORA DE REPUESTOS M&amp;C SAS"/>
    <s v="LUIS FERNANDO CANGREJO BAQUERO"/>
    <n v="7"/>
    <s v="JULIO"/>
  </r>
  <r>
    <n v="2025"/>
    <s v="11/07/2025"/>
    <s v="RMC"/>
    <n v="6152"/>
    <x v="152"/>
    <s v="RADIADOR KENWORTH T880 Y T680 (COMPAÑERO S-23514)"/>
    <n v="1"/>
    <n v="2220068.56"/>
    <s v="COMERCIALIZADORA DE REPUESTOS M&amp;C SAS"/>
    <s v="LUIS FERNANDO CANGREJO BAQUERO"/>
    <n v="7"/>
    <s v="JULIO"/>
  </r>
  <r>
    <n v="2025"/>
    <s v="11/07/2025"/>
    <s v="RMC"/>
    <n v="6152"/>
    <x v="153"/>
    <s v="VENTILADOR 28X2,56X9"/>
    <n v="1"/>
    <n v="280000.15999999997"/>
    <s v="COMERCIALIZADORA DE REPUESTOS M&amp;C SAS"/>
    <s v="LUIS FERNANDO CANGREJO BAQUERO"/>
    <n v="7"/>
    <s v="JULIO"/>
  </r>
  <r>
    <n v="2025"/>
    <s v="27/06/2025"/>
    <s v="RMC"/>
    <n v="6127"/>
    <x v="154"/>
    <s v="KIT DE REP LEVA FREN TRAILER ROMARCO"/>
    <n v="12"/>
    <n v="2073600"/>
    <s v="EMPRESA DE DISTRIBUCIONES INDUSTRIALES S.A.S."/>
    <s v="WILLIAM DUVAN REYES DIAZ"/>
    <n v="6"/>
    <s v="JUNIO"/>
  </r>
  <r>
    <n v="2025"/>
    <s v="01/07/2025"/>
    <s v="RMC"/>
    <n v="6132"/>
    <x v="86"/>
    <s v="TUERCA TRAILER TODOS"/>
    <n v="2"/>
    <n v="460000"/>
    <s v="TRANSPORTES Y SERVICIOS TRANSER SAS"/>
    <s v="JONATHAN PAEZ PEDRAZA"/>
    <n v="7"/>
    <s v="JULIO"/>
  </r>
  <r>
    <n v="2025"/>
    <s v="01/07/2025"/>
    <s v="RMC"/>
    <n v="6132"/>
    <x v="155"/>
    <s v="RESORTE NARANJA TAPA CAJA - TODAS"/>
    <n v="3"/>
    <n v="7200"/>
    <s v="TRANSPORTES Y SERVICIOS TRANSER SAS"/>
    <s v="JONATHAN PAEZ PEDRAZA"/>
    <n v="7"/>
    <s v="JULIO"/>
  </r>
  <r>
    <n v="2025"/>
    <s v="19/07/2025"/>
    <s v="RMC"/>
    <n v="6175"/>
    <x v="69"/>
    <s v="RETENEDOR EJE SALIDA 46160"/>
    <n v="1"/>
    <n v="145000"/>
    <s v="EMPRESA DE DISTRIBUCIONES INDUSTRIALES S.A.S."/>
    <s v="WILLIAM DUVAN REYES DIAZ"/>
    <n v="7"/>
    <s v="JULIO"/>
  </r>
  <r>
    <n v="2025"/>
    <s v="01/07/2025"/>
    <s v="RMC"/>
    <n v="6133"/>
    <x v="156"/>
    <s v="TENSOR CORREA (VENTILADOR Y ALTERNADOR)"/>
    <n v="2"/>
    <n v="620000"/>
    <s v="TRANSPORTES Y SERVICIOS TRANSER SAS"/>
    <s v="JONATHAN PAEZ PEDRAZA"/>
    <n v="7"/>
    <s v="JULIO"/>
  </r>
  <r>
    <n v="2025"/>
    <s v="06/08/2025"/>
    <s v="RMC"/>
    <n v="6206"/>
    <x v="143"/>
    <s v="MAQUINA REMACHADORA"/>
    <n v="1"/>
    <n v="9473684"/>
    <s v="JOHAN ERASMO VELASQUEZ MUÑOZ"/>
    <s v="JUAN YANEZ LOBO"/>
    <n v="8"/>
    <s v="AGOSTO"/>
  </r>
  <r>
    <n v="2025"/>
    <s v="12/06/2025"/>
    <s v="RMC"/>
    <n v="6104"/>
    <x v="143"/>
    <s v="MAQUINA REMACHADORA"/>
    <n v="1"/>
    <n v="9100000"/>
    <s v="JOSEPH FERNANDO LOPEZ PARADA"/>
    <s v="ERMES ISAAC SOTO PATERNINA"/>
    <n v="6"/>
    <s v="JUNIO"/>
  </r>
  <r>
    <n v="2025"/>
    <s v="08/08/2025"/>
    <s v="RMC"/>
    <n v="6208"/>
    <x v="70"/>
    <s v="BUJE TRIFUNCIONAL KIT JGOx6"/>
    <n v="24"/>
    <n v="14760000"/>
    <s v="EMPRESA DE DISTRIBUCIONES INDUSTRIALES S.A.S."/>
    <s v="WILLIAM DUVAN REYES DIAZ"/>
    <n v="8"/>
    <s v="AGOSTO"/>
  </r>
  <r>
    <n v="2025"/>
    <s v="21/07/2025"/>
    <s v="RMC"/>
    <n v="6177"/>
    <x v="157"/>
    <s v="BALINERA FAN CLUTCH"/>
    <n v="10"/>
    <n v="320000"/>
    <s v="IMPOCOMA S.A.S"/>
    <s v="FABIO DAVID FORERO RUIZ"/>
    <n v="7"/>
    <s v="JULIO"/>
  </r>
  <r>
    <n v="2025"/>
    <s v="21/07/2025"/>
    <s v="RMC"/>
    <n v="6177"/>
    <x v="158"/>
    <s v="TAPA TANQUE ROSCADA  EAGLE NEGRA 15PSI"/>
    <n v="1"/>
    <n v="50000"/>
    <s v="IMPOCOMA S.A.S"/>
    <s v="FABIO DAVID FORERO RUIZ"/>
    <n v="7"/>
    <s v="JULIO"/>
  </r>
  <r>
    <n v="2025"/>
    <s v="11/04/2025"/>
    <s v="RMC"/>
    <n v="6000"/>
    <x v="159"/>
    <s v="BALINERA MONO 16918"/>
    <n v="1"/>
    <n v="338889"/>
    <s v="TRANSPORTES Y SERVICIOS TRANSER SAS"/>
    <s v="JONATHAN PAEZ PEDRAZA"/>
    <n v="4"/>
    <s v="ABRIL"/>
  </r>
  <r>
    <n v="2025"/>
    <s v="11/04/2025"/>
    <s v="RMC"/>
    <n v="6000"/>
    <x v="160"/>
    <s v="ARANDELA BUJE TRIFUNCIONAL"/>
    <n v="10"/>
    <n v="671050"/>
    <s v="TRANSPORTES Y SERVICIOS TRANSER SAS"/>
    <s v="JONATHAN PAEZ PEDRAZA"/>
    <n v="4"/>
    <s v="ABRIL"/>
  </r>
  <r>
    <n v="2025"/>
    <s v="11/04/2025"/>
    <s v="RMC"/>
    <n v="6000"/>
    <x v="161"/>
    <s v="ARANDELA EXCENTRICA ALINEACION BRONCE"/>
    <n v="9"/>
    <n v="855000"/>
    <s v="TRANSPORTES Y SERVICIOS TRANSER SAS"/>
    <s v="JONATHAN PAEZ PEDRAZA"/>
    <n v="4"/>
    <s v="ABRIL"/>
  </r>
  <r>
    <n v="2025"/>
    <s v="11/04/2025"/>
    <s v="RMC"/>
    <n v="6000"/>
    <x v="112"/>
    <s v="ARANDELA  BAJO 44/46.000 LBS"/>
    <n v="1"/>
    <n v="75000"/>
    <s v="TRANSPORTES Y SERVICIOS TRANSER SAS"/>
    <s v="JONATHAN PAEZ PEDRAZA"/>
    <n v="4"/>
    <s v="ABRIL"/>
  </r>
  <r>
    <n v="2025"/>
    <s v="11/04/2025"/>
    <s v="RMC"/>
    <n v="6000"/>
    <x v="106"/>
    <s v="ARANDELA SATELITE 46 MLB"/>
    <n v="4"/>
    <n v="64800"/>
    <s v="TRANSPORTES Y SERVICIOS TRANSER SAS"/>
    <s v="JONATHAN PAEZ PEDRAZA"/>
    <n v="4"/>
    <s v="ABRIL"/>
  </r>
  <r>
    <n v="2025"/>
    <s v="29/01/2025"/>
    <s v="RMC"/>
    <n v="5816"/>
    <x v="161"/>
    <s v="ARANDELA EXCENTRICA ALINEACION BRONCE"/>
    <n v="3"/>
    <n v="243000"/>
    <s v="TRANSPORTES Y SERVICIOS TRANSER SAS"/>
    <s v="JONATHAN PAEZ PEDRAZA"/>
    <n v="1"/>
    <s v="ENERO"/>
  </r>
  <r>
    <n v="2025"/>
    <s v="14/03/2025"/>
    <s v="RMC"/>
    <n v="5922"/>
    <x v="162"/>
    <s v="KIT EMPAQUES 14715/915/16915/8709B/8908"/>
    <n v="1"/>
    <n v="152000"/>
    <s v="TRANSPORTES Y SERVICIOS TRANSER SAS"/>
    <s v="JONATHAN PAEZ PEDRAZA"/>
    <n v="3"/>
    <s v="MARZO"/>
  </r>
  <r>
    <n v="2025"/>
    <s v="31/01/2025"/>
    <s v="RMC"/>
    <n v="5819"/>
    <x v="163"/>
    <s v="BUJE SPLINDER R1309"/>
    <n v="2"/>
    <n v="56000"/>
    <s v="TRANSPORTES Y SERVICIOS TRANSER SAS"/>
    <s v="JONATHAN PAEZ PEDRAZA"/>
    <n v="1"/>
    <s v="ENERO"/>
  </r>
  <r>
    <n v="2025"/>
    <s v="04/11/2025"/>
    <s v="RMC"/>
    <n v="6344"/>
    <x v="164"/>
    <s v="SPLINDER 14600 LB BUJE PLAS 9,06&quot; x 1,87"/>
    <n v="1"/>
    <n v="890000"/>
    <s v="TRANSPORTES Y SERVICIOS TRANSER SAS"/>
    <s v="JONATHAN PAEZ PEDRAZA"/>
    <n v="11"/>
    <s v="NOVIEMBRE"/>
  </r>
  <r>
    <n v="2025"/>
    <s v="17/06/2025"/>
    <s v="RMC"/>
    <n v="6114"/>
    <x v="107"/>
    <s v="BALINERA FAN CLUTCH KYSOR"/>
    <n v="5"/>
    <n v="175000"/>
    <s v="IMPOCOMA S.A.S"/>
    <s v="FABIO DAVID FORERO RUIZ"/>
    <n v="6"/>
    <s v="JUNIO"/>
  </r>
  <r>
    <n v="2025"/>
    <s v="17/06/2025"/>
    <s v="RMC"/>
    <n v="6114"/>
    <x v="165"/>
    <s v="EMPAQ. REPARA MAYOR SIS HIDRAU/ RET EAGL"/>
    <n v="1"/>
    <n v="480000"/>
    <s v="IMPOCOMA S.A.S"/>
    <s v="FABIO DAVID FORERO RUIZ"/>
    <n v="6"/>
    <s v="JUNIO"/>
  </r>
  <r>
    <n v="2025"/>
    <s v="25/08/2025"/>
    <s v="RMC"/>
    <n v="6230"/>
    <x v="166"/>
    <s v="PIÑON 3RA TREN FIJO 16918"/>
    <n v="2"/>
    <n v="428000"/>
    <s v="TRANSPORTES Y SERVICIOS TRANSER SAS"/>
    <s v="JONATHAN PAEZ PEDRAZA"/>
    <n v="8"/>
    <s v="AGOSTO"/>
  </r>
  <r>
    <n v="2025"/>
    <s v="22/08/2025"/>
    <s v="RMC"/>
    <n v="6228"/>
    <x v="167"/>
    <s v="CONO DE 5/8&quot; CERRADO"/>
    <n v="12"/>
    <n v="72540"/>
    <s v="CENTRO AUTOMOTOR DIESEL S.A CENTRODIESEL"/>
    <s v="JHIRA ALEXANDRA ARANGO RIVERA"/>
    <n v="8"/>
    <s v="AGOSTO"/>
  </r>
  <r>
    <n v="2025"/>
    <s v="31/03/2025"/>
    <s v="RMC"/>
    <n v="5960"/>
    <x v="5"/>
    <s v="CODO INTERCOOLER 45°KW HASTA EL 2008 9LO"/>
    <n v="1"/>
    <n v="139700"/>
    <s v="TRANSPORTES Y SERVICIOS TRANSER SAS"/>
    <s v="JONATHAN PAEZ PEDRAZA"/>
    <n v="3"/>
    <s v="MARZO"/>
  </r>
  <r>
    <n v="2025"/>
    <s v="03/03/2025"/>
    <s v="RMC"/>
    <n v="5891"/>
    <x v="0"/>
    <s v="PERA/SENSOR LUZ DIA BLANCA"/>
    <n v="1"/>
    <n v="110000"/>
    <s v="TRANSPORTES Y SERVICIOS TRANSER SAS"/>
    <s v="JONATHAN PAEZ PEDRAZA"/>
    <n v="3"/>
    <s v="MARZO"/>
  </r>
  <r>
    <n v="2025"/>
    <s v="11/03/2025"/>
    <s v="RMC"/>
    <n v="5908"/>
    <x v="91"/>
    <s v="CRUCETA CARDAN SPL 250"/>
    <n v="2"/>
    <n v="459474"/>
    <s v="EMPRESA DE DISTRIBUCIONES INDUSTRIALES S.A.S."/>
    <s v="WILLIAM DUVAN REYES DIAZ"/>
    <n v="3"/>
    <s v="MARZO"/>
  </r>
  <r>
    <n v="2025"/>
    <s v="28/03/2025"/>
    <s v="RMC"/>
    <n v="5950"/>
    <x v="69"/>
    <s v="RETENEDOR EJE SALIDA 46160"/>
    <n v="1"/>
    <n v="145000"/>
    <s v="EMPRESA DE DISTRIBUCIONES INDUSTRIALES S.A.S."/>
    <s v="WILLIAM DUVAN REYES DIAZ"/>
    <n v="3"/>
    <s v="MARZO"/>
  </r>
  <r>
    <n v="2025"/>
    <s v="09/05/2025"/>
    <s v="RMC"/>
    <n v="6048"/>
    <x v="168"/>
    <s v="RACHE AUTO CH CC 5 1/2&quot; TP3 1-1/2&quot;10E"/>
    <n v="2"/>
    <n v="762960"/>
    <s v="CENTRO AUTOMOTOR DIESEL S.A CENTRODIESEL"/>
    <s v="DANIELA ALEJANDRA LEON VARGAS"/>
    <n v="5"/>
    <s v="MAYO"/>
  </r>
  <r>
    <n v="2025"/>
    <s v="15/09/2025"/>
    <s v="RMC"/>
    <n v="6252"/>
    <x v="169"/>
    <s v="KIT BUJES (P/LEVA 1&quot; 1/2)  Y RETENEDORES"/>
    <n v="1"/>
    <n v="22000"/>
    <s v="TRANSPORTES Y SERVICIOS TRANSER SAS"/>
    <s v="JONATHAN PAEZ PEDRAZA"/>
    <n v="9"/>
    <s v="SEPTIEMBRE"/>
  </r>
  <r>
    <n v="2025"/>
    <s v="22/09/2025"/>
    <s v="RMC"/>
    <n v="6266"/>
    <x v="170"/>
    <s v="BUJE COMPRESOR ALTO ISX"/>
    <n v="1"/>
    <n v="95000"/>
    <s v="TRANSPORTES Y SERVICIOS TRANSER SAS"/>
    <s v="JONATHAN PAEZ PEDRAZA"/>
    <n v="9"/>
    <s v="SEPTIEMBRE"/>
  </r>
  <r>
    <n v="2025"/>
    <s v="10/09/2025"/>
    <s v="RMC"/>
    <n v="6248"/>
    <x v="171"/>
    <s v="OVERHAUL 6CT (8.3)PISTON 3917707"/>
    <n v="1"/>
    <n v="2969999.25"/>
    <s v="ALMACEN MAC REPUESTOS LTDA"/>
    <s v="CARLOS HERNAN SALGADO PINZON"/>
    <n v="9"/>
    <s v="SEPTIEMBRE"/>
  </r>
  <r>
    <n v="2025"/>
    <s v="21/10/2025"/>
    <s v="RMC"/>
    <n v="6323"/>
    <x v="143"/>
    <s v="MAQUINA REMACHADORA"/>
    <n v="1"/>
    <n v="8645000"/>
    <s v="IMPORTACIONES JM DIESEL SAS"/>
    <s v="JUAN YANEZ LOBO"/>
    <n v="10"/>
    <s v="OCTUBRE"/>
  </r>
  <r>
    <n v="2025"/>
    <s v="05/09/2025"/>
    <s v="RMC"/>
    <n v="6239"/>
    <x v="172"/>
    <s v="RETEN YOKE TAPA TRASERA"/>
    <n v="2"/>
    <n v="170000"/>
    <s v="TRANSPORTES Y SERVICIOS TRANSER SAS"/>
    <s v="JONATHAN PAEZ PEDRAZA"/>
    <n v="9"/>
    <s v="SEPTIEMBRE"/>
  </r>
  <r>
    <n v="2025"/>
    <s v="31/03/2025"/>
    <s v="RMC"/>
    <n v="5967"/>
    <x v="173"/>
    <s v="PIÑON 2DA CDZO 14718/16918"/>
    <n v="2"/>
    <n v="771972"/>
    <s v="CEMEX COLOMBIA S.A."/>
    <s v="YASMID DEL PILAR URIBE DELGADO"/>
    <n v="3"/>
    <s v="MARZO"/>
  </r>
  <r>
    <n v="2025"/>
    <s v="03/04/2025"/>
    <s v="RMC"/>
    <n v="5975"/>
    <x v="166"/>
    <s v="PIÑON 3RA TREN FIJO 16918"/>
    <n v="1"/>
    <n v="217096"/>
    <s v="CEMEX COLOMBIA S.A."/>
    <s v="YASMID DEL PILAR URIBE DELGADO"/>
    <n v="4"/>
    <s v="ABRIL"/>
  </r>
  <r>
    <n v="2025"/>
    <s v="18/09/2025"/>
    <s v="RMC"/>
    <n v="6259"/>
    <x v="154"/>
    <s v="KIT DE REP LEVA FREN TRAILER ROMARCO"/>
    <n v="3"/>
    <n v="503430"/>
    <s v="CENTRO AUTOMOTOR DIESEL S.A CENTRODIESEL"/>
    <s v="JHIRA ALEXANDRA ARANGO RIVERA"/>
    <n v="9"/>
    <s v="SEPTIEMBRE"/>
  </r>
  <r>
    <n v="2025"/>
    <s v="04/04/2025"/>
    <s v="RMC"/>
    <n v="5976"/>
    <x v="103"/>
    <s v="SET ROD Y PISTA LAT. 46 LB 68462/712"/>
    <n v="1"/>
    <n v="385000"/>
    <s v="TRANSPORTES Y SERVICIOS TRANSER SAS"/>
    <s v="JONATHAN PAEZ PEDRAZA"/>
    <n v="4"/>
    <s v="ABRIL"/>
  </r>
  <r>
    <n v="2025"/>
    <s v="25/03/2025"/>
    <s v="RMC"/>
    <n v="5940"/>
    <x v="102"/>
    <s v="ARANDELA PLANETARIO 46000 LB"/>
    <n v="3"/>
    <n v="73539"/>
    <s v="TRANSPORTES Y SERVICIOS TRANSER SAS"/>
    <s v="JONATHAN PAEZ PEDRAZA"/>
    <n v="3"/>
    <s v="MARZO"/>
  </r>
  <r>
    <n v="2025"/>
    <s v="22/10/2025"/>
    <s v="RMC"/>
    <n v="6325"/>
    <x v="174"/>
    <s v="GRASA AEROSHELL"/>
    <n v="1"/>
    <n v="100000"/>
    <s v="TRANSPORTES Y SERVICIOS TRANSER SAS"/>
    <s v="JONATHAN PAEZ PEDRAZA"/>
    <n v="10"/>
    <s v="OCTUBRE"/>
  </r>
  <r>
    <n v="2025"/>
    <s v="06/10/2025"/>
    <s v="RMC"/>
    <n v="6292"/>
    <x v="150"/>
    <s v="INTERCOOLER KENWORTH T880 Y T680 (COMPAÑERO S-23037)"/>
    <n v="1"/>
    <n v="2549776.3199999998"/>
    <s v="ALMACEN TRANSMIPARTES S.A.S"/>
    <s v="MARYLUZ DUQUE GARCIA"/>
    <n v="10"/>
    <s v="OCTUBRE"/>
  </r>
  <r>
    <n v="2025"/>
    <s v="06/10/2025"/>
    <s v="RMC"/>
    <n v="6292"/>
    <x v="175"/>
    <s v="INTERCOOLER KENWORTH T800 MODELOS 2013 EN ADELANTE (COMPAÑERO DEL S-23031)"/>
    <n v="1"/>
    <n v="3052722.84"/>
    <s v="ALMACEN TRANSMIPARTES S.A.S"/>
    <s v="MARYLUZ DUQUE GARCIA"/>
    <n v="10"/>
    <s v="OCTUBRE"/>
  </r>
  <r>
    <n v="2025"/>
    <s v="06/10/2025"/>
    <s v="RMC"/>
    <n v="6292"/>
    <x v="152"/>
    <s v="RADIADOR KENWORTH T880 Y T680 (COMPAÑERO S-23514)"/>
    <n v="1"/>
    <n v="2276643.04"/>
    <s v="ALMACEN TRANSMIPARTES S.A.S"/>
    <s v="MARYLUZ DUQUE GARCIA"/>
    <n v="10"/>
    <s v="OCTUBRE"/>
  </r>
  <r>
    <n v="2025"/>
    <s v="24/10/2025"/>
    <s v="RMC"/>
    <n v="6332"/>
    <x v="176"/>
    <s v="OVERHAUL MTR DT466 DT530 PIST-1823930"/>
    <n v="1"/>
    <n v="3304100"/>
    <s v="ALMACEN MAC REPUESTOS LTDA"/>
    <s v="CARLOS HERNAN SALGADO PINZON"/>
    <n v="10"/>
    <s v="OCTUBRE"/>
  </r>
  <r>
    <n v="2025"/>
    <s v="24/10/2025"/>
    <s v="RMC"/>
    <n v="6332"/>
    <x v="177"/>
    <s v="OVERHAUL DT530 PISTON 410043 &quot;1825593C1&quot;"/>
    <n v="1"/>
    <n v="4531500"/>
    <s v="ALMACEN MAC REPUESTOS LTDA"/>
    <s v="CARLOS HERNAN SALGADO PINZON"/>
    <n v="10"/>
    <s v="OCTUBRE"/>
  </r>
  <r>
    <n v="2025"/>
    <s v="24/10/2025"/>
    <s v="RMC"/>
    <n v="6332"/>
    <x v="178"/>
    <s v="OVERHAUL MTR DT530/DT466 PIST-1822098"/>
    <n v="1"/>
    <n v="4360500"/>
    <s v="ALMACEN MAC REPUESTOS LTDA"/>
    <s v="CARLOS HERNAN SALGADO PINZON"/>
    <n v="10"/>
    <s v="OCTUBRE"/>
  </r>
  <r>
    <n v="2025"/>
    <s v="19/03/2025"/>
    <s v="RMC"/>
    <n v="5929"/>
    <x v="179"/>
    <s v="SOPORTE SUPERIOR GRAPA HAS 460"/>
    <n v="1"/>
    <n v="185000"/>
    <s v="TRANSPORTES Y SERVICIOS TRANSER SAS"/>
    <s v="JONATHAN PAEZ PEDRAZA"/>
    <n v="3"/>
    <s v="MARZO"/>
  </r>
  <r>
    <n v="2025"/>
    <s v="24/10/2025"/>
    <s v="RMC"/>
    <n v="6332"/>
    <x v="180"/>
    <s v="OVERHAUL DT466 PISTON 1817520C2"/>
    <n v="1"/>
    <n v="3923500"/>
    <s v="ALMACEN MAC REPUESTOS LTDA"/>
    <s v="CARLOS HERNAN SALGADO PINZON"/>
    <n v="10"/>
    <s v="OCTUBRE"/>
  </r>
  <r>
    <n v="2025"/>
    <s v="24/10/2025"/>
    <s v="RMC"/>
    <n v="6332"/>
    <x v="181"/>
    <s v="OVERHAUL INT DT466NGD PISTON 1824810C1"/>
    <n v="1"/>
    <n v="4151500"/>
    <s v="ALMACEN MAC REPUESTOS LTDA"/>
    <s v="CARLOS HERNAN SALGADO PINZON"/>
    <n v="10"/>
    <s v="OCTUBRE"/>
  </r>
  <r>
    <n v="2025"/>
    <s v="14/04/2025"/>
    <s v="RMC"/>
    <n v="6003"/>
    <x v="104"/>
    <s v="SHIMS SPLINDER 328349  A= 0.70"/>
    <n v="1"/>
    <n v="1407"/>
    <s v="TRANSPORTES Y SERVICIOS TRANSER SAS"/>
    <s v="JONATHAN PAEZ PEDRAZA"/>
    <n v="4"/>
    <s v="ABRIL"/>
  </r>
  <r>
    <n v="2025"/>
    <s v="24/10/2025"/>
    <s v="RMC"/>
    <n v="6332"/>
    <x v="182"/>
    <s v="OVERHAUL DT466 MY ELECTRONICO CARRO NUEVO PISTON 1836321  CON CASQUETERIA EN STD"/>
    <n v="1"/>
    <n v="4284500"/>
    <s v="ALMACEN MAC REPUESTOS LTDA"/>
    <s v="CARLOS HERNAN SALGADO PINZON"/>
    <n v="10"/>
    <s v="OCTUBRE"/>
  </r>
  <r>
    <n v="2025"/>
    <s v="24/10/2025"/>
    <s v="RMC"/>
    <n v="6332"/>
    <x v="183"/>
    <s v="OVERHAUL DT466/DT530 MY ELECTRONICO PISTON 1833092 TIPO PUNTA, CASQUETERIA EN STD, MY 230 A 250HP ELECTRONICO  2006 AL 2014 CAMION 4300 CON"/>
    <n v="1"/>
    <n v="4284500"/>
    <s v="ALMACEN MAC REPUESTOS LTDA"/>
    <s v="CARLOS HERNAN SALGADO PINZON"/>
    <n v="10"/>
    <s v="OCTUBRE"/>
  </r>
  <r>
    <n v="2025"/>
    <s v="24/10/2025"/>
    <s v="RMC"/>
    <n v="6332"/>
    <x v="184"/>
    <s v="OVERHAUL DT408 INT PISTON 1822217 TIPO P"/>
    <n v="1"/>
    <n v="4180000"/>
    <s v="ALMACEN MAC REPUESTOS LTDA"/>
    <s v="CARLOS HERNAN SALGADO PINZON"/>
    <n v="10"/>
    <s v="OCTUBRE"/>
  </r>
  <r>
    <n v="2025"/>
    <s v="24/10/2025"/>
    <s v="RMC"/>
    <n v="6332"/>
    <x v="185"/>
    <s v="OVERHAUL CUMMINS 6CT 250HP PISTO 3925878"/>
    <n v="1"/>
    <n v="3695500"/>
    <s v="ALMACEN MAC REPUESTOS LTDA"/>
    <s v="CARLOS HERNAN SALGADO PINZON"/>
    <n v="10"/>
    <s v="OCTUBRE"/>
  </r>
  <r>
    <n v="2025"/>
    <s v="24/10/2025"/>
    <s v="RMC"/>
    <n v="6332"/>
    <x v="186"/>
    <s v="OVERHAUL MWM 4,10CTA"/>
    <n v="1"/>
    <n v="2023500"/>
    <s v="ALMACEN MAC REPUESTOS LTDA"/>
    <s v="CARLOS HERNAN SALGADO PINZON"/>
    <n v="10"/>
    <s v="OCTUBRE"/>
  </r>
  <r>
    <n v="2025"/>
    <s v="18/11/2025"/>
    <s v="RMC"/>
    <n v="6363"/>
    <x v="187"/>
    <s v="BALINERA VOLANTE"/>
    <n v="10"/>
    <n v="300610"/>
    <s v="CENTRO AUTOMOTOR DIESEL S.A CENTRODIESEL"/>
    <s v="DANIELA ALEJANDRA LEON VARGAS"/>
    <n v="11"/>
    <s v="NOVIEMBRE"/>
  </r>
  <r>
    <n v="2025"/>
    <s v="18/11/2025"/>
    <s v="RMC"/>
    <n v="6363"/>
    <x v="157"/>
    <s v="BALINERA FAN CLUTCH"/>
    <n v="14"/>
    <n v="443968"/>
    <s v="CENTRO AUTOMOTOR DIESEL S.A CENTRODIESEL"/>
    <s v="DANIELA ALEJANDRA LEON VARGAS"/>
    <n v="11"/>
    <s v="NOVIEMBRE"/>
  </r>
  <r>
    <n v="2025"/>
    <s v="18/11/2025"/>
    <s v="RMC"/>
    <n v="6363"/>
    <x v="188"/>
    <s v="AMORT KW T800 DELT. MD 2006 Y SIGUIENTES"/>
    <n v="4"/>
    <n v="796428"/>
    <s v="CENTRO AUTOMOTOR DIESEL S.A CENTRODIESEL"/>
    <s v="DANIELA ALEJANDRA LEON VARGAS"/>
    <n v="11"/>
    <s v="NOVIEMBRE"/>
  </r>
  <r>
    <n v="2025"/>
    <s v="24/10/2025"/>
    <s v="RMC"/>
    <n v="6332"/>
    <x v="87"/>
    <s v="KIT EMBRA. 15X2 PRENSA 9 RESORTES"/>
    <n v="1"/>
    <n v="2308500"/>
    <s v="ALMACEN MAC REPUESTOS LTDA"/>
    <s v="CARLOS HERNAN SALGADO PINZON"/>
    <n v="10"/>
    <s v="OCTUBRE"/>
  </r>
  <r>
    <n v="2025"/>
    <s v="24/10/2025"/>
    <s v="RMC"/>
    <n v="6332"/>
    <x v="189"/>
    <s v="KIT EMBRAGUE  14X1 3/4&quot; - PRENSA 6 RESOR"/>
    <n v="1"/>
    <n v="1653000"/>
    <s v="ALMACEN MAC REPUESTOS LTDA"/>
    <s v="CARLOS HERNAN SALGADO PINZON"/>
    <n v="10"/>
    <s v="OCTUBRE"/>
  </r>
  <r>
    <n v="2025"/>
    <s v="15/04/2025"/>
    <s v="RMC"/>
    <n v="6008"/>
    <x v="190"/>
    <s v="PIN TREN FIJO PARTE TRAS 16918/11210B/C"/>
    <n v="2"/>
    <n v="4400"/>
    <s v="TRANSPORTES Y SERVICIOS TRANSER SAS"/>
    <s v="JONATHAN PAEZ PEDRAZA"/>
    <n v="4"/>
    <s v="ABRIL"/>
  </r>
  <r>
    <n v="2025"/>
    <s v="15/04/2025"/>
    <s v="RMC"/>
    <n v="6008"/>
    <x v="191"/>
    <s v="RODILLO TREN FIJO PARTE TRAS - TODAS 18"/>
    <n v="2"/>
    <n v="150000"/>
    <s v="TRANSPORTES Y SERVICIOS TRANSER SAS"/>
    <s v="JONATHAN PAEZ PEDRAZA"/>
    <n v="4"/>
    <s v="ABRIL"/>
  </r>
  <r>
    <n v="2025"/>
    <s v="07/10/2025"/>
    <s v="RMC"/>
    <n v="6293"/>
    <x v="192"/>
    <s v="KIT REPARACION 2TIEMPO MANZ  2 1/2&quot; Y 5&quot;"/>
    <n v="1"/>
    <n v="2782051"/>
    <s v="CENTRO AUTOMOTOR DIESEL S.A CENTRODIESEL"/>
    <s v="JHIRA ALEXANDRA ARANGO RIVERA"/>
    <n v="10"/>
    <s v="OCTUBRE"/>
  </r>
  <r>
    <n v="2025"/>
    <s v="07/10/2025"/>
    <s v="RMC"/>
    <n v="6294"/>
    <x v="193"/>
    <s v="FRENO EMBRAGUE 2&quot;"/>
    <n v="1"/>
    <n v="97000"/>
    <s v="TRANSPORTES Y SERVICIOS TRANSER SAS"/>
    <s v="JONATHAN PAEZ PEDRAZA"/>
    <n v="10"/>
    <s v="OCTUBRE"/>
  </r>
  <r>
    <n v="2025"/>
    <s v="06/02/2025"/>
    <s v="RMC"/>
    <n v="5833"/>
    <x v="119"/>
    <s v="PIN ESPIRAL PIÑON 4303422"/>
    <n v="3"/>
    <n v="57000"/>
    <s v="CEMEX COLOMBIA S.A."/>
    <s v="YASMID DEL PILAR URIBE DELGADO"/>
    <n v="2"/>
    <s v="FEBRERO"/>
  </r>
  <r>
    <n v="2025"/>
    <s v="06/02/2025"/>
    <s v="RMC"/>
    <n v="5833"/>
    <x v="114"/>
    <s v="KIT REPARACION ADVANTAGE MANZ 2 1/2&quot; Y 5"/>
    <n v="2"/>
    <n v="3670000"/>
    <s v="CEMEX COLOMBIA S.A."/>
    <s v="YASMID DEL PILAR URIBE DELGADO"/>
    <n v="2"/>
    <s v="FEBRERO"/>
  </r>
  <r>
    <n v="2025"/>
    <s v="06/02/2025"/>
    <s v="RMC"/>
    <n v="5833"/>
    <x v="194"/>
    <s v="PIN PUNTA CDIZO 16918"/>
    <n v="2"/>
    <n v="7000"/>
    <s v="CEMEX COLOMBIA S.A."/>
    <s v="YASMID DEL PILAR URIBE DELGADO"/>
    <n v="2"/>
    <s v="FEBRERO"/>
  </r>
  <r>
    <n v="2025"/>
    <s v="27/08/2025"/>
    <s v="RMC"/>
    <n v="6232"/>
    <x v="49"/>
    <s v="KIT BUJE Y PASADO (JGOX2)TODAS CON HUECO"/>
    <n v="3"/>
    <n v="105000"/>
    <s v="CEMEX COLOMBIA S.A."/>
    <s v="YASMID DEL PILAR URIBE DELGADO"/>
    <n v="8"/>
    <s v="AGOSTO"/>
  </r>
  <r>
    <n v="2025"/>
    <s v="27/08/2025"/>
    <s v="RMC"/>
    <n v="6232"/>
    <x v="13"/>
    <s v="CRUCETA CARDAN 19 1/2&quot; MIXTA C/GRAPAS"/>
    <n v="2"/>
    <n v="644810"/>
    <s v="CEMEX COLOMBIA S.A."/>
    <s v="YASMID DEL PILAR URIBE DELGADO"/>
    <n v="8"/>
    <s v="AGOSTO"/>
  </r>
  <r>
    <n v="2025"/>
    <s v="27/08/2025"/>
    <s v="RMC"/>
    <n v="6232"/>
    <x v="82"/>
    <s v="RODILLO TORRE MONO 918"/>
    <n v="4"/>
    <n v="440000"/>
    <s v="CEMEX COLOMBIA S.A."/>
    <s v="YASMID DEL PILAR URIBE DELGADO"/>
    <n v="8"/>
    <s v="AGOSTO"/>
  </r>
  <r>
    <n v="2025"/>
    <s v="18/11/2025"/>
    <s v="RMC"/>
    <n v="6365"/>
    <x v="195"/>
    <s v="PERNO TRAILER HIDROAMERICA M22 X 4 1/2"/>
    <n v="20"/>
    <n v="646000"/>
    <s v="TRANSPORTES Y SERVICIOS TRANSER SAS"/>
    <s v="JONATHAN PAEZ PEDRAZA"/>
    <n v="11"/>
    <s v="NOVIEMBRE"/>
  </r>
  <r>
    <n v="2025"/>
    <s v="18/11/2025"/>
    <s v="RMC"/>
    <n v="6365"/>
    <x v="196"/>
    <s v="PERNO TRAILER HIDROAMERICA M22X4''"/>
    <n v="14"/>
    <n v="406000"/>
    <s v="TRANSPORTES Y SERVICIOS TRANSER SAS"/>
    <s v="JONATHAN PAEZ PEDRAZA"/>
    <n v="11"/>
    <s v="NOVIEMBRE"/>
  </r>
  <r>
    <n v="2025"/>
    <s v="18/11/2025"/>
    <s v="RMC"/>
    <n v="6365"/>
    <x v="197"/>
    <s v="PERNO TRAILER HIDROAMERICA M22 X 4-7/8"/>
    <n v="16"/>
    <n v="608032"/>
    <s v="TRANSPORTES Y SERVICIOS TRANSER SAS"/>
    <s v="JONATHAN PAEZ PEDRAZA"/>
    <n v="11"/>
    <s v="NOVIEMBRE"/>
  </r>
  <r>
    <n v="2025"/>
    <s v="26/02/2025"/>
    <s v="RMC"/>
    <n v="5887"/>
    <x v="198"/>
    <s v="BOLSA HAM8.88ANx3.50C-A1Ex4.10AL+2T+2F"/>
    <n v="1"/>
    <n v="319000"/>
    <s v="TRANSPORTES Y SERVICIOS TRANSER SAS"/>
    <s v="JONATHAN PAEZ PEDRAZA"/>
    <n v="2"/>
    <s v="FEBRERO"/>
  </r>
  <r>
    <n v="2025"/>
    <s v="07/10/2025"/>
    <s v="RMC"/>
    <n v="6296"/>
    <x v="148"/>
    <s v="BUJE COMPRESOR BAJO ISX"/>
    <n v="1"/>
    <n v="106000"/>
    <s v="TRANSPORTES Y SERVICIOS TRANSER SAS"/>
    <s v="JONATHAN PAEZ PEDRAZA"/>
    <n v="10"/>
    <s v="OCTUBRE"/>
  </r>
  <r>
    <n v="2025"/>
    <s v="24/10/2025"/>
    <s v="RMC"/>
    <n v="6332"/>
    <x v="199"/>
    <s v="KIT EMBRAGUE"/>
    <n v="1"/>
    <n v="2631500"/>
    <s v="ALMACEN MAC REPUESTOS LTDA"/>
    <s v="CARLOS HERNAN SALGADO PINZON"/>
    <n v="10"/>
    <s v="OCTUBRE"/>
  </r>
  <r>
    <n v="2025"/>
    <s v="24/10/2025"/>
    <s v="RMC"/>
    <n v="6332"/>
    <x v="200"/>
    <s v="DISCO COMPACTO 1 3/4&quot;"/>
    <n v="1"/>
    <n v="95000"/>
    <s v="ALMACEN MAC REPUESTOS LTDA"/>
    <s v="CARLOS HERNAN SALGADO PINZON"/>
    <n v="10"/>
    <s v="OCTUBRE"/>
  </r>
  <r>
    <n v="2025"/>
    <s v="24/10/2025"/>
    <s v="RMC"/>
    <n v="6332"/>
    <x v="193"/>
    <s v="FRENO EMBRAGUE 2&quot;"/>
    <n v="1"/>
    <n v="90250"/>
    <s v="ALMACEN MAC REPUESTOS LTDA"/>
    <s v="CARLOS HERNAN SALGADO PINZON"/>
    <n v="10"/>
    <s v="OCTUBRE"/>
  </r>
  <r>
    <n v="2025"/>
    <s v="24/10/2025"/>
    <s v="RMC"/>
    <n v="6332"/>
    <x v="201"/>
    <s v="OVERHAUL MWM 4.10 CTA"/>
    <n v="1"/>
    <n v="1923750"/>
    <s v="ALMACEN MAC REPUESTOS LTDA"/>
    <s v="CARLOS HERNAN SALGADO PINZON"/>
    <n v="10"/>
    <s v="OCTUBRE"/>
  </r>
  <r>
    <n v="2025"/>
    <s v="03/10/2025"/>
    <s v="RMC"/>
    <n v="6286"/>
    <x v="202"/>
    <s v="FILTRO FLUIDOS, FLEETGUARD, HF6710, DONALDSON, P550388, PARKER, 2116110,BALDWIN, BT28710, GARDNER DENVER, 2116110, ACEITE, DIAMETRO 123 MM (CATERPILLAR)"/>
    <n v="1"/>
    <n v="59000"/>
    <s v="CEMEX COLOMBIA S.A."/>
    <s v="YASMID DEL PILAR URIBE DELGADO"/>
    <n v="10"/>
    <s v="OCTUBRE"/>
  </r>
  <r>
    <n v="2025"/>
    <s v="02/04/2025"/>
    <s v="RMC"/>
    <n v="5973"/>
    <x v="190"/>
    <s v="PIN TREN FIJO PARTE TRAS 16918/11210B/C"/>
    <n v="2"/>
    <n v="4400"/>
    <s v="TRANSPORTES Y SERVICIOS TRANSER SAS"/>
    <s v="JONATHAN PAEZ PEDRAZA"/>
    <n v="4"/>
    <s v="ABRIL"/>
  </r>
  <r>
    <n v="2025"/>
    <s v="30/04/2025"/>
    <s v="RMC"/>
    <n v="6033"/>
    <x v="203"/>
    <s v="SET ROD Y PISTA3782/3720 TRAS TREN FIJO"/>
    <n v="5"/>
    <n v="473915"/>
    <s v="CENTRO AUTOMOTOR DIESEL S.A CENTRODIESEL"/>
    <s v="DANIELA ALEJANDRA LEON VARGAS"/>
    <n v="4"/>
    <s v="ABRIL"/>
  </r>
  <r>
    <n v="2025"/>
    <s v="30/04/2025"/>
    <s v="RMC"/>
    <n v="6033"/>
    <x v="204"/>
    <s v="CRUCETA 6,456 DADO 2165 (2 5/32&quot; APROX)"/>
    <n v="1"/>
    <n v="434800"/>
    <s v="CENTRO AUTOMOTOR DIESEL S.A CENTRODIESEL"/>
    <s v="DANIELA ALEJANDRA LEON VARGAS"/>
    <n v="4"/>
    <s v="ABRIL"/>
  </r>
  <r>
    <n v="2025"/>
    <s v="02/04/2025"/>
    <s v="RMC"/>
    <n v="5973"/>
    <x v="191"/>
    <s v="RODILLO TREN FIJO PARTE TRAS - TODAS 18"/>
    <n v="1"/>
    <n v="75000"/>
    <s v="TRANSPORTES Y SERVICIOS TRANSER SAS"/>
    <s v="JONATHAN PAEZ PEDRAZA"/>
    <n v="4"/>
    <s v="ABRIL"/>
  </r>
  <r>
    <n v="2025"/>
    <s v="18/09/2025"/>
    <s v="RMC"/>
    <n v="6261"/>
    <x v="205"/>
    <s v="PIÑON PIÑA 46160"/>
    <n v="1"/>
    <n v="834609"/>
    <s v="CENTRO AUTOMOTOR DIESEL S.A CENTRODIESEL"/>
    <s v="JHIRA ALEXANDRA ARANGO RIVERA"/>
    <n v="9"/>
    <s v="SEPTIEMBRE"/>
  </r>
  <r>
    <n v="2025"/>
    <s v="18/09/2025"/>
    <s v="RMC"/>
    <n v="6261"/>
    <x v="206"/>
    <s v="EJE DIVISOR 46160"/>
    <n v="1"/>
    <n v="1076000"/>
    <s v="CENTRO AUTOMOTOR DIESEL S.A CENTRODIESEL"/>
    <s v="JHIRA ALEXANDRA ARANGO RIVERA"/>
    <n v="9"/>
    <s v="SEPTIEMBRE"/>
  </r>
  <r>
    <n v="2025"/>
    <s v="18/09/2025"/>
    <s v="RMC"/>
    <n v="6261"/>
    <x v="207"/>
    <s v="BOMBA DIVISOR 46160"/>
    <n v="1"/>
    <n v="875027"/>
    <s v="CENTRO AUTOMOTOR DIESEL S.A CENTRODIESEL"/>
    <s v="JHIRA ALEXANDRA ARANGO RIVERA"/>
    <n v="9"/>
    <s v="SEPTIEMBRE"/>
  </r>
  <r>
    <n v="2025"/>
    <s v="19/08/2025"/>
    <s v="RMC"/>
    <n v="6220"/>
    <x v="88"/>
    <s v="TAPA GRASERA.EJE DELANTERO EN PLASTICO"/>
    <n v="1"/>
    <n v="75758"/>
    <s v="CENTRO AUTOMOTOR DIESEL S.A CENTRODIESEL"/>
    <s v="JHIRA ALEXANDRA ARANGO RIVERA"/>
    <n v="8"/>
    <s v="AGOSTO"/>
  </r>
  <r>
    <n v="2025"/>
    <s v="29/10/2025"/>
    <s v="RMC"/>
    <n v="6336"/>
    <x v="208"/>
    <s v="RACHE AUTO CH CC 5 1/2&quot; TP1 1-1/2&quot;28E"/>
    <n v="1"/>
    <n v="295000"/>
    <s v="EMPRESA DE DISTRIBUCIONES INDUSTRIALES S.A.S."/>
    <s v="WILLIAM DUVAN REYES DIAZ"/>
    <n v="10"/>
    <s v="OCTUBRE"/>
  </r>
  <r>
    <n v="2025"/>
    <s v="29/10/2025"/>
    <s v="RMC"/>
    <n v="6336"/>
    <x v="209"/>
    <s v="BOLSA TIPO HAMBURGUESA"/>
    <n v="8"/>
    <n v="4160000"/>
    <s v="EMPRESA DE DISTRIBUCIONES INDUSTRIALES S.A.S."/>
    <s v="WILLIAM DUVAN REYES DIAZ"/>
    <n v="10"/>
    <s v="OCTUBRE"/>
  </r>
  <r>
    <n v="2025"/>
    <s v="18/09/2025"/>
    <s v="RMC"/>
    <n v="6261"/>
    <x v="210"/>
    <s v="PLANETARIO ESCUALIZACION 46160"/>
    <n v="2"/>
    <n v="353282"/>
    <s v="CENTRO AUTOMOTOR DIESEL S.A CENTRODIESEL"/>
    <s v="JHIRA ALEXANDRA ARANGO RIVERA"/>
    <n v="9"/>
    <s v="SEPTIEMBRE"/>
  </r>
  <r>
    <n v="2025"/>
    <s v="18/09/2025"/>
    <s v="RMC"/>
    <n v="6263"/>
    <x v="211"/>
    <s v="AMORTIGU KW TRAS SUSP NEUM 8 BOLSA HEMBR"/>
    <n v="5"/>
    <n v="1514690"/>
    <s v="CENTRO AUTOMOTOR DIESEL S.A CENTRODIESEL"/>
    <s v="JHIRA ALEXANDRA ARANGO RIVERA"/>
    <n v="9"/>
    <s v="SEPTIEMBRE"/>
  </r>
  <r>
    <n v="2025"/>
    <s v="03/02/2025"/>
    <s v="RMC"/>
    <n v="5821"/>
    <x v="149"/>
    <s v="HORQUILLA 3RA Y 4TA 14718/915/918/16918"/>
    <n v="1"/>
    <n v="222000"/>
    <s v="TRANSPORTES Y SERVICIOS TRANSER SAS"/>
    <s v="JONATHAN PAEZ PEDRAZA"/>
    <n v="2"/>
    <s v="FEBRERO"/>
  </r>
  <r>
    <n v="2025"/>
    <s v="03/06/2025"/>
    <s v="RMC"/>
    <n v="6092"/>
    <x v="91"/>
    <s v="CRUCETA CARDAN SPL 250"/>
    <n v="5"/>
    <n v="1200000"/>
    <s v="EMPRESA DE DISTRIBUCIONES INDUSTRIALES S.A.S."/>
    <s v="WILLIAM DUVAN REYES DIAZ"/>
    <n v="6"/>
    <s v="JUNIO"/>
  </r>
  <r>
    <n v="2025"/>
    <s v="06/11/2025"/>
    <s v="RMC"/>
    <n v="6347"/>
    <x v="212"/>
    <s v="RACOR/CODO"/>
    <n v="6"/>
    <n v="126000"/>
    <s v="TRANSPORTES Y SERVICIOS TRANSER SAS"/>
    <s v="JONATHAN PAEZ PEDRAZA"/>
    <n v="11"/>
    <s v="NOVIEMBRE"/>
  </r>
  <r>
    <n v="2025"/>
    <s v="06/11/2025"/>
    <s v="RMC"/>
    <n v="6347"/>
    <x v="173"/>
    <s v="PIÑON 2DA CDZO 14718/16918"/>
    <n v="1"/>
    <n v="395000"/>
    <s v="TRANSPORTES Y SERVICIOS TRANSER SAS"/>
    <s v="JONATHAN PAEZ PEDRAZA"/>
    <n v="11"/>
    <s v="NOVIEMBRE"/>
  </r>
  <r>
    <n v="2025"/>
    <s v="10/09/2025"/>
    <s v="RMC"/>
    <n v="6246"/>
    <x v="213"/>
    <s v="RETENEDOR DIVISOR 46160"/>
    <n v="1"/>
    <n v="145000"/>
    <s v="EMPRESA DE DISTRIBUCIONES INDUSTRIALES S.A.S."/>
    <s v="WILLIAM DUVAN REYES DIAZ"/>
    <n v="9"/>
    <s v="SEPTIEMBRE"/>
  </r>
  <r>
    <n v="2025"/>
    <s v="20/03/2025"/>
    <s v="RMC"/>
    <n v="5936"/>
    <x v="214"/>
    <s v="OVERHAUL DT360 PISTON 1817178C2"/>
    <n v="1"/>
    <n v="3604300"/>
    <s v="ALMACEN MAC REPUESTOS LTDA"/>
    <s v="CARLOS HERNAN SALGADO PINZON"/>
    <n v="3"/>
    <s v="MARZO"/>
  </r>
  <r>
    <n v="2025"/>
    <s v="20/02/2025"/>
    <s v="RMC"/>
    <n v="5879"/>
    <x v="215"/>
    <s v="ENFRIADOR ACEITE"/>
    <n v="12"/>
    <n v="9840000"/>
    <s v="CEMEX COLOMBIA S.A."/>
    <s v="YASMID DEL PILAR URIBE DELGADO"/>
    <n v="2"/>
    <s v="FEBRERO"/>
  </r>
  <r>
    <n v="2025"/>
    <s v="06/11/2025"/>
    <s v="RMC"/>
    <n v="6349"/>
    <x v="216"/>
    <s v="SINCRONIZADOR (JGO X 5) TODAS PATA GRUES"/>
    <n v="1"/>
    <n v="309000"/>
    <s v="EMPRESA DE DISTRIBUCIONES INDUSTRIALES S.A.S."/>
    <s v="WILLIAM DUVAN REYES DIAZ"/>
    <n v="11"/>
    <s v="NOVIEMBRE"/>
  </r>
  <r>
    <n v="2025"/>
    <s v="15/05/2025"/>
    <s v="RMC"/>
    <n v="6054"/>
    <x v="217"/>
    <s v="PIÑON 4TA CDIZO 16918"/>
    <n v="1"/>
    <n v="375000"/>
    <s v="CEMEX COLOMBIA S.A."/>
    <s v="YASMID DEL PILAR URIBE DELGADO"/>
    <n v="5"/>
    <s v="MAYO"/>
  </r>
  <r>
    <n v="2025"/>
    <s v="15/05/2025"/>
    <s v="RMC"/>
    <n v="6054"/>
    <x v="173"/>
    <s v="PIÑON 2DA CDZO 14718/16918"/>
    <n v="1"/>
    <n v="364000"/>
    <s v="CEMEX COLOMBIA S.A."/>
    <s v="YASMID DEL PILAR URIBE DELGADO"/>
    <n v="5"/>
    <s v="MAYO"/>
  </r>
  <r>
    <n v="2025"/>
    <s v="15/05/2025"/>
    <s v="RMC"/>
    <n v="6054"/>
    <x v="140"/>
    <s v="KIT TUER  ARANDE EJE SAL 160/ SPEED 240"/>
    <n v="1"/>
    <n v="35000"/>
    <s v="CEMEX COLOMBIA S.A."/>
    <s v="YASMID DEL PILAR URIBE DELGADO"/>
    <n v="5"/>
    <s v="MAYO"/>
  </r>
  <r>
    <n v="2025"/>
    <s v="14/10/2025"/>
    <s v="RMC"/>
    <n v="6310"/>
    <x v="187"/>
    <s v="BALINERA VOLANTE"/>
    <n v="10"/>
    <n v="300000"/>
    <s v="IMPOCOMA S.A.S"/>
    <s v="FABIO DAVID FORERO RUIZ"/>
    <n v="10"/>
    <s v="OCTUBRE"/>
  </r>
  <r>
    <n v="2025"/>
    <s v="14/10/2025"/>
    <s v="RMC"/>
    <n v="6310"/>
    <x v="218"/>
    <s v="BOLSA SUSPENSION CABINA"/>
    <n v="5"/>
    <n v="1350000"/>
    <s v="IMPOCOMA S.A.S"/>
    <s v="FABIO DAVID FORERO RUIZ"/>
    <n v="10"/>
    <s v="OCTUBRE"/>
  </r>
  <r>
    <n v="2025"/>
    <s v="14/10/2025"/>
    <s v="RMC"/>
    <n v="6310"/>
    <x v="219"/>
    <s v="RACHE FRENO MEC. 1-1/2&quot;28E"/>
    <n v="5"/>
    <n v="500000"/>
    <s v="IMPOCOMA S.A.S"/>
    <s v="FABIO DAVID FORERO RUIZ"/>
    <n v="10"/>
    <s v="OCTUBRE"/>
  </r>
  <r>
    <n v="2025"/>
    <s v="14/10/2025"/>
    <s v="RMC"/>
    <n v="6310"/>
    <x v="138"/>
    <s v="ABRAZADERA EXOSTO 5&quot;"/>
    <n v="5"/>
    <n v="250000"/>
    <s v="IMPOCOMA S.A.S"/>
    <s v="FABIO DAVID FORERO RUIZ"/>
    <n v="10"/>
    <s v="OCTUBRE"/>
  </r>
  <r>
    <n v="2025"/>
    <s v="14/10/2025"/>
    <s v="RMC"/>
    <n v="6310"/>
    <x v="220"/>
    <s v="PERA/SENSOR LUZ DIA ROJA"/>
    <n v="3"/>
    <n v="360000"/>
    <s v="IMPOCOMA S.A.S"/>
    <s v="FABIO DAVID FORERO RUIZ"/>
    <n v="10"/>
    <s v="OCTUBRE"/>
  </r>
  <r>
    <n v="2025"/>
    <s v="14/10/2025"/>
    <s v="RMC"/>
    <n v="6310"/>
    <x v="56"/>
    <s v="PERA/SENSOR FRENO"/>
    <n v="3"/>
    <n v="540000"/>
    <s v="IMPOCOMA S.A.S"/>
    <s v="FABIO DAVID FORERO RUIZ"/>
    <n v="10"/>
    <s v="OCTUBRE"/>
  </r>
  <r>
    <n v="2025"/>
    <s v="14/10/2025"/>
    <s v="RMC"/>
    <n v="6310"/>
    <x v="221"/>
    <s v="PERA/SENSOR REVERSO TODAS"/>
    <n v="5"/>
    <n v="260000"/>
    <s v="IMPOCOMA S.A.S"/>
    <s v="FABIO DAVID FORERO RUIZ"/>
    <n v="10"/>
    <s v="OCTUBRE"/>
  </r>
  <r>
    <n v="2025"/>
    <s v="18/07/2025"/>
    <s v="RMC"/>
    <n v="6166"/>
    <x v="222"/>
    <s v="TAPA NEGRA DEFENDER PASTA 4 1/2 &quot; PEQUEÑ"/>
    <n v="2"/>
    <n v="132000"/>
    <s v="TRANSPORTES Y SERVICIOS TRANSER SAS"/>
    <s v="JONATHAN PAEZ PEDRAZA"/>
    <n v="7"/>
    <s v="JULIO"/>
  </r>
  <r>
    <n v="2025"/>
    <s v="08/04/2025"/>
    <s v="RMC"/>
    <n v="5986"/>
    <x v="223"/>
    <s v="SINCRONIZADOR 3RA Y 4TA FS 6305 EN PAÑO"/>
    <n v="2"/>
    <n v="1622880"/>
    <s v="EMPRESA DE DISTRIBUCIONES INDUSTRIALES S.A.S."/>
    <s v="WILLIAM DUVAN REYES DIAZ"/>
    <n v="4"/>
    <s v="ABRIL"/>
  </r>
  <r>
    <n v="2025"/>
    <s v="15/07/2025"/>
    <s v="RMC"/>
    <n v="6159"/>
    <x v="224"/>
    <s v="JUEGO CHAPETA (JGOX2) SPL170"/>
    <n v="2"/>
    <n v="120678"/>
    <s v="EMPRESA DE DISTRIBUCIONES INDUSTRIALES S.A.S."/>
    <s v="WILLIAM DUVAN REYES DIAZ"/>
    <n v="7"/>
    <s v="JULIO"/>
  </r>
  <r>
    <n v="2025"/>
    <s v="06/10/2025"/>
    <s v="RMC"/>
    <n v="6289"/>
    <x v="192"/>
    <s v="KIT REPARACION 2TIEMPO MANZ  2 1/2&quot; Y 5&quot;"/>
    <n v="1"/>
    <n v="3000000"/>
    <s v="IMPOCOMA S.A.S"/>
    <s v="FABIO DAVID FORERO RUIZ"/>
    <n v="10"/>
    <s v="OCTUBRE"/>
  </r>
  <r>
    <n v="2025"/>
    <s v="06/10/2025"/>
    <s v="RMC"/>
    <n v="6289"/>
    <x v="225"/>
    <s v="KIT DE REPARACION MENOR DRIVE MASTER"/>
    <n v="1"/>
    <n v="480000"/>
    <s v="IMPOCOMA S.A.S"/>
    <s v="FABIO DAVID FORERO RUIZ"/>
    <n v="10"/>
    <s v="OCTUBRE"/>
  </r>
  <r>
    <n v="2025"/>
    <s v="31/10/2025"/>
    <s v="RMC"/>
    <n v="6342"/>
    <x v="226"/>
    <s v="MANGUERA ENGRASE 15&quot; BALINERA"/>
    <n v="3"/>
    <n v="45000"/>
    <s v="TRANSPORTES Y SERVICIOS TRANSER SAS"/>
    <s v="JONATHAN PAEZ PEDRAZA"/>
    <n v="10"/>
    <s v="OCTUBRE"/>
  </r>
  <r>
    <n v="2025"/>
    <s v="31/10/2025"/>
    <s v="RMC"/>
    <n v="6342"/>
    <x v="227"/>
    <s v="MANGUERA ENGRASE BALINERA 24&quot;"/>
    <n v="3"/>
    <n v="72000"/>
    <s v="TRANSPORTES Y SERVICIOS TRANSER SAS"/>
    <s v="JONATHAN PAEZ PEDRAZA"/>
    <n v="10"/>
    <s v="OCTUBRE"/>
  </r>
  <r>
    <n v="2025"/>
    <s v="10/02/2025"/>
    <s v="RMC"/>
    <n v="5846"/>
    <x v="154"/>
    <s v="KIT DE REP LEVA FREN TRAILER ROMARCO"/>
    <n v="3"/>
    <n v="573000"/>
    <s v="EMPRESA DE DISTRIBUCIONES INDUSTRIALES S.A.S."/>
    <s v="WILLIAM DUVAN REYES DIAZ"/>
    <n v="2"/>
    <s v="FEBRERO"/>
  </r>
  <r>
    <n v="2025"/>
    <s v="17/09/2025"/>
    <s v="RMC"/>
    <n v="6257"/>
    <x v="224"/>
    <s v="JUEGO CHAPETA (JGOX2) SPL170"/>
    <n v="2"/>
    <n v="120678"/>
    <s v="EMPRESA DE DISTRIBUCIONES INDUSTRIALES S.A.S."/>
    <s v="WILLIAM DUVAN REYES DIAZ"/>
    <n v="9"/>
    <s v="SEPTIEMBRE"/>
  </r>
  <r>
    <n v="2025"/>
    <s v="14/03/2025"/>
    <s v="RMC"/>
    <n v="5925"/>
    <x v="154"/>
    <s v="KIT DE REP LEVA FREN TRAILER ROMARCO"/>
    <n v="3"/>
    <n v="573000"/>
    <s v="EMPRESA DE DISTRIBUCIONES INDUSTRIALES S.A.S."/>
    <s v="WILLIAM DUVAN REYES DIAZ"/>
    <n v="3"/>
    <s v="MARZO"/>
  </r>
  <r>
    <n v="2025"/>
    <s v="11/04/2025"/>
    <s v="RMC"/>
    <n v="5997"/>
    <x v="228"/>
    <s v="YOKE DIV 46E S 6760 Q 3195 R3375/210736"/>
    <n v="1"/>
    <n v="910000"/>
    <s v="TRANSPORTES Y SERVICIOS TRANSER SAS"/>
    <s v="JONATHAN PAEZ PEDRAZA"/>
    <n v="4"/>
    <s v="ABRIL"/>
  </r>
  <r>
    <n v="2025"/>
    <s v="03/04/2025"/>
    <s v="RMC"/>
    <n v="5974"/>
    <x v="187"/>
    <s v="BALINERA VOLANTE"/>
    <n v="4"/>
    <n v="120000"/>
    <s v="IMPOCOMA S.A.S"/>
    <s v="FABIO DAVID FORERO RUIZ"/>
    <n v="4"/>
    <s v="ABRIL"/>
  </r>
  <r>
    <n v="2025"/>
    <s v="03/04/2025"/>
    <s v="RMC"/>
    <n v="5974"/>
    <x v="79"/>
    <s v="KIT FAN CLUTCH TIPO KYSOR K32-S JGX7"/>
    <n v="4"/>
    <n v="1680000"/>
    <s v="IMPOCOMA S.A.S"/>
    <s v="FABIO DAVID FORERO RUIZ"/>
    <n v="4"/>
    <s v="ABRIL"/>
  </r>
  <r>
    <n v="2025"/>
    <s v="03/04/2025"/>
    <s v="RMC"/>
    <n v="5974"/>
    <x v="165"/>
    <s v="EMPAQ. REPARA MAYOR SIS HIDRAU/ RET EAGL"/>
    <n v="1"/>
    <n v="480000"/>
    <s v="IMPOCOMA S.A.S"/>
    <s v="FABIO DAVID FORERO RUIZ"/>
    <n v="4"/>
    <s v="ABRIL"/>
  </r>
  <r>
    <n v="2025"/>
    <s v="06/10/2025"/>
    <s v="RMC"/>
    <n v="6291"/>
    <x v="229"/>
    <s v="CAMISA HUMEDA MOTOR 360(120,14mm)"/>
    <n v="6"/>
    <n v="689996.4"/>
    <s v="ALMACEN MAC REPUESTOS LTDA"/>
    <s v="CARLOS HERNAN SALGADO PINZON"/>
    <n v="10"/>
    <s v="OCTUBRE"/>
  </r>
  <r>
    <n v="2025"/>
    <s v="06/10/2025"/>
    <s v="RMC"/>
    <n v="6291"/>
    <x v="230"/>
    <s v="BOMBA DE AGUA DT-408/466NGD/DT530"/>
    <n v="2"/>
    <n v="278920"/>
    <s v="ALMACEN MAC REPUESTOS LTDA"/>
    <s v="CARLOS HERNAN SALGADO PINZON"/>
    <n v="10"/>
    <s v="OCTUBRE"/>
  </r>
  <r>
    <n v="2025"/>
    <s v="28/05/2025"/>
    <s v="RMC"/>
    <n v="6082"/>
    <x v="69"/>
    <s v="RETENEDOR EJE SALIDA 46160"/>
    <n v="1"/>
    <n v="139142"/>
    <s v="TRANSPORTES Y SERVICIOS TRANSER SAS"/>
    <s v="JONATHAN PAEZ PEDRAZA"/>
    <n v="5"/>
    <s v="MAYO"/>
  </r>
  <r>
    <n v="2025"/>
    <s v="27/06/2025"/>
    <s v="RMC"/>
    <n v="6126"/>
    <x v="231"/>
    <s v="PIN TUERCA"/>
    <n v="1"/>
    <n v="27800"/>
    <s v="TRANSPORTES Y SERVICIOS TRANSER SAS"/>
    <s v="JONATHAN PAEZ PEDRAZA"/>
    <n v="6"/>
    <s v="JUNIO"/>
  </r>
  <r>
    <n v="2025"/>
    <s v="27/06/2025"/>
    <s v="RMC"/>
    <n v="6126"/>
    <x v="232"/>
    <s v="PIN TORNILLOS CRUCETA"/>
    <n v="2"/>
    <n v="2400"/>
    <s v="TRANSPORTES Y SERVICIOS TRANSER SAS"/>
    <s v="JONATHAN PAEZ PEDRAZA"/>
    <n v="6"/>
    <s v="JUNIO"/>
  </r>
  <r>
    <n v="2025"/>
    <s v="27/06/2025"/>
    <s v="RMC"/>
    <n v="6126"/>
    <x v="179"/>
    <s v="SOPORTE SUPERIOR GRAPA HAS 460"/>
    <n v="1"/>
    <n v="185000"/>
    <s v="TRANSPORTES Y SERVICIOS TRANSER SAS"/>
    <s v="JONATHAN PAEZ PEDRAZA"/>
    <n v="6"/>
    <s v="JUNIO"/>
  </r>
  <r>
    <n v="2025"/>
    <s v="27/06/2025"/>
    <s v="RMC"/>
    <n v="6126"/>
    <x v="233"/>
    <s v="SILLIN P/HAS 460 TRASERO RYL"/>
    <n v="1"/>
    <n v="440000"/>
    <s v="TRANSPORTES Y SERVICIOS TRANSER SAS"/>
    <s v="JONATHAN PAEZ PEDRAZA"/>
    <n v="6"/>
    <s v="JUNIO"/>
  </r>
  <r>
    <n v="2025"/>
    <s v="16/08/2025"/>
    <s v="RMC"/>
    <n v="6218"/>
    <x v="234"/>
    <s v="FILTRO PRIMARIO COMBUSTIBLE PARA MOTORES CUMMINS 6CT, ISC,ISL"/>
    <n v="1"/>
    <n v="34800"/>
    <s v="CEMEX COLOMBIA S.A."/>
    <s v="YASMID DEL PILAR URIBE DELGADO"/>
    <n v="8"/>
    <s v="AGOSTO"/>
  </r>
  <r>
    <n v="2025"/>
    <s v="10/10/2025"/>
    <s v="RMC"/>
    <n v="6304"/>
    <x v="235"/>
    <s v="PIN ESPIRAL REVSO - TODAS"/>
    <n v="2"/>
    <n v="14000"/>
    <s v="TRANSPORTES Y SERVICIOS TRANSER SAS"/>
    <s v="JONATHAN PAEZ PEDRAZA"/>
    <n v="10"/>
    <s v="OCTUBRE"/>
  </r>
  <r>
    <n v="2025"/>
    <s v="10/10/2025"/>
    <s v="RMC"/>
    <n v="6304"/>
    <x v="236"/>
    <s v="REGISTRO PASO COMBUSTIBLE CUMMINS 350/40"/>
    <n v="1"/>
    <n v="49000"/>
    <s v="TRANSPORTES Y SERVICIOS TRANSER SAS"/>
    <s v="JONATHAN PAEZ PEDRAZA"/>
    <n v="10"/>
    <s v="OCTUBRE"/>
  </r>
  <r>
    <n v="2025"/>
    <s v="10/10/2025"/>
    <s v="RMC"/>
    <n v="6309"/>
    <x v="237"/>
    <s v="ABRAZADERA EXOSTO 5&quot;"/>
    <n v="3"/>
    <n v="127500"/>
    <s v="EMPRESA DE DISTRIBUCIONES INDUSTRIALES S.A.S."/>
    <s v="WILLIAM DUVAN REYES DIAZ"/>
    <n v="10"/>
    <s v="OCTUBRE"/>
  </r>
  <r>
    <n v="2025"/>
    <s v="14/11/2025"/>
    <s v="RMC"/>
    <n v="6362"/>
    <x v="234"/>
    <s v="FILTRO PRIMARIO COMBUSTIBLE PARA MOTORES CUMMINS 6CT, ISC,ISL"/>
    <n v="2"/>
    <n v="69600"/>
    <s v="CEMEX COLOMBIA S.A."/>
    <s v="YASMID DEL PILAR URIBE DELGADO"/>
    <n v="11"/>
    <s v="NOVIEMBRE"/>
  </r>
  <r>
    <n v="2025"/>
    <s v="15/12/2025"/>
    <s v="RMC"/>
    <n v="6409"/>
    <x v="167"/>
    <s v="CONO DE 5/8&quot; CERRADO"/>
    <n v="20"/>
    <n v="130000"/>
    <s v="EMPRESA DE DISTRIBUCIONES INDUSTRIALES S.A.S."/>
    <s v="WILLIAM DUVAN REYES DIAZ"/>
    <n v="12"/>
    <s v="DICIEMBRE"/>
  </r>
  <r>
    <n v="2025"/>
    <s v="10/11/2025"/>
    <s v="RMC"/>
    <n v="6355"/>
    <x v="238"/>
    <s v="VENTILADOR 32x2,5 x 11"/>
    <n v="1"/>
    <n v="440000"/>
    <s v="TRANSPORTES Y SERVICIOS TRANSER SAS"/>
    <s v="JONATHAN PAEZ PEDRAZA"/>
    <n v="11"/>
    <s v="NOVIEMBRE"/>
  </r>
  <r>
    <n v="2025"/>
    <s v="07/03/2025"/>
    <s v="RMC"/>
    <n v="5899"/>
    <x v="239"/>
    <s v="TORNILLO SILLÍN 10 1/2&quot;"/>
    <n v="2"/>
    <n v="106000"/>
    <s v="TRANSPORTES Y SERVICIOS TRANSER SAS"/>
    <s v="JONATHAN PAEZ PEDRAZA"/>
    <n v="3"/>
    <s v="MARZO"/>
  </r>
  <r>
    <n v="2025"/>
    <s v="14/10/2025"/>
    <s v="RMC"/>
    <n v="6311"/>
    <x v="193"/>
    <s v="FRENO EMBRAGUE 2&quot;"/>
    <n v="1"/>
    <n v="97000"/>
    <s v="TRANSPORTES Y SERVICIOS TRANSER SAS"/>
    <s v="JONATHAN PAEZ PEDRAZA"/>
    <n v="10"/>
    <s v="OCTUBRE"/>
  </r>
  <r>
    <n v="2025"/>
    <s v="28/05/2025"/>
    <s v="RMC"/>
    <n v="6083"/>
    <x v="240"/>
    <s v="EMPAQUETADURA CULATA COMPL P/COMPRESO"/>
    <n v="1"/>
    <n v="326000"/>
    <s v="TRANSPORTES Y SERVICIOS TRANSER SAS"/>
    <s v="JONATHAN PAEZ PEDRAZA"/>
    <n v="5"/>
    <s v="MAYO"/>
  </r>
  <r>
    <n v="2025"/>
    <s v="28/04/2025"/>
    <s v="RMC"/>
    <n v="6028"/>
    <x v="241"/>
    <s v="TENSOR CORREA (ALTERNADOR)"/>
    <n v="1"/>
    <n v="295000"/>
    <s v="TRANSPORTES Y SERVICIOS TRANSER SAS"/>
    <s v="JONATHAN PAEZ PEDRAZA"/>
    <n v="4"/>
    <s v="ABRIL"/>
  </r>
  <r>
    <n v="2025"/>
    <s v="14/07/2025"/>
    <s v="RMC"/>
    <n v="6156"/>
    <x v="118"/>
    <s v="ARANDELA CONCENTRICA ALINEACION BRONCE"/>
    <n v="2"/>
    <n v="151800"/>
    <s v="TRANSPORTES Y SERVICIOS TRANSER SAS"/>
    <s v="JONATHAN PAEZ PEDRAZA"/>
    <n v="7"/>
    <s v="JULIO"/>
  </r>
  <r>
    <n v="2025"/>
    <s v="28/04/2025"/>
    <s v="RMC"/>
    <n v="6028"/>
    <x v="242"/>
    <s v="RETEN CIGU DETR S 60 VERD CON CAMIS FIJA"/>
    <n v="1"/>
    <n v="240000"/>
    <s v="TRANSPORTES Y SERVICIOS TRANSER SAS"/>
    <s v="JONATHAN PAEZ PEDRAZA"/>
    <n v="4"/>
    <s v="ABRIL"/>
  </r>
  <r>
    <n v="2025"/>
    <s v="26/05/2025"/>
    <s v="RMC"/>
    <n v="6073"/>
    <x v="240"/>
    <s v="EMPAQUETADURA CULATA COMPL P/COMPRESO"/>
    <n v="1"/>
    <n v="326000"/>
    <s v="TRANSPORTES Y SERVICIOS TRANSER SAS"/>
    <s v="JONATHAN PAEZ PEDRAZA"/>
    <n v="5"/>
    <s v="MAYO"/>
  </r>
  <r>
    <n v="2025"/>
    <s v="05/05/2025"/>
    <s v="RMC"/>
    <n v="6037"/>
    <x v="104"/>
    <s v="SHIMS SPLINDER 328349  A= 0.70"/>
    <n v="1"/>
    <n v="1407"/>
    <s v="TRANSPORTES Y SERVICIOS TRANSER SAS"/>
    <s v="JONATHAN PAEZ PEDRAZA"/>
    <n v="5"/>
    <s v="MAYO"/>
  </r>
  <r>
    <n v="2025"/>
    <s v="05/05/2025"/>
    <s v="RMC"/>
    <n v="6037"/>
    <x v="16"/>
    <s v="JUEGO CHAPETA CRUCETA 15 1/2&quot; 17 1/2&quot;"/>
    <n v="2"/>
    <n v="44098"/>
    <s v="TRANSPORTES Y SERVICIOS TRANSER SAS"/>
    <s v="JONATHAN PAEZ PEDRAZA"/>
    <n v="5"/>
    <s v="MAYO"/>
  </r>
  <r>
    <n v="2025"/>
    <s v="05/05/2025"/>
    <s v="RMC"/>
    <n v="6037"/>
    <x v="240"/>
    <s v="EMPAQUETADURA CULATA COMPL P/COMPRESO"/>
    <n v="1"/>
    <n v="326000"/>
    <s v="TRANSPORTES Y SERVICIOS TRANSER SAS"/>
    <s v="JONATHAN PAEZ PEDRAZA"/>
    <n v="5"/>
    <s v="MAYO"/>
  </r>
  <r>
    <n v="2025"/>
    <s v="08/08/2025"/>
    <s v="RMC"/>
    <n v="6207"/>
    <x v="210"/>
    <s v="PLANETARIO ESCUALIZACION 46160"/>
    <n v="2"/>
    <n v="316000"/>
    <s v="TRANSPORTES Y SERVICIOS TRANSER SAS"/>
    <s v="JONATHAN PAEZ PEDRAZA"/>
    <n v="8"/>
    <s v="AGOSTO"/>
  </r>
  <r>
    <n v="2025"/>
    <s v="08/08/2025"/>
    <s v="RMC"/>
    <n v="6207"/>
    <x v="159"/>
    <s v="BALINERA MONO 16918"/>
    <n v="1"/>
    <n v="339000"/>
    <s v="TRANSPORTES Y SERVICIOS TRANSER SAS"/>
    <s v="JONATHAN PAEZ PEDRAZA"/>
    <n v="8"/>
    <s v="AGOSTO"/>
  </r>
  <r>
    <n v="2025"/>
    <s v="08/08/2025"/>
    <s v="RMC"/>
    <n v="6207"/>
    <x v="128"/>
    <s v="KIT EMPAQUES PRINCIPAL 14/16918"/>
    <n v="1"/>
    <n v="166000"/>
    <s v="TRANSPORTES Y SERVICIOS TRANSER SAS"/>
    <s v="JONATHAN PAEZ PEDRAZA"/>
    <n v="8"/>
    <s v="AGOSTO"/>
  </r>
  <r>
    <n v="2025"/>
    <s v="08/08/2025"/>
    <s v="RMC"/>
    <n v="6207"/>
    <x v="243"/>
    <s v="KIT EMPAQUES MONO 14918/16"/>
    <n v="1"/>
    <n v="60000"/>
    <s v="TRANSPORTES Y SERVICIOS TRANSER SAS"/>
    <s v="JONATHAN PAEZ PEDRAZA"/>
    <n v="8"/>
    <s v="AGOSTO"/>
  </r>
  <r>
    <n v="2025"/>
    <s v="11/04/2025"/>
    <s v="RMC"/>
    <n v="5995"/>
    <x v="244"/>
    <s v="RACH AUT CONT RAPI SH CC 6&quot; 28E REC TRAY"/>
    <n v="4"/>
    <n v="1000000"/>
    <s v="TRANSPORTES Y SERVICIOS TRANSER SAS"/>
    <s v="JONATHAN PAEZ PEDRAZA"/>
    <n v="4"/>
    <s v="ABRIL"/>
  </r>
  <r>
    <n v="2025"/>
    <s v="11/04/2025"/>
    <s v="RMC"/>
    <n v="5995"/>
    <x v="245"/>
    <s v="PLATO SINCRONIZADOR 18 TODAS"/>
    <n v="1"/>
    <n v="329000"/>
    <s v="TRANSPORTES Y SERVICIOS TRANSER SAS"/>
    <s v="JONATHAN PAEZ PEDRAZA"/>
    <n v="4"/>
    <s v="ABRIL"/>
  </r>
  <r>
    <n v="2025"/>
    <s v="11/04/2025"/>
    <s v="RMC"/>
    <n v="5995"/>
    <x v="190"/>
    <s v="PIN TREN FIJO PARTE TRAS 16918/11210B/C"/>
    <n v="2"/>
    <n v="4400"/>
    <s v="TRANSPORTES Y SERVICIOS TRANSER SAS"/>
    <s v="JONATHAN PAEZ PEDRAZA"/>
    <n v="4"/>
    <s v="ABRIL"/>
  </r>
  <r>
    <n v="2025"/>
    <s v="11/04/2025"/>
    <s v="RMC"/>
    <n v="5995"/>
    <x v="95"/>
    <s v="KIT TUERCA Y ARANDELA DIV(40X1233/4521)"/>
    <n v="1"/>
    <n v="85000"/>
    <s v="TRANSPORTES Y SERVICIOS TRANSER SAS"/>
    <s v="JONATHAN PAEZ PEDRAZA"/>
    <n v="4"/>
    <s v="ABRIL"/>
  </r>
  <r>
    <n v="2025"/>
    <s v="11/04/2025"/>
    <s v="RMC"/>
    <n v="5995"/>
    <x v="125"/>
    <s v="SPLINDER BRONCE 2 CUÑ. 90,06&quot; X 1,87&quot;"/>
    <n v="2"/>
    <n v="1760000"/>
    <s v="TRANSPORTES Y SERVICIOS TRANSER SAS"/>
    <s v="JONATHAN PAEZ PEDRAZA"/>
    <n v="4"/>
    <s v="ABRIL"/>
  </r>
  <r>
    <n v="2025"/>
    <s v="11/04/2025"/>
    <s v="RMC"/>
    <n v="5995"/>
    <x v="246"/>
    <s v="KIT MAYOR REPA LEVA DE FRENO TRAILER"/>
    <n v="2"/>
    <n v="126000"/>
    <s v="TRANSPORTES Y SERVICIOS TRANSER SAS"/>
    <s v="JONATHAN PAEZ PEDRAZA"/>
    <n v="4"/>
    <s v="ABRIL"/>
  </r>
  <r>
    <n v="2025"/>
    <s v="05/05/2025"/>
    <s v="RMC"/>
    <n v="6037"/>
    <x v="247"/>
    <s v="KIT EMPAQUES MONO 14715/16915/8908LL"/>
    <n v="1"/>
    <n v="50000"/>
    <s v="TRANSPORTES Y SERVICIOS TRANSER SAS"/>
    <s v="JONATHAN PAEZ PEDRAZA"/>
    <n v="5"/>
    <s v="MAYO"/>
  </r>
  <r>
    <n v="2025"/>
    <s v="23/07/2025"/>
    <s v="RMC"/>
    <n v="6180"/>
    <x v="248"/>
    <s v="DISCO 15/2 7 RESORTES 4 TACOS"/>
    <n v="2"/>
    <n v="960000"/>
    <s v="TRANSPORTES Y SERVICIOS TRANSER SAS"/>
    <s v="JONATHAN PAEZ PEDRAZA"/>
    <n v="7"/>
    <s v="JULIO"/>
  </r>
  <r>
    <n v="2025"/>
    <s v="21/04/2025"/>
    <s v="RMC"/>
    <n v="6013"/>
    <x v="161"/>
    <s v="ARANDELA EXCENTRICA ALINEACION BRONCE"/>
    <n v="1"/>
    <n v="81000"/>
    <s v="TRANSPORTES Y SERVICIOS TRANSER SAS"/>
    <s v="JONATHAN PAEZ PEDRAZA"/>
    <n v="4"/>
    <s v="ABRIL"/>
  </r>
  <r>
    <n v="2025"/>
    <s v="07/05/2025"/>
    <s v="RMC"/>
    <n v="6041"/>
    <x v="249"/>
    <s v="YOKE DIV 46E S 5312 Q 2312 R3250 BAJO"/>
    <n v="1"/>
    <n v="680000"/>
    <s v="TRANSPORTES Y SERVICIOS TRANSER SAS"/>
    <s v="JONATHAN PAEZ PEDRAZA"/>
    <n v="5"/>
    <s v="MAYO"/>
  </r>
  <r>
    <n v="2025"/>
    <s v="21/04/2025"/>
    <s v="RMC"/>
    <n v="6013"/>
    <x v="5"/>
    <s v="CODO INTERCOOLER 45°KW HASTA EL 2008 9LO"/>
    <n v="1"/>
    <n v="139700"/>
    <s v="TRANSPORTES Y SERVICIOS TRANSER SAS"/>
    <s v="JONATHAN PAEZ PEDRAZA"/>
    <n v="4"/>
    <s v="ABRIL"/>
  </r>
  <r>
    <n v="2025"/>
    <s v="11/06/2025"/>
    <s v="RMC"/>
    <n v="6101"/>
    <x v="190"/>
    <s v="PIN TREN FIJO PARTE TRAS 16918/11210B/C"/>
    <n v="1"/>
    <n v="2200"/>
    <s v="TRANSPORTES Y SERVICIOS TRANSER SAS"/>
    <s v="JONATHAN PAEZ PEDRAZA"/>
    <n v="6"/>
    <s v="JUNIO"/>
  </r>
  <r>
    <n v="2025"/>
    <s v="11/06/2025"/>
    <s v="RMC"/>
    <n v="6101"/>
    <x v="250"/>
    <s v="PIÑÓN 5TA TREN FIJO 16918"/>
    <n v="1"/>
    <n v="317300"/>
    <s v="TRANSPORTES Y SERVICIOS TRANSER SAS"/>
    <s v="JONATHAN PAEZ PEDRAZA"/>
    <n v="6"/>
    <s v="JUNIO"/>
  </r>
  <r>
    <n v="2025"/>
    <s v="11/06/2025"/>
    <s v="RMC"/>
    <n v="6101"/>
    <x v="191"/>
    <s v="RODILLO TREN FIJO PARTE TRAS - TODAS 18"/>
    <n v="1"/>
    <n v="75000"/>
    <s v="TRANSPORTES Y SERVICIOS TRANSER SAS"/>
    <s v="JONATHAN PAEZ PEDRAZA"/>
    <n v="6"/>
    <s v="JUNIO"/>
  </r>
  <r>
    <n v="2025"/>
    <s v="11/06/2025"/>
    <s v="RMC"/>
    <n v="6101"/>
    <x v="93"/>
    <s v="PIN BALINERA O RODILLO EJE DE TOMA - TOD"/>
    <n v="1"/>
    <n v="3700"/>
    <s v="TRANSPORTES Y SERVICIOS TRANSER SAS"/>
    <s v="JONATHAN PAEZ PEDRAZA"/>
    <n v="6"/>
    <s v="JUNIO"/>
  </r>
  <r>
    <n v="2025"/>
    <s v="11/06/2025"/>
    <s v="RMC"/>
    <n v="6101"/>
    <x v="251"/>
    <s v="BALINERA 14 BALINES (212) 1212 REFORZADA"/>
    <n v="1"/>
    <n v="71000"/>
    <s v="TRANSPORTES Y SERVICIOS TRANSER SAS"/>
    <s v="JONATHAN PAEZ PEDRAZA"/>
    <n v="6"/>
    <s v="JUNIO"/>
  </r>
  <r>
    <n v="2025"/>
    <s v="11/06/2025"/>
    <s v="RMC"/>
    <n v="6101"/>
    <x v="179"/>
    <s v="SOPORTE SUPERIOR GRAPA HAS 460"/>
    <n v="2"/>
    <n v="370000"/>
    <s v="TRANSPORTES Y SERVICIOS TRANSER SAS"/>
    <s v="JONATHAN PAEZ PEDRAZA"/>
    <n v="6"/>
    <s v="JUNIO"/>
  </r>
  <r>
    <n v="2025"/>
    <s v="24/09/2025"/>
    <s v="RMC"/>
    <n v="6270"/>
    <x v="252"/>
    <s v="TERMINAL DIRECCION RUNNER 4300 DURESTAR"/>
    <n v="1"/>
    <n v="328087"/>
    <s v="TRANSPORTES Y SERVICIOS TRANSER SAS"/>
    <s v="JONATHAN PAEZ PEDRAZA"/>
    <n v="9"/>
    <s v="SEPTIEMBRE"/>
  </r>
  <r>
    <n v="2025"/>
    <s v="15/12/2025"/>
    <s v="RMC"/>
    <n v="6410"/>
    <x v="219"/>
    <s v="RACHE FRENO MEC. 1-1/2&quot;28E"/>
    <n v="2"/>
    <n v="176000"/>
    <s v="EMPRESA DE DISTRIBUCIONES INDUSTRIALES S.A.S."/>
    <s v="WILLIAM DUVAN REYES DIAZ"/>
    <n v="12"/>
    <s v="DICIEMBRE"/>
  </r>
  <r>
    <n v="2025"/>
    <s v="15/12/2025"/>
    <s v="RMC"/>
    <n v="6410"/>
    <x v="253"/>
    <s v="AMORTIGUADOR CABINA PROSTAR"/>
    <n v="2"/>
    <n v="408000"/>
    <s v="EMPRESA DE DISTRIBUCIONES INDUSTRIALES S.A.S."/>
    <s v="WILLIAM DUVAN REYES DIAZ"/>
    <n v="12"/>
    <s v="DICIEMBRE"/>
  </r>
  <r>
    <n v="2025"/>
    <s v="15/12/2025"/>
    <s v="RMC"/>
    <n v="6410"/>
    <x v="208"/>
    <s v="RACHE AUTO CH CC 5 1/2&quot; TP1 1-1/2&quot;28E"/>
    <n v="2"/>
    <n v="590000"/>
    <s v="EMPRESA DE DISTRIBUCIONES INDUSTRIALES S.A.S."/>
    <s v="WILLIAM DUVAN REYES DIAZ"/>
    <n v="12"/>
    <s v="DICIEMBRE"/>
  </r>
  <r>
    <n v="2025"/>
    <s v="17/03/2025"/>
    <s v="RMC"/>
    <n v="5928"/>
    <x v="254"/>
    <s v="PIÑÓN CENT 918"/>
    <n v="1"/>
    <n v="446767"/>
    <s v="CEMEX COLOMBIA S.A."/>
    <s v="YASMID DEL PILAR URIBE DELGADO"/>
    <n v="3"/>
    <s v="MARZO"/>
  </r>
  <r>
    <n v="2025"/>
    <s v="24/09/2025"/>
    <s v="RMC"/>
    <n v="6270"/>
    <x v="116"/>
    <s v="KIT RETEN MONO 14715/915/918 11210 (BRA)"/>
    <n v="1"/>
    <n v="131000"/>
    <s v="TRANSPORTES Y SERVICIOS TRANSER SAS"/>
    <s v="JONATHAN PAEZ PEDRAZA"/>
    <n v="9"/>
    <s v="SEPTIEMBRE"/>
  </r>
  <r>
    <n v="2025"/>
    <s v="24/09/2025"/>
    <s v="RMC"/>
    <n v="6270"/>
    <x v="192"/>
    <s v="KIT REPARACION 2TIEMPO MANZ  2 1/2&quot; Y 5&quot;"/>
    <n v="1"/>
    <n v="3080000"/>
    <s v="TRANSPORTES Y SERVICIOS TRANSER SAS"/>
    <s v="JONATHAN PAEZ PEDRAZA"/>
    <n v="9"/>
    <s v="SEPTIEMBRE"/>
  </r>
  <r>
    <n v="2025"/>
    <s v="24/09/2025"/>
    <s v="RMC"/>
    <n v="6270"/>
    <x v="255"/>
    <s v="CULATA COMPRESOR CUMINS ISX"/>
    <n v="1"/>
    <n v="732000"/>
    <s v="TRANSPORTES Y SERVICIOS TRANSER SAS"/>
    <s v="JONATHAN PAEZ PEDRAZA"/>
    <n v="9"/>
    <s v="SEPTIEMBRE"/>
  </r>
  <r>
    <n v="2025"/>
    <s v="24/09/2025"/>
    <s v="RMC"/>
    <n v="6270"/>
    <x v="7"/>
    <s v="BOLSA SILLA CZ TODAS INTER"/>
    <n v="1"/>
    <n v="175000"/>
    <s v="TRANSPORTES Y SERVICIOS TRANSER SAS"/>
    <s v="JONATHAN PAEZ PEDRAZA"/>
    <n v="9"/>
    <s v="SEPTIEMBRE"/>
  </r>
  <r>
    <n v="2025"/>
    <s v="25/08/2025"/>
    <s v="RMC"/>
    <n v="6229"/>
    <x v="256"/>
    <s v="TUERCA HAUSING EAGLE"/>
    <n v="1"/>
    <n v="99000"/>
    <s v="TRANSPORTES Y SERVICIOS TRANSER SAS"/>
    <s v="JONATHAN PAEZ PEDRAZA"/>
    <n v="8"/>
    <s v="AGOSTO"/>
  </r>
  <r>
    <n v="2025"/>
    <s v="25/08/2025"/>
    <s v="RMC"/>
    <n v="6229"/>
    <x v="210"/>
    <s v="PLANETARIO ESCUALIZACION 46160"/>
    <n v="4"/>
    <n v="632000"/>
    <s v="TRANSPORTES Y SERVICIOS TRANSER SAS"/>
    <s v="JONATHAN PAEZ PEDRAZA"/>
    <n v="8"/>
    <s v="AGOSTO"/>
  </r>
  <r>
    <n v="2025"/>
    <s v="25/08/2025"/>
    <s v="RMC"/>
    <n v="6229"/>
    <x v="257"/>
    <s v="TUERCA LATERAL AJUSTE DIFERENC. 6&quot; 1/16"/>
    <n v="3"/>
    <n v="252000"/>
    <s v="TRANSPORTES Y SERVICIOS TRANSER SAS"/>
    <s v="JONATHAN PAEZ PEDRAZA"/>
    <n v="8"/>
    <s v="AGOSTO"/>
  </r>
  <r>
    <n v="2025"/>
    <s v="25/08/2025"/>
    <s v="RMC"/>
    <n v="6229"/>
    <x v="258"/>
    <s v="TUERCA LATERAL AJUSTE DIFERENCIAL 6&quot; 1/4"/>
    <n v="1"/>
    <n v="104000"/>
    <s v="TRANSPORTES Y SERVICIOS TRANSER SAS"/>
    <s v="JONATHAN PAEZ PEDRAZA"/>
    <n v="8"/>
    <s v="AGOSTO"/>
  </r>
  <r>
    <n v="2025"/>
    <s v="25/08/2025"/>
    <s v="RMC"/>
    <n v="6229"/>
    <x v="259"/>
    <s v="JUEGO CHAPETA SPL250 (JGOX6)"/>
    <n v="1"/>
    <n v="63000"/>
    <s v="TRANSPORTES Y SERVICIOS TRANSER SAS"/>
    <s v="JONATHAN PAEZ PEDRAZA"/>
    <n v="8"/>
    <s v="AGOSTO"/>
  </r>
  <r>
    <n v="2025"/>
    <s v="25/08/2025"/>
    <s v="RMC"/>
    <n v="6229"/>
    <x v="260"/>
    <s v="BOLSA TAN 9.12ANxA1E1&quot;.5/16x10.80ALT+1T"/>
    <n v="2"/>
    <n v="770000"/>
    <s v="TRANSPORTES Y SERVICIOS TRANSER SAS"/>
    <s v="JONATHAN PAEZ PEDRAZA"/>
    <n v="8"/>
    <s v="AGOSTO"/>
  </r>
  <r>
    <n v="2025"/>
    <s v="25/08/2025"/>
    <s v="RMC"/>
    <n v="6229"/>
    <x v="261"/>
    <s v="FUELLE SOLO C/TAPA SUP TRAIL RANDON BOTE"/>
    <n v="1"/>
    <n v="475000"/>
    <s v="TRANSPORTES Y SERVICIOS TRANSER SAS"/>
    <s v="JONATHAN PAEZ PEDRAZA"/>
    <n v="8"/>
    <s v="AGOSTO"/>
  </r>
  <r>
    <n v="2025"/>
    <s v="22/07/2025"/>
    <s v="RMC"/>
    <n v="6179"/>
    <x v="262"/>
    <s v="SENSOR DE VELOCIDAD KENWORTH 2 PATAS"/>
    <n v="1"/>
    <n v="134000"/>
    <s v="CEMEX COLOMBIA S.A."/>
    <s v="YASMID DEL PILAR URIBE DELGADO"/>
    <n v="7"/>
    <s v="JULIO"/>
  </r>
  <r>
    <n v="2025"/>
    <s v="16/06/2025"/>
    <s v="RMC"/>
    <n v="6112"/>
    <x v="259"/>
    <s v="JUEGO CHAPETA SPL250 (JGOX6)"/>
    <n v="1"/>
    <n v="55000"/>
    <s v="TRANSPORTES Y SERVICIOS TRANSER SAS"/>
    <s v="JONATHAN PAEZ PEDRAZA"/>
    <n v="6"/>
    <s v="JUNIO"/>
  </r>
  <r>
    <n v="2025"/>
    <s v="01/07/2025"/>
    <s v="RMC"/>
    <n v="6135"/>
    <x v="263"/>
    <s v="EMPAQUE CARTER ISX"/>
    <n v="1"/>
    <n v="358000"/>
    <s v="CEMEX COLOMBIA S.A."/>
    <s v="YASMID DEL PILAR URIBE DELGADO"/>
    <n v="7"/>
    <s v="JULIO"/>
  </r>
  <r>
    <n v="2025"/>
    <s v="01/07/2025"/>
    <s v="RMC"/>
    <n v="6135"/>
    <x v="264"/>
    <s v="VENTILADOR 32X2.5X11"/>
    <n v="1"/>
    <n v="550000"/>
    <s v="CEMEX COLOMBIA S.A."/>
    <s v="YASMID DEL PILAR URIBE DELGADO"/>
    <n v="7"/>
    <s v="JULIO"/>
  </r>
  <r>
    <n v="2025"/>
    <s v="01/07/2025"/>
    <s v="RMC"/>
    <n v="6135"/>
    <x v="122"/>
    <s v="CILINDRO AUXI CLUTCH M2106-112/CASCADIA"/>
    <n v="1"/>
    <n v="480000"/>
    <s v="CEMEX COLOMBIA S.A."/>
    <s v="YASMID DEL PILAR URIBE DELGADO"/>
    <n v="7"/>
    <s v="JULIO"/>
  </r>
  <r>
    <n v="2025"/>
    <s v="14/07/2025"/>
    <s v="RMC"/>
    <n v="6155"/>
    <x v="265"/>
    <s v="MANGUERA TRM36&quot; 92CM DI 2&quot;1/2 3 LON AZUL"/>
    <n v="32"/>
    <n v="68768"/>
    <s v="TRANSPORTES Y SERVICIOS TRANSER SAS"/>
    <s v="JONATHAN PAEZ PEDRAZA"/>
    <n v="7"/>
    <s v="JULIO"/>
  </r>
  <r>
    <n v="2025"/>
    <s v="30/07/2025"/>
    <s v="RMC"/>
    <n v="6194"/>
    <x v="266"/>
    <s v="KIT REPARAC VALV FRENO SEGURIDAD EAGLE"/>
    <n v="1"/>
    <n v="73500"/>
    <s v="CEMEX COLOMBIA S.A."/>
    <s v="YASMID DEL PILAR URIBE DELGADO"/>
    <n v="7"/>
    <s v="JULIO"/>
  </r>
  <r>
    <n v="2025"/>
    <s v="04/12/2025"/>
    <s v="RMC"/>
    <n v="6389"/>
    <x v="267"/>
    <s v="BALINERA TRASERA EJE FAN CLUTCH BORGWARN"/>
    <n v="10"/>
    <n v="79380"/>
    <s v="CEMEX COLOMBIA S.A."/>
    <s v="YASMID DEL PILAR URIBE DELGADO"/>
    <n v="12"/>
    <s v="DICIEMBRE"/>
  </r>
  <r>
    <n v="2025"/>
    <s v="04/12/2025"/>
    <s v="RMC"/>
    <n v="6389"/>
    <x v="1"/>
    <s v="RACHE AUTO CH CC 6&quot; TP3 1-1/2&quot;28E"/>
    <n v="32"/>
    <n v="8906752"/>
    <s v="CEMEX COLOMBIA S.A."/>
    <s v="YASMID DEL PILAR URIBE DELGADO"/>
    <n v="12"/>
    <s v="DICIEMBRE"/>
  </r>
  <r>
    <n v="2025"/>
    <s v="04/12/2025"/>
    <s v="RMC"/>
    <n v="6389"/>
    <x v="268"/>
    <s v="RETEN CIGUEÑAL DELANTERO ISX"/>
    <n v="3"/>
    <n v="571557"/>
    <s v="CEMEX COLOMBIA S.A."/>
    <s v="YASMID DEL PILAR URIBE DELGADO"/>
    <n v="12"/>
    <s v="DICIEMBRE"/>
  </r>
  <r>
    <n v="2025"/>
    <s v="04/12/2025"/>
    <s v="RMC"/>
    <n v="6389"/>
    <x v="269"/>
    <s v="ARANDELA PLANETARIO 46160"/>
    <n v="15"/>
    <n v="270000"/>
    <s v="CEMEX COLOMBIA S.A."/>
    <s v="YASMID DEL PILAR URIBE DELGADO"/>
    <n v="12"/>
    <s v="DICIEMBRE"/>
  </r>
  <r>
    <n v="2025"/>
    <s v="04/12/2025"/>
    <s v="RMC"/>
    <n v="6389"/>
    <x v="270"/>
    <s v="ROTULA ESFERICA RADIAL ( DIAMETRO INTERNO 25MM Y EXTERNO 42MM) PARA HORQUILLA EMBRAGUE DE FREIGHTLINER E INTERNATIONAL PROSTAR"/>
    <n v="3"/>
    <n v="197274"/>
    <s v="CEMEX COLOMBIA S.A."/>
    <s v="YASMID DEL PILAR URIBE DELGADO"/>
    <n v="12"/>
    <s v="DICIEMBRE"/>
  </r>
  <r>
    <n v="2025"/>
    <s v="11/09/2025"/>
    <s v="RMC"/>
    <n v="6249"/>
    <x v="212"/>
    <s v="RACOR/CODO"/>
    <n v="1"/>
    <n v="21000"/>
    <s v="TRANSPORTES Y SERVICIOS TRANSER SAS"/>
    <s v="JONATHAN PAEZ PEDRAZA"/>
    <n v="9"/>
    <s v="SEPTIEMBRE"/>
  </r>
  <r>
    <n v="2025"/>
    <s v="11/09/2025"/>
    <s v="RMC"/>
    <n v="6249"/>
    <x v="271"/>
    <s v="BUJE MUELLE SUSPENSION 1 3/8 TPK"/>
    <n v="2"/>
    <n v="60000"/>
    <s v="TRANSPORTES Y SERVICIOS TRANSER SAS"/>
    <s v="JONATHAN PAEZ PEDRAZA"/>
    <n v="9"/>
    <s v="SEPTIEMBRE"/>
  </r>
  <r>
    <n v="2025"/>
    <s v="11/09/2025"/>
    <s v="RMC"/>
    <n v="6249"/>
    <x v="272"/>
    <s v="RETEN KIT 30437"/>
    <n v="4"/>
    <n v="104000"/>
    <s v="TRANSPORTES Y SERVICIOS TRANSER SAS"/>
    <s v="JONATHAN PAEZ PEDRAZA"/>
    <n v="9"/>
    <s v="SEPTIEMBRE"/>
  </r>
  <r>
    <n v="2025"/>
    <s v="11/09/2025"/>
    <s v="RMC"/>
    <n v="6249"/>
    <x v="273"/>
    <s v="BUJE KIT CENTRAL"/>
    <n v="4"/>
    <n v="92000"/>
    <s v="TRANSPORTES Y SERVICIOS TRANSER SAS"/>
    <s v="JONATHAN PAEZ PEDRAZA"/>
    <n v="9"/>
    <s v="SEPTIEMBRE"/>
  </r>
  <r>
    <n v="2025"/>
    <s v="11/09/2025"/>
    <s v="RMC"/>
    <n v="6249"/>
    <x v="236"/>
    <s v="REGISTRO PASO COMBUSTIBLE CUMMINS 350/40"/>
    <n v="4"/>
    <n v="196000"/>
    <s v="TRANSPORTES Y SERVICIOS TRANSER SAS"/>
    <s v="JONATHAN PAEZ PEDRAZA"/>
    <n v="9"/>
    <s v="SEPTIEMBRE"/>
  </r>
  <r>
    <n v="2025"/>
    <s v="11/09/2025"/>
    <s v="RMC"/>
    <n v="6249"/>
    <x v="274"/>
    <s v="KIT DE RESORTE JGO X 3 EAGLE DELAN/FTL"/>
    <n v="1"/>
    <n v="44000"/>
    <s v="TRANSPORTES Y SERVICIOS TRANSER SAS"/>
    <s v="JONATHAN PAEZ PEDRAZA"/>
    <n v="9"/>
    <s v="SEPTIEMBRE"/>
  </r>
  <r>
    <n v="2025"/>
    <s v="11/09/2025"/>
    <s v="RMC"/>
    <n v="6249"/>
    <x v="275"/>
    <s v="FILTRO  DE AIRE GRIS  ESTÁNDAR TODOS"/>
    <n v="1"/>
    <n v="124000"/>
    <s v="TRANSPORTES Y SERVICIOS TRANSER SAS"/>
    <s v="JONATHAN PAEZ PEDRAZA"/>
    <n v="9"/>
    <s v="SEPTIEMBRE"/>
  </r>
  <r>
    <n v="2025"/>
    <s v="21/04/2025"/>
    <s v="RMC"/>
    <n v="6012"/>
    <x v="276"/>
    <s v="ORING VITON REF 222"/>
    <n v="10"/>
    <n v="54500"/>
    <s v="TRANSPORTES Y SERVICIOS TRANSER SAS"/>
    <s v="JONATHAN PAEZ PEDRAZA"/>
    <n v="4"/>
    <s v="ABRIL"/>
  </r>
  <r>
    <n v="2025"/>
    <s v="21/04/2025"/>
    <s v="RMC"/>
    <n v="6012"/>
    <x v="117"/>
    <s v="ORING NITRILO ELECTROVALV ABS (8) #15*1"/>
    <n v="8"/>
    <n v="2400"/>
    <s v="TRANSPORTES Y SERVICIOS TRANSER SAS"/>
    <s v="JONATHAN PAEZ PEDRAZA"/>
    <n v="4"/>
    <s v="ABRIL"/>
  </r>
  <r>
    <n v="2025"/>
    <s v="21/04/2025"/>
    <s v="RMC"/>
    <n v="6012"/>
    <x v="73"/>
    <s v="ORING NITRILO ELECTROVALVU ABS (8) #10*1"/>
    <n v="4"/>
    <n v="1200"/>
    <s v="TRANSPORTES Y SERVICIOS TRANSER SAS"/>
    <s v="JONATHAN PAEZ PEDRAZA"/>
    <n v="4"/>
    <s v="ABRIL"/>
  </r>
  <r>
    <n v="2025"/>
    <s v="21/04/2025"/>
    <s v="RMC"/>
    <n v="6012"/>
    <x v="58"/>
    <s v="ORING NITRILO REF 103"/>
    <n v="4"/>
    <n v="400"/>
    <s v="TRANSPORTES Y SERVICIOS TRANSER SAS"/>
    <s v="JONATHAN PAEZ PEDRAZA"/>
    <n v="4"/>
    <s v="ABRIL"/>
  </r>
  <r>
    <n v="2025"/>
    <s v="21/04/2025"/>
    <s v="RMC"/>
    <n v="6012"/>
    <x v="277"/>
    <s v="ORING NITRILO MANGUERA BOMBONA KW #021"/>
    <n v="1"/>
    <n v="200"/>
    <s v="TRANSPORTES Y SERVICIOS TRANSER SAS"/>
    <s v="JONATHAN PAEZ PEDRAZA"/>
    <n v="4"/>
    <s v="ABRIL"/>
  </r>
  <r>
    <n v="2025"/>
    <s v="21/04/2025"/>
    <s v="RMC"/>
    <n v="6012"/>
    <x v="278"/>
    <s v="ORING VITON REF 213"/>
    <n v="1"/>
    <n v="3000"/>
    <s v="TRANSPORTES Y SERVICIOS TRANSER SAS"/>
    <s v="JONATHAN PAEZ PEDRAZA"/>
    <n v="4"/>
    <s v="ABRIL"/>
  </r>
  <r>
    <n v="2025"/>
    <s v="16/07/2025"/>
    <s v="RMC"/>
    <n v="6162"/>
    <x v="279"/>
    <s v="TORNILLO PUNTA EJE MONO"/>
    <n v="1"/>
    <n v="6500"/>
    <s v="TRANSPORTES Y SERVICIOS TRANSER SAS"/>
    <s v="JONATHAN PAEZ PEDRAZA"/>
    <n v="7"/>
    <s v="JULIO"/>
  </r>
  <r>
    <n v="2025"/>
    <s v="26/09/2025"/>
    <s v="RMC"/>
    <n v="6273"/>
    <x v="280"/>
    <s v="ELECTRO VALVULA FAN CABLE  NEGRO-ROJO"/>
    <n v="1"/>
    <n v="605000"/>
    <s v="TRANSPORTES Y SERVICIOS TRANSER SAS"/>
    <s v="JONATHAN PAEZ PEDRAZA"/>
    <n v="9"/>
    <s v="SEPTIEMBRE"/>
  </r>
  <r>
    <n v="2025"/>
    <s v="27/10/2025"/>
    <s v="RMC"/>
    <n v="6333"/>
    <x v="274"/>
    <s v="KIT DE RESORTE JGO X 3 EAGLE DELAN/FTL"/>
    <n v="1"/>
    <n v="44000"/>
    <s v="TRANSPORTES Y SERVICIOS TRANSER SAS"/>
    <s v="JONATHAN PAEZ PEDRAZA"/>
    <n v="10"/>
    <s v="OCTUBRE"/>
  </r>
  <r>
    <n v="2025"/>
    <s v="27/10/2025"/>
    <s v="RMC"/>
    <n v="6333"/>
    <x v="281"/>
    <s v="PIN PUNTA LEVA DE FRENO TIPO M EATON"/>
    <n v="1"/>
    <n v="4000"/>
    <s v="TRANSPORTES Y SERVICIOS TRANSER SAS"/>
    <s v="JONATHAN PAEZ PEDRAZA"/>
    <n v="10"/>
    <s v="OCTUBRE"/>
  </r>
  <r>
    <n v="2025"/>
    <s v="27/10/2025"/>
    <s v="RMC"/>
    <n v="6333"/>
    <x v="282"/>
    <s v="BOLSA SUSPENSION TANDEM PARA SITRAK  C7H Y FAW"/>
    <n v="1"/>
    <n v="270000"/>
    <s v="TRANSPORTES Y SERVICIOS TRANSER SAS"/>
    <s v="JONATHAN PAEZ PEDRAZA"/>
    <n v="10"/>
    <s v="OCTUBRE"/>
  </r>
  <r>
    <n v="2025"/>
    <s v="27/10/2025"/>
    <s v="RMC"/>
    <n v="6333"/>
    <x v="283"/>
    <s v="BOLSA TAN 10.12ANx6.20CCx22AL+1T"/>
    <n v="1"/>
    <n v="460000"/>
    <s v="TRANSPORTES Y SERVICIOS TRANSER SAS"/>
    <s v="JONATHAN PAEZ PEDRAZA"/>
    <n v="10"/>
    <s v="OCTUBRE"/>
  </r>
  <r>
    <n v="2025"/>
    <s v="16/06/2025"/>
    <s v="RMC"/>
    <n v="6111"/>
    <x v="284"/>
    <s v="EJE TOMA 2&quot; 14915/16918/8709B"/>
    <n v="1"/>
    <n v="215000"/>
    <s v="TRANSPORTES Y SERVICIOS TRANSER SAS"/>
    <s v="JONATHAN PAEZ PEDRAZA"/>
    <n v="6"/>
    <s v="JUNIO"/>
  </r>
  <r>
    <n v="2025"/>
    <s v="16/06/2025"/>
    <s v="RMC"/>
    <n v="6111"/>
    <x v="285"/>
    <s v="PIÑÓN 2DA TREN FIJO 16918"/>
    <n v="2"/>
    <n v="300000"/>
    <s v="TRANSPORTES Y SERVICIOS TRANSER SAS"/>
    <s v="JONATHAN PAEZ PEDRAZA"/>
    <n v="6"/>
    <s v="JUNIO"/>
  </r>
  <r>
    <n v="2025"/>
    <s v="16/06/2025"/>
    <s v="RMC"/>
    <n v="6111"/>
    <x v="250"/>
    <s v="PIÑÓN 5TA TREN FIJO 16918"/>
    <n v="3"/>
    <n v="951900"/>
    <s v="TRANSPORTES Y SERVICIOS TRANSER SAS"/>
    <s v="JONATHAN PAEZ PEDRAZA"/>
    <n v="6"/>
    <s v="JUNIO"/>
  </r>
  <r>
    <n v="2025"/>
    <s v="16/06/2025"/>
    <s v="RMC"/>
    <n v="6111"/>
    <x v="286"/>
    <s v="PIÑON TREN FIJO 14918/16"/>
    <n v="2"/>
    <n v="710000"/>
    <s v="TRANSPORTES Y SERVICIOS TRANSER SAS"/>
    <s v="JONATHAN PAEZ PEDRAZA"/>
    <n v="6"/>
    <s v="JUNIO"/>
  </r>
  <r>
    <n v="2025"/>
    <s v="16/06/2025"/>
    <s v="RMC"/>
    <n v="6111"/>
    <x v="93"/>
    <s v="PIN BALINERA O RODILLO EJE DE TOMA - TOD"/>
    <n v="1"/>
    <n v="3700"/>
    <s v="TRANSPORTES Y SERVICIOS TRANSER SAS"/>
    <s v="JONATHAN PAEZ PEDRAZA"/>
    <n v="6"/>
    <s v="JUNIO"/>
  </r>
  <r>
    <n v="2025"/>
    <s v="16/06/2025"/>
    <s v="RMC"/>
    <n v="6111"/>
    <x v="194"/>
    <s v="PIN PUNTA CDIZO 16918"/>
    <n v="1"/>
    <n v="3300"/>
    <s v="TRANSPORTES Y SERVICIOS TRANSER SAS"/>
    <s v="JONATHAN PAEZ PEDRAZA"/>
    <n v="6"/>
    <s v="JUNIO"/>
  </r>
  <r>
    <n v="2025"/>
    <s v="27/10/2025"/>
    <s v="RMC"/>
    <n v="6333"/>
    <x v="232"/>
    <s v="PIN TORNILLOS CRUCETA"/>
    <n v="8"/>
    <n v="9600"/>
    <s v="TRANSPORTES Y SERVICIOS TRANSER SAS"/>
    <s v="JONATHAN PAEZ PEDRAZA"/>
    <n v="10"/>
    <s v="OCTUBRE"/>
  </r>
  <r>
    <n v="2025"/>
    <s v="27/10/2025"/>
    <s v="RMC"/>
    <n v="6333"/>
    <x v="287"/>
    <s v="CRUCETA 19 1/2&quot; MIXTA S/GRAPAS"/>
    <n v="2"/>
    <n v="670000"/>
    <s v="TRANSPORTES Y SERVICIOS TRANSER SAS"/>
    <s v="JONATHAN PAEZ PEDRAZA"/>
    <n v="10"/>
    <s v="OCTUBRE"/>
  </r>
  <r>
    <n v="2025"/>
    <s v="27/10/2025"/>
    <s v="RMC"/>
    <n v="6333"/>
    <x v="193"/>
    <s v="FRENO EMBRAGUE 2&quot;"/>
    <n v="1"/>
    <n v="97000"/>
    <s v="TRANSPORTES Y SERVICIOS TRANSER SAS"/>
    <s v="JONATHAN PAEZ PEDRAZA"/>
    <n v="10"/>
    <s v="OCTUBRE"/>
  </r>
  <r>
    <n v="2025"/>
    <s v="27/10/2025"/>
    <s v="RMC"/>
    <n v="6333"/>
    <x v="49"/>
    <s v="KIT BUJE Y PASADO (JGOX2)TODAS CON HUECO"/>
    <n v="1"/>
    <n v="34000"/>
    <s v="TRANSPORTES Y SERVICIOS TRANSER SAS"/>
    <s v="JONATHAN PAEZ PEDRAZA"/>
    <n v="10"/>
    <s v="OCTUBRE"/>
  </r>
  <r>
    <n v="2025"/>
    <s v="27/10/2025"/>
    <s v="RMC"/>
    <n v="6333"/>
    <x v="288"/>
    <s v="RODILLO MONO RTLO 14915/918 PEST ANGOSTA"/>
    <n v="1"/>
    <n v="329000"/>
    <s v="TRANSPORTES Y SERVICIOS TRANSER SAS"/>
    <s v="JONATHAN PAEZ PEDRAZA"/>
    <n v="10"/>
    <s v="OCTUBRE"/>
  </r>
  <r>
    <n v="2025"/>
    <s v="27/10/2025"/>
    <s v="RMC"/>
    <n v="6333"/>
    <x v="222"/>
    <s v="TAPA NEGRA DEFENDER PASTA 4 1/2 &quot; PEQUEÑ"/>
    <n v="2"/>
    <n v="132000"/>
    <s v="TRANSPORTES Y SERVICIOS TRANSER SAS"/>
    <s v="JONATHAN PAEZ PEDRAZA"/>
    <n v="10"/>
    <s v="OCTUBRE"/>
  </r>
  <r>
    <n v="2025"/>
    <s v="03/07/2025"/>
    <s v="RMC"/>
    <n v="6139"/>
    <x v="262"/>
    <s v="SENSOR DE VELOCIDAD KENWORTH 2 PATAS"/>
    <n v="1"/>
    <n v="134000"/>
    <s v="CEMEX COLOMBIA S.A."/>
    <s v="YASMID DEL PILAR URIBE DELGADO"/>
    <n v="7"/>
    <s v="JULIO"/>
  </r>
  <r>
    <n v="2025"/>
    <s v="29/09/2025"/>
    <s v="RMC"/>
    <n v="6276"/>
    <x v="259"/>
    <s v="JUEGO CHAPETA SPL250 (JGOX6)"/>
    <n v="1"/>
    <n v="63000"/>
    <s v="TRANSPORTES Y SERVICIOS TRANSER SAS"/>
    <s v="JONATHAN PAEZ PEDRAZA"/>
    <n v="9"/>
    <s v="SEPTIEMBRE"/>
  </r>
  <r>
    <n v="2025"/>
    <s v="29/09/2025"/>
    <s v="RMC"/>
    <n v="6276"/>
    <x v="212"/>
    <s v="RACOR/CODO"/>
    <n v="2"/>
    <n v="42000"/>
    <s v="TRANSPORTES Y SERVICIOS TRANSER SAS"/>
    <s v="JONATHAN PAEZ PEDRAZA"/>
    <n v="9"/>
    <s v="SEPTIEMBRE"/>
  </r>
  <r>
    <n v="2025"/>
    <s v="29/09/2025"/>
    <s v="RMC"/>
    <n v="6276"/>
    <x v="289"/>
    <s v="ARANDELA SATELITE ESCUALIZACION 46160"/>
    <n v="4"/>
    <n v="25200"/>
    <s v="TRANSPORTES Y SERVICIOS TRANSER SAS"/>
    <s v="JONATHAN PAEZ PEDRAZA"/>
    <n v="9"/>
    <s v="SEPTIEMBRE"/>
  </r>
  <r>
    <n v="2025"/>
    <s v="29/09/2025"/>
    <s v="RMC"/>
    <n v="6276"/>
    <x v="252"/>
    <s v="TERMINAL DIRECCION RUNNER 4300 DURESTAR"/>
    <n v="1"/>
    <n v="328087"/>
    <s v="TRANSPORTES Y SERVICIOS TRANSER SAS"/>
    <s v="JONATHAN PAEZ PEDRAZA"/>
    <n v="9"/>
    <s v="SEPTIEMBRE"/>
  </r>
  <r>
    <n v="2025"/>
    <s v="03/10/2025"/>
    <s v="RMC"/>
    <n v="6287"/>
    <x v="188"/>
    <s v="AMORT KW T800 DELT. MD 2006 Y SIGUIENTES"/>
    <n v="2"/>
    <n v="420000"/>
    <s v="CEMEX COLOMBIA S.A."/>
    <s v="YASMID DEL PILAR URIBE DELGADO"/>
    <n v="10"/>
    <s v="OCTUBRE"/>
  </r>
  <r>
    <n v="2025"/>
    <s v="05/12/2025"/>
    <s v="RMC"/>
    <n v="6391"/>
    <x v="290"/>
    <s v="BUJE BRONCE(1 5/8&quot; DI) LEVA FRENO TRAILE"/>
    <n v="3"/>
    <n v="72000"/>
    <s v="TRANSPORTES Y SERVICIOS TRANSER SAS"/>
    <s v="JONATHAN PAEZ PEDRAZA"/>
    <n v="12"/>
    <s v="DICIEMBRE"/>
  </r>
  <r>
    <n v="2025"/>
    <s v="05/12/2025"/>
    <s v="RMC"/>
    <n v="6391"/>
    <x v="154"/>
    <s v="KIT DE REP LEVA FREN TRAILER ROMARCO"/>
    <n v="6"/>
    <n v="1128000"/>
    <s v="TRANSPORTES Y SERVICIOS TRANSER SAS"/>
    <s v="JONATHAN PAEZ PEDRAZA"/>
    <n v="12"/>
    <s v="DICIEMBRE"/>
  </r>
  <r>
    <n v="2025"/>
    <s v="05/12/2025"/>
    <s v="RMC"/>
    <n v="6391"/>
    <x v="291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5/12/2025"/>
    <s v="RMC"/>
    <n v="6391"/>
    <x v="292"/>
    <s v="BOLSA  HAM8.88ANxA1TCx 3.12ALx2F+2T"/>
    <n v="1"/>
    <n v="451000"/>
    <s v="TRANSPORTES Y SERVICIOS TRANSER SAS"/>
    <s v="JONATHAN PAEZ PEDRAZA"/>
    <n v="12"/>
    <s v="DICIEMBRE"/>
  </r>
  <r>
    <n v="2025"/>
    <s v="05/12/2025"/>
    <s v="RMC"/>
    <n v="6391"/>
    <x v="293"/>
    <s v="CORBATIN SUSPENSION NEUMATICA KENWORTH"/>
    <n v="2"/>
    <n v="240000"/>
    <s v="TRANSPORTES Y SERVICIOS TRANSER SAS"/>
    <s v="JONATHAN PAEZ PEDRAZA"/>
    <n v="12"/>
    <s v="DICIEMBRE"/>
  </r>
  <r>
    <n v="2025"/>
    <s v="05/12/2025"/>
    <s v="RMC"/>
    <n v="6391"/>
    <x v="294"/>
    <s v="HOJA ZETA 46 MLBS"/>
    <n v="1"/>
    <n v="1200000"/>
    <s v="TRANSPORTES Y SERVICIOS TRANSER SAS"/>
    <s v="JONATHAN PAEZ PEDRAZA"/>
    <n v="12"/>
    <s v="DICIEMBRE"/>
  </r>
  <r>
    <n v="2025"/>
    <s v="05/12/2025"/>
    <s v="RMC"/>
    <n v="6391"/>
    <x v="167"/>
    <s v="CONO DE 5/8&quot; CERRADO"/>
    <n v="1"/>
    <n v="5500"/>
    <s v="TRANSPORTES Y SERVICIOS TRANSER SAS"/>
    <s v="JONATHAN PAEZ PEDRAZA"/>
    <n v="12"/>
    <s v="DICIEMBRE"/>
  </r>
  <r>
    <n v="2025"/>
    <s v="05/12/2025"/>
    <s v="RMC"/>
    <n v="6391"/>
    <x v="295"/>
    <s v="TAPA VARILLA  NIVEL HIDRAULI KW &amp; EAGLE"/>
    <n v="1"/>
    <n v="42000"/>
    <s v="TRANSPORTES Y SERVICIOS TRANSER SAS"/>
    <s v="JONATHAN PAEZ PEDRAZA"/>
    <n v="12"/>
    <s v="DICIEMBRE"/>
  </r>
  <r>
    <n v="2025"/>
    <s v="05/12/2025"/>
    <s v="RMC"/>
    <n v="6391"/>
    <x v="296"/>
    <s v="VALVULA NIVELADORA CABINA EAGLE"/>
    <n v="1"/>
    <n v="227000"/>
    <s v="TRANSPORTES Y SERVICIOS TRANSER SAS"/>
    <s v="JONATHAN PAEZ PEDRAZA"/>
    <n v="12"/>
    <s v="DICIEMBRE"/>
  </r>
  <r>
    <n v="2025"/>
    <s v="05/12/2025"/>
    <s v="RMC"/>
    <n v="6391"/>
    <x v="297"/>
    <s v="POTENCIÓMETRO DETROIT SIN ARNES"/>
    <n v="1"/>
    <n v="360000"/>
    <s v="TRANSPORTES Y SERVICIOS TRANSER SAS"/>
    <s v="JONATHAN PAEZ PEDRAZA"/>
    <n v="12"/>
    <s v="DICIEMBRE"/>
  </r>
  <r>
    <n v="2025"/>
    <s v="05/12/2025"/>
    <s v="RMC"/>
    <n v="6391"/>
    <x v="219"/>
    <s v="RACHE FRENO MEC. 1-1/2&quot;28E"/>
    <n v="4"/>
    <n v="328000"/>
    <s v="TRANSPORTES Y SERVICIOS TRANSER SAS"/>
    <s v="JONATHAN PAEZ PEDRAZA"/>
    <n v="12"/>
    <s v="DICIEMBRE"/>
  </r>
  <r>
    <n v="2025"/>
    <s v="05/12/2025"/>
    <s v="RMC"/>
    <n v="6391"/>
    <x v="298"/>
    <s v="LEVA DE FRENO 28E  1 1/2&quot; TRAILER ROMARC"/>
    <n v="1"/>
    <n v="138000"/>
    <s v="TRANSPORTES Y SERVICIOS TRANSER SAS"/>
    <s v="JONATHAN PAEZ PEDRAZA"/>
    <n v="12"/>
    <s v="DICIEMBRE"/>
  </r>
  <r>
    <n v="2025"/>
    <s v="17/09/2025"/>
    <s v="RMC"/>
    <n v="6258"/>
    <x v="270"/>
    <s v="ROTULA ESFERICA RADIAL ( DIAMETRO INTERNO 25MM Y EXTERNO 42MM) PARA HORQUILLA EMBRAGUE DE FREIGHTLINER E INTERNATIONAL PROSTAR"/>
    <n v="1"/>
    <n v="65758"/>
    <s v="CEMEX COLOMBIA S.A."/>
    <s v="YASMID DEL PILAR URIBE DELGADO"/>
    <n v="9"/>
    <s v="SEPTIEMBRE"/>
  </r>
  <r>
    <n v="2025"/>
    <s v="17/09/2025"/>
    <s v="RMC"/>
    <n v="6258"/>
    <x v="285"/>
    <s v="PIÑÓN 2DA TREN FIJO 16918"/>
    <n v="1"/>
    <n v="175000"/>
    <s v="CEMEX COLOMBIA S.A."/>
    <s v="YASMID DEL PILAR URIBE DELGADO"/>
    <n v="9"/>
    <s v="SEPTIEMBRE"/>
  </r>
  <r>
    <n v="2025"/>
    <s v="02/10/2025"/>
    <s v="RMC"/>
    <n v="6284"/>
    <x v="217"/>
    <s v="PIÑON 4TA CDIZO 16918"/>
    <n v="1"/>
    <n v="345000"/>
    <s v="CEMEX COLOMBIA S.A."/>
    <s v="YASMID DEL PILAR URIBE DELGADO"/>
    <n v="10"/>
    <s v="OCTUBRE"/>
  </r>
  <r>
    <n v="2025"/>
    <s v="02/10/2025"/>
    <s v="RMC"/>
    <n v="6284"/>
    <x v="299"/>
    <s v="PIÑON EJE DE TOMA 16918"/>
    <n v="2"/>
    <n v="969536"/>
    <s v="CEMEX COLOMBIA S.A."/>
    <s v="YASMID DEL PILAR URIBE DELGADO"/>
    <n v="10"/>
    <s v="OCTUBRE"/>
  </r>
  <r>
    <n v="2025"/>
    <s v="02/10/2025"/>
    <s v="RMC"/>
    <n v="6284"/>
    <x v="235"/>
    <s v="PIN ESPIRAL REVSO - TODAS"/>
    <n v="5"/>
    <n v="34000"/>
    <s v="CEMEX COLOMBIA S.A."/>
    <s v="YASMID DEL PILAR URIBE DELGADO"/>
    <n v="10"/>
    <s v="OCTUBRE"/>
  </r>
  <r>
    <n v="2025"/>
    <s v="02/10/2025"/>
    <s v="RMC"/>
    <n v="6284"/>
    <x v="300"/>
    <s v="TUERCA EJE MONO 14915/16915/11210BYC/169"/>
    <n v="3"/>
    <n v="234000"/>
    <s v="CEMEX COLOMBIA S.A."/>
    <s v="YASMID DEL PILAR URIBE DELGADO"/>
    <n v="10"/>
    <s v="OCTUBRE"/>
  </r>
  <r>
    <n v="2025"/>
    <s v="02/10/2025"/>
    <s v="RMC"/>
    <n v="6284"/>
    <x v="301"/>
    <s v="TAPA CARCASA MONO 14718/918"/>
    <n v="2"/>
    <n v="499550"/>
    <s v="CEMEX COLOMBIA S.A."/>
    <s v="YASMID DEL PILAR URIBE DELGADO"/>
    <n v="10"/>
    <s v="OCTUBRE"/>
  </r>
  <r>
    <n v="2025"/>
    <s v="23/05/2025"/>
    <s v="RMC"/>
    <n v="6072"/>
    <x v="284"/>
    <s v="EJE TOMA 2&quot; 14915/16918/8709B"/>
    <n v="1"/>
    <n v="223000"/>
    <s v="CEMEX COLOMBIA S.A."/>
    <s v="YASMID DEL PILAR URIBE DELGADO"/>
    <n v="5"/>
    <s v="MAYO"/>
  </r>
  <r>
    <n v="2025"/>
    <s v="26/09/2025"/>
    <s v="RMC"/>
    <n v="6275"/>
    <x v="115"/>
    <s v="PIÑA CDIZO"/>
    <n v="1"/>
    <n v="98000"/>
    <s v="CEMEX COLOMBIA S.A."/>
    <s v="YASMID DEL PILAR URIBE DELGADO"/>
    <n v="9"/>
    <s v="SEPTIEMBRE"/>
  </r>
  <r>
    <n v="2025"/>
    <s v="26/09/2025"/>
    <s v="RMC"/>
    <n v="6275"/>
    <x v="302"/>
    <s v="PIÑA CDIZO 14/16"/>
    <n v="1"/>
    <n v="78000"/>
    <s v="CEMEX COLOMBIA S.A."/>
    <s v="YASMID DEL PILAR URIBE DELGADO"/>
    <n v="9"/>
    <s v="SEPTIEMBRE"/>
  </r>
  <r>
    <n v="2025"/>
    <s v="26/09/2025"/>
    <s v="RMC"/>
    <n v="6275"/>
    <x v="303"/>
    <s v="VALVULA SUSPENSION CABEZOTE EAGLE Y CL"/>
    <n v="1"/>
    <n v="280000"/>
    <s v="CEMEX COLOMBIA S.A."/>
    <s v="YASMID DEL PILAR URIBE DELGADO"/>
    <n v="9"/>
    <s v="SEPTIEMBRE"/>
  </r>
  <r>
    <n v="2025"/>
    <s v="26/09/2025"/>
    <s v="RMC"/>
    <n v="6275"/>
    <x v="304"/>
    <s v="ARANDELA TORNILLO PUNTA EJE MONO 918"/>
    <n v="1"/>
    <n v="63000"/>
    <s v="CEMEX COLOMBIA S.A."/>
    <s v="YASMID DEL PILAR URIBE DELGADO"/>
    <n v="9"/>
    <s v="SEPTIEMBRE"/>
  </r>
  <r>
    <n v="2025"/>
    <s v="26/09/2025"/>
    <s v="RMC"/>
    <n v="6275"/>
    <x v="305"/>
    <s v="TERMOSTATO ENFRIADOR DE ACEITE 215° F =102 °GRADOS CENTIGRADOS PARA ISX, ISM Y L10"/>
    <n v="1"/>
    <n v="191702"/>
    <s v="CEMEX COLOMBIA S.A."/>
    <s v="YASMID DEL PILAR URIBE DELGADO"/>
    <n v="9"/>
    <s v="SEPTIEMBRE"/>
  </r>
  <r>
    <n v="2025"/>
    <s v="26/09/2025"/>
    <s v="RMC"/>
    <n v="6275"/>
    <x v="306"/>
    <s v="PIÑON DEL BAJO 16918"/>
    <n v="2"/>
    <n v="620000"/>
    <s v="CEMEX COLOMBIA S.A."/>
    <s v="YASMID DEL PILAR URIBE DELGADO"/>
    <n v="9"/>
    <s v="SEPTIEMBRE"/>
  </r>
  <r>
    <n v="2025"/>
    <s v="26/09/2025"/>
    <s v="RMC"/>
    <n v="6275"/>
    <x v="216"/>
    <s v="SINCRONIZADOR (JGO X 5) TODAS PATA GRUES"/>
    <n v="1"/>
    <n v="340000"/>
    <s v="CEMEX COLOMBIA S.A."/>
    <s v="YASMID DEL PILAR URIBE DELGADO"/>
    <n v="9"/>
    <s v="SEPTIEMBRE"/>
  </r>
  <r>
    <n v="2025"/>
    <s v="19/05/2025"/>
    <s v="RMC"/>
    <n v="6065"/>
    <x v="307"/>
    <s v="ARANDELA LISA PLANA PIÑON MONO 1795"/>
    <n v="2"/>
    <n v="235200"/>
    <s v="CEMEX COLOMBIA S.A."/>
    <s v="YASMID DEL PILAR URIBE DELGADO"/>
    <n v="5"/>
    <s v="MAYO"/>
  </r>
  <r>
    <n v="2025"/>
    <s v="04/08/2025"/>
    <s v="RMC"/>
    <n v="6202"/>
    <x v="300"/>
    <s v="TUERCA EJE MONO 14915/16915/11210BYC/169"/>
    <n v="1"/>
    <n v="78000"/>
    <s v="CEMEX COLOMBIA S.A."/>
    <s v="YASMID DEL PILAR URIBE DELGADO"/>
    <n v="8"/>
    <s v="AGOSTO"/>
  </r>
  <r>
    <n v="2025"/>
    <s v="04/08/2025"/>
    <s v="RMC"/>
    <n v="6202"/>
    <x v="308"/>
    <s v="TAPON IMAN LLENADO ACEITE 1 1/16&quot; CON OR"/>
    <n v="2"/>
    <n v="29000"/>
    <s v="CEMEX COLOMBIA S.A."/>
    <s v="YASMID DEL PILAR URIBE DELGADO"/>
    <n v="8"/>
    <s v="AGOSTO"/>
  </r>
  <r>
    <n v="2025"/>
    <s v="19/08/2025"/>
    <s v="RMC"/>
    <n v="6221"/>
    <x v="309"/>
    <s v="SEPAR SPEED DEL  ENTRE RODIL 12.33MM 160"/>
    <n v="7"/>
    <n v="357000"/>
    <s v="CEMEX COLOMBIA S.A."/>
    <s v="YASMID DEL PILAR URIBE DELGADO"/>
    <n v="8"/>
    <s v="AGOSTO"/>
  </r>
  <r>
    <n v="2025"/>
    <s v="30/07/2025"/>
    <s v="RMC"/>
    <n v="6193"/>
    <x v="148"/>
    <s v="BUJE COMPRESOR BAJO ISX"/>
    <n v="1"/>
    <n v="106000"/>
    <s v="TRANSPORTES Y SERVICIOS TRANSER SAS"/>
    <s v="JONATHAN PAEZ PEDRAZA"/>
    <n v="7"/>
    <s v="JULIO"/>
  </r>
  <r>
    <n v="2025"/>
    <s v="30/07/2025"/>
    <s v="RMC"/>
    <n v="6193"/>
    <x v="52"/>
    <s v="CORBATIN SUSP PUNTA TANDEM HDR (JGO X2)"/>
    <n v="4"/>
    <n v="2280000"/>
    <s v="TRANSPORTES Y SERVICIOS TRANSER SAS"/>
    <s v="JONATHAN PAEZ PEDRAZA"/>
    <n v="7"/>
    <s v="JULIO"/>
  </r>
  <r>
    <n v="2025"/>
    <s v="30/07/2025"/>
    <s v="RMC"/>
    <n v="6193"/>
    <x v="74"/>
    <s v="KIT SUSP BUJE CENTRAL TANDEM (JGO X 18)"/>
    <n v="1"/>
    <n v="1540000"/>
    <s v="TRANSPORTES Y SERVICIOS TRANSER SAS"/>
    <s v="JONATHAN PAEZ PEDRAZA"/>
    <n v="7"/>
    <s v="JULIO"/>
  </r>
  <r>
    <n v="2025"/>
    <s v="18/06/2025"/>
    <s v="RMC"/>
    <n v="6115"/>
    <x v="232"/>
    <s v="PIN TORNILLOS CRUCETA"/>
    <n v="1"/>
    <n v="1200"/>
    <s v="TRANSPORTES Y SERVICIOS TRANSER SAS"/>
    <s v="JONATHAN PAEZ PEDRAZA"/>
    <n v="6"/>
    <s v="JUNIO"/>
  </r>
  <r>
    <n v="2025"/>
    <s v="18/06/2025"/>
    <s v="RMC"/>
    <n v="6115"/>
    <x v="310"/>
    <s v="HORQUILLA CLUTCH"/>
    <n v="1"/>
    <n v="89000"/>
    <s v="TRANSPORTES Y SERVICIOS TRANSER SAS"/>
    <s v="JONATHAN PAEZ PEDRAZA"/>
    <n v="6"/>
    <s v="JUNIO"/>
  </r>
  <r>
    <n v="2025"/>
    <s v="18/06/2025"/>
    <s v="RMC"/>
    <n v="6115"/>
    <x v="311"/>
    <s v="TENSOR CORREA VENTILADOR 8 CANALES ISX"/>
    <n v="1"/>
    <n v="245000"/>
    <s v="TRANSPORTES Y SERVICIOS TRANSER SAS"/>
    <s v="JONATHAN PAEZ PEDRAZA"/>
    <n v="6"/>
    <s v="JUNIO"/>
  </r>
  <r>
    <n v="2025"/>
    <s v="18/06/2025"/>
    <s v="RMC"/>
    <n v="6115"/>
    <x v="179"/>
    <s v="SOPORTE SUPERIOR GRAPA HAS 460"/>
    <n v="1"/>
    <n v="185000"/>
    <s v="TRANSPORTES Y SERVICIOS TRANSER SAS"/>
    <s v="JONATHAN PAEZ PEDRAZA"/>
    <n v="6"/>
    <s v="JUNIO"/>
  </r>
  <r>
    <n v="2025"/>
    <s v="18/06/2025"/>
    <s v="RMC"/>
    <n v="6115"/>
    <x v="312"/>
    <s v="CRUCETA 15 1/2&quot; MIXTA S1710 S/GRAPAS"/>
    <n v="1"/>
    <n v="295000"/>
    <s v="TRANSPORTES Y SERVICIOS TRANSER SAS"/>
    <s v="JONATHAN PAEZ PEDRAZA"/>
    <n v="6"/>
    <s v="JUNIO"/>
  </r>
  <r>
    <n v="2025"/>
    <s v="18/06/2025"/>
    <s v="RMC"/>
    <n v="6115"/>
    <x v="313"/>
    <s v="SET ROD Y PISTA LM104949 Y JLM 104910"/>
    <n v="2"/>
    <n v="130000"/>
    <s v="TRANSPORTES Y SERVICIOS TRANSER SAS"/>
    <s v="JONATHAN PAEZ PEDRAZA"/>
    <n v="6"/>
    <s v="JUNIO"/>
  </r>
  <r>
    <n v="2025"/>
    <s v="18/06/2025"/>
    <s v="RMC"/>
    <n v="6115"/>
    <x v="140"/>
    <s v="KIT TUER  ARANDE EJE SAL 160/ SPEED 240"/>
    <n v="1"/>
    <n v="34500"/>
    <s v="TRANSPORTES Y SERVICIOS TRANSER SAS"/>
    <s v="JONATHAN PAEZ PEDRAZA"/>
    <n v="6"/>
    <s v="JUNIO"/>
  </r>
  <r>
    <n v="2025"/>
    <s v="01/09/2025"/>
    <s v="RMC"/>
    <n v="6236"/>
    <x v="271"/>
    <s v="BUJE MUELLE SUSPENSION 1 3/8 TPK"/>
    <n v="1"/>
    <n v="30000"/>
    <s v="TRANSPORTES Y SERVICIOS TRANSER SAS"/>
    <s v="JONATHAN PAEZ PEDRAZA"/>
    <n v="9"/>
    <s v="SEPTIEMBRE"/>
  </r>
  <r>
    <n v="2025"/>
    <s v="01/09/2025"/>
    <s v="RMC"/>
    <n v="6236"/>
    <x v="239"/>
    <s v="TORNILLO SILLÍN 10 1/2&quot;"/>
    <n v="4"/>
    <n v="244000"/>
    <s v="TRANSPORTES Y SERVICIOS TRANSER SAS"/>
    <s v="JONATHAN PAEZ PEDRAZA"/>
    <n v="9"/>
    <s v="SEPTIEMBRE"/>
  </r>
  <r>
    <n v="2025"/>
    <s v="01/09/2025"/>
    <s v="RMC"/>
    <n v="6236"/>
    <x v="314"/>
    <s v="TUERCA SILLIN"/>
    <n v="4"/>
    <n v="72000"/>
    <s v="TRANSPORTES Y SERVICIOS TRANSER SAS"/>
    <s v="JONATHAN PAEZ PEDRAZA"/>
    <n v="9"/>
    <s v="SEPTIEMBRE"/>
  </r>
  <r>
    <n v="2025"/>
    <s v="01/09/2025"/>
    <s v="RMC"/>
    <n v="6236"/>
    <x v="232"/>
    <s v="PIN TORNILLOS CRUCETA"/>
    <n v="8"/>
    <n v="9600"/>
    <s v="TRANSPORTES Y SERVICIOS TRANSER SAS"/>
    <s v="JONATHAN PAEZ PEDRAZA"/>
    <n v="9"/>
    <s v="SEPTIEMBRE"/>
  </r>
  <r>
    <n v="2025"/>
    <s v="01/09/2025"/>
    <s v="RMC"/>
    <n v="6236"/>
    <x v="312"/>
    <s v="CRUCETA 15 1/2&quot; MIXTA S1710 S/GRAPAS"/>
    <n v="2"/>
    <n v="590000"/>
    <s v="TRANSPORTES Y SERVICIOS TRANSER SAS"/>
    <s v="JONATHAN PAEZ PEDRAZA"/>
    <n v="9"/>
    <s v="SEPTIEMBRE"/>
  </r>
  <r>
    <n v="2025"/>
    <s v="31/10/2025"/>
    <s v="RMC"/>
    <n v="6339"/>
    <x v="304"/>
    <s v="ARANDELA TORNILLO PUNTA EJE MONO 918"/>
    <n v="1"/>
    <n v="56000"/>
    <s v="TRANSPORTES Y SERVICIOS TRANSER SAS"/>
    <s v="JONATHAN PAEZ PEDRAZA"/>
    <n v="10"/>
    <s v="OCTUBRE"/>
  </r>
  <r>
    <n v="2025"/>
    <s v="31/10/2025"/>
    <s v="RMC"/>
    <n v="6339"/>
    <x v="217"/>
    <s v="PIÑON 4TA CDIZO 16918"/>
    <n v="1"/>
    <n v="356000"/>
    <s v="TRANSPORTES Y SERVICIOS TRANSER SAS"/>
    <s v="JONATHAN PAEZ PEDRAZA"/>
    <n v="10"/>
    <s v="OCTUBRE"/>
  </r>
  <r>
    <n v="2025"/>
    <s v="31/10/2025"/>
    <s v="RMC"/>
    <n v="6339"/>
    <x v="235"/>
    <s v="PIN ESPIRAL REVSO - TODAS"/>
    <n v="2"/>
    <n v="14000"/>
    <s v="TRANSPORTES Y SERVICIOS TRANSER SAS"/>
    <s v="JONATHAN PAEZ PEDRAZA"/>
    <n v="10"/>
    <s v="OCTUBRE"/>
  </r>
  <r>
    <n v="2025"/>
    <s v="31/10/2025"/>
    <s v="RMC"/>
    <n v="6339"/>
    <x v="254"/>
    <s v="PIÑÓN CENT 918"/>
    <n v="1"/>
    <n v="460000"/>
    <s v="TRANSPORTES Y SERVICIOS TRANSER SAS"/>
    <s v="JONATHAN PAEZ PEDRAZA"/>
    <n v="10"/>
    <s v="OCTUBRE"/>
  </r>
  <r>
    <n v="2025"/>
    <s v="31/10/2025"/>
    <s v="RMC"/>
    <n v="6339"/>
    <x v="315"/>
    <s v="PIÑON 1RA CDIZO 918"/>
    <n v="1"/>
    <n v="245000"/>
    <s v="TRANSPORTES Y SERVICIOS TRANSER SAS"/>
    <s v="JONATHAN PAEZ PEDRAZA"/>
    <n v="10"/>
    <s v="OCTUBRE"/>
  </r>
  <r>
    <n v="2025"/>
    <s v="31/10/2025"/>
    <s v="RMC"/>
    <n v="6339"/>
    <x v="316"/>
    <s v="ARANDELA EST INT CDIZO- BLANCA // 249MM"/>
    <n v="1"/>
    <n v="33000"/>
    <s v="TRANSPORTES Y SERVICIOS TRANSER SAS"/>
    <s v="JONATHAN PAEZ PEDRAZA"/>
    <n v="10"/>
    <s v="OCTUBRE"/>
  </r>
  <r>
    <n v="2025"/>
    <s v="31/10/2025"/>
    <s v="RMC"/>
    <n v="6339"/>
    <x v="317"/>
    <s v="ARANDELA EST.INT CDIZO  14/16918"/>
    <n v="2"/>
    <n v="80000"/>
    <s v="TRANSPORTES Y SERVICIOS TRANSER SAS"/>
    <s v="JONATHAN PAEZ PEDRAZA"/>
    <n v="10"/>
    <s v="OCTUBRE"/>
  </r>
  <r>
    <n v="2025"/>
    <s v="31/10/2025"/>
    <s v="RMC"/>
    <n v="6339"/>
    <x v="173"/>
    <s v="PIÑON 2DA CDZO 14718/16918"/>
    <n v="1"/>
    <n v="395000"/>
    <s v="TRANSPORTES Y SERVICIOS TRANSER SAS"/>
    <s v="JONATHAN PAEZ PEDRAZA"/>
    <n v="10"/>
    <s v="OCTUBRE"/>
  </r>
  <r>
    <n v="2025"/>
    <s v="31/10/2025"/>
    <s v="RMC"/>
    <n v="6339"/>
    <x v="216"/>
    <s v="SINCRONIZADOR (JGO X 5) TODAS PATA GRUES"/>
    <n v="1"/>
    <n v="348000"/>
    <s v="TRANSPORTES Y SERVICIOS TRANSER SAS"/>
    <s v="JONATHAN PAEZ PEDRAZA"/>
    <n v="10"/>
    <s v="OCTUBRE"/>
  </r>
  <r>
    <n v="2025"/>
    <s v="31/10/2025"/>
    <s v="RMC"/>
    <n v="6339"/>
    <x v="302"/>
    <s v="PIÑA CDIZO 14/16"/>
    <n v="1"/>
    <n v="85000"/>
    <s v="TRANSPORTES Y SERVICIOS TRANSER SAS"/>
    <s v="JONATHAN PAEZ PEDRAZA"/>
    <n v="10"/>
    <s v="OCTUBRE"/>
  </r>
  <r>
    <n v="2025"/>
    <s v="31/10/2025"/>
    <s v="RMC"/>
    <n v="6339"/>
    <x v="318"/>
    <s v="VARILLA CORREDIZO 16918"/>
    <n v="1"/>
    <n v="14500"/>
    <s v="TRANSPORTES Y SERVICIOS TRANSER SAS"/>
    <s v="JONATHAN PAEZ PEDRAZA"/>
    <n v="10"/>
    <s v="OCTUBRE"/>
  </r>
  <r>
    <n v="2025"/>
    <s v="31/10/2025"/>
    <s v="RMC"/>
    <n v="6339"/>
    <x v="319"/>
    <s v="PIÑA BAJO  918B"/>
    <n v="1"/>
    <n v="128000"/>
    <s v="TRANSPORTES Y SERVICIOS TRANSER SAS"/>
    <s v="JONATHAN PAEZ PEDRAZA"/>
    <n v="10"/>
    <s v="OCTUBRE"/>
  </r>
  <r>
    <n v="2025"/>
    <s v="31/10/2025"/>
    <s v="RMC"/>
    <n v="6339"/>
    <x v="320"/>
    <s v="TUERCA EJE MONO 14915/16915/FR/FRO"/>
    <n v="1"/>
    <n v="65000"/>
    <s v="TRANSPORTES Y SERVICIOS TRANSER SAS"/>
    <s v="JONATHAN PAEZ PEDRAZA"/>
    <n v="10"/>
    <s v="OCTUBRE"/>
  </r>
  <r>
    <n v="2025"/>
    <s v="31/10/2025"/>
    <s v="RMC"/>
    <n v="6339"/>
    <x v="321"/>
    <s v="PIN PIÑONES CORREDIZO"/>
    <n v="1"/>
    <n v="3000"/>
    <s v="TRANSPORTES Y SERVICIOS TRANSER SAS"/>
    <s v="JONATHAN PAEZ PEDRAZA"/>
    <n v="10"/>
    <s v="OCTUBRE"/>
  </r>
  <r>
    <n v="2025"/>
    <s v="31/10/2025"/>
    <s v="RMC"/>
    <n v="6339"/>
    <x v="322"/>
    <s v="CAUCHO TAPA DIVISOR"/>
    <n v="2"/>
    <n v="34000"/>
    <s v="TRANSPORTES Y SERVICIOS TRANSER SAS"/>
    <s v="JONATHAN PAEZ PEDRAZA"/>
    <n v="10"/>
    <s v="OCTUBRE"/>
  </r>
  <r>
    <n v="2025"/>
    <s v="31/10/2025"/>
    <s v="RMC"/>
    <n v="6339"/>
    <x v="323"/>
    <s v="TUERCA DIVISOR Y SPEED TRASERO 160"/>
    <n v="2"/>
    <n v="82000"/>
    <s v="TRANSPORTES Y SERVICIOS TRANSER SAS"/>
    <s v="JONATHAN PAEZ PEDRAZA"/>
    <n v="10"/>
    <s v="OCTUBRE"/>
  </r>
  <r>
    <n v="2025"/>
    <s v="31/10/2025"/>
    <s v="RMC"/>
    <n v="6339"/>
    <x v="231"/>
    <s v="PIN TUERCA"/>
    <n v="1"/>
    <n v="32000"/>
    <s v="TRANSPORTES Y SERVICIOS TRANSER SAS"/>
    <s v="JONATHAN PAEZ PEDRAZA"/>
    <n v="10"/>
    <s v="OCTUBRE"/>
  </r>
  <r>
    <n v="2025"/>
    <s v="12/11/2025"/>
    <s v="RMC"/>
    <n v="6357"/>
    <x v="324"/>
    <s v="CORREA PARA COLUMBIA SERIE60 12LT,"/>
    <n v="3"/>
    <n v="158142"/>
    <s v="TRANSPORTES Y SERVICIOS TRANSER SAS"/>
    <s v="JONATHAN PAEZ PEDRAZA"/>
    <n v="11"/>
    <s v="NOVIEMBRE"/>
  </r>
  <r>
    <n v="2025"/>
    <s v="07/11/2025"/>
    <s v="RMC"/>
    <n v="6351"/>
    <x v="224"/>
    <s v="JUEGO CHAPETA (JGOX2) SPL170"/>
    <n v="1"/>
    <n v="65000"/>
    <s v="TRANSPORTES Y SERVICIOS TRANSER SAS"/>
    <s v="JONATHAN PAEZ PEDRAZA"/>
    <n v="11"/>
    <s v="NOVIEMBRE"/>
  </r>
  <r>
    <n v="2025"/>
    <s v="07/11/2025"/>
    <s v="RMC"/>
    <n v="6351"/>
    <x v="204"/>
    <s v="CRUCETA 6,456 DADO 2165 (2 5/32&quot; APROX)"/>
    <n v="1"/>
    <n v="460000"/>
    <s v="TRANSPORTES Y SERVICIOS TRANSER SAS"/>
    <s v="JONATHAN PAEZ PEDRAZA"/>
    <n v="11"/>
    <s v="NOVIEMBRE"/>
  </r>
  <r>
    <n v="2025"/>
    <s v="07/11/2025"/>
    <s v="RMC"/>
    <n v="6351"/>
    <x v="325"/>
    <s v="KIT RODAMIENTO TRASERO PAREJO 46170"/>
    <n v="1"/>
    <n v="2850000"/>
    <s v="TRANSPORTES Y SERVICIOS TRANSER SAS"/>
    <s v="JONATHAN PAEZ PEDRAZA"/>
    <n v="11"/>
    <s v="NOVIEMBRE"/>
  </r>
  <r>
    <n v="2025"/>
    <s v="07/11/2025"/>
    <s v="RMC"/>
    <n v="6351"/>
    <x v="326"/>
    <s v="KIT RODAMIENTO DELANTERO PAREJO 46170"/>
    <n v="1"/>
    <n v="3180000"/>
    <s v="TRANSPORTES Y SERVICIOS TRANSER SAS"/>
    <s v="JONATHAN PAEZ PEDRAZA"/>
    <n v="11"/>
    <s v="NOVIEMBRE"/>
  </r>
  <r>
    <n v="2025"/>
    <s v="07/11/2025"/>
    <s v="RMC"/>
    <n v="6351"/>
    <x v="123"/>
    <s v="RETEN BOMBA DE ACEITE 46-170 (JGOX4)"/>
    <n v="1"/>
    <n v="385000"/>
    <s v="TRANSPORTES Y SERVICIOS TRANSER SAS"/>
    <s v="JONATHAN PAEZ PEDRAZA"/>
    <n v="11"/>
    <s v="NOVIEMBRE"/>
  </r>
  <r>
    <n v="2025"/>
    <s v="07/11/2025"/>
    <s v="RMC"/>
    <n v="6351"/>
    <x v="327"/>
    <s v="VALVULA REG CABEZO (TANDEM)KW VARILL LAR"/>
    <n v="1"/>
    <n v="276000"/>
    <s v="TRANSPORTES Y SERVICIOS TRANSER SAS"/>
    <s v="JONATHAN PAEZ PEDRAZA"/>
    <n v="11"/>
    <s v="NOVIEMBRE"/>
  </r>
  <r>
    <n v="2025"/>
    <s v="07/11/2025"/>
    <s v="RMC"/>
    <n v="6351"/>
    <x v="259"/>
    <s v="JUEGO CHAPETA SPL250 (JGOX6)"/>
    <n v="1"/>
    <n v="63000"/>
    <s v="TRANSPORTES Y SERVICIOS TRANSER SAS"/>
    <s v="JONATHAN PAEZ PEDRAZA"/>
    <n v="11"/>
    <s v="NOVIEMBRE"/>
  </r>
  <r>
    <n v="2025"/>
    <s v="07/11/2025"/>
    <s v="RMC"/>
    <n v="6351"/>
    <x v="328"/>
    <s v="CRUCETA 6,417 (6&quot;13/32 APROX)DADO 2362&quot;"/>
    <n v="1"/>
    <n v="530000"/>
    <s v="TRANSPORTES Y SERVICIOS TRANSER SAS"/>
    <s v="JONATHAN PAEZ PEDRAZA"/>
    <n v="11"/>
    <s v="NOVIEMBRE"/>
  </r>
  <r>
    <n v="2025"/>
    <s v="13/11/2025"/>
    <s v="RMC"/>
    <n v="6359"/>
    <x v="244"/>
    <s v="RACH AUT CONT RAPI SH CC 6&quot; 28E REC TRAY"/>
    <n v="1"/>
    <n v="277163"/>
    <s v="TRANSPORTES Y SERVICIOS TRANSER SAS"/>
    <s v="JONATHAN PAEZ PEDRAZA"/>
    <n v="11"/>
    <s v="NOVIEMBRE"/>
  </r>
  <r>
    <n v="2025"/>
    <s v="13/11/2025"/>
    <s v="RMC"/>
    <n v="6359"/>
    <x v="298"/>
    <s v="LEVA DE FRENO 28E  1 1/2&quot; TRAILER ROMARC"/>
    <n v="1"/>
    <n v="138000"/>
    <s v="TRANSPORTES Y SERVICIOS TRANSER SAS"/>
    <s v="JONATHAN PAEZ PEDRAZA"/>
    <n v="11"/>
    <s v="NOVIEMBRE"/>
  </r>
  <r>
    <n v="2025"/>
    <s v="13/11/2025"/>
    <s v="RMC"/>
    <n v="6359"/>
    <x v="236"/>
    <s v="REGISTRO PASO COMBUSTIBLE CUMMINS 350/40"/>
    <n v="1"/>
    <n v="49000"/>
    <s v="TRANSPORTES Y SERVICIOS TRANSER SAS"/>
    <s v="JONATHAN PAEZ PEDRAZA"/>
    <n v="11"/>
    <s v="NOVIEMBRE"/>
  </r>
  <r>
    <n v="2025"/>
    <s v="13/11/2025"/>
    <s v="RMC"/>
    <n v="6359"/>
    <x v="79"/>
    <s v="KIT FAN CLUTCH TIPO KYSOR K32-S JGX7"/>
    <n v="1"/>
    <n v="447000"/>
    <s v="TRANSPORTES Y SERVICIOS TRANSER SAS"/>
    <s v="JONATHAN PAEZ PEDRAZA"/>
    <n v="11"/>
    <s v="NOVIEMBRE"/>
  </r>
  <r>
    <n v="2025"/>
    <s v="13/11/2025"/>
    <s v="RMC"/>
    <n v="6359"/>
    <x v="329"/>
    <s v="SOPORTE MOT INF TRAS. PROS /7600VOL/PODE"/>
    <n v="2"/>
    <n v="322000"/>
    <s v="TRANSPORTES Y SERVICIOS TRANSER SAS"/>
    <s v="JONATHAN PAEZ PEDRAZA"/>
    <n v="11"/>
    <s v="NOVIEMBRE"/>
  </r>
  <r>
    <n v="2025"/>
    <s v="13/11/2025"/>
    <s v="RMC"/>
    <n v="6359"/>
    <x v="330"/>
    <s v="BOLSA TRA 10.62ANx6.25Cx27.30AL+7.88D+4T"/>
    <n v="1"/>
    <n v="550000"/>
    <s v="TRANSPORTES Y SERVICIOS TRANSER SAS"/>
    <s v="JONATHAN PAEZ PEDRAZA"/>
    <n v="11"/>
    <s v="NOVIEMBRE"/>
  </r>
  <r>
    <n v="2025"/>
    <s v="13/11/2025"/>
    <s v="RMC"/>
    <n v="6359"/>
    <x v="327"/>
    <s v="VALVULA REG CABEZO (TANDEM)KW VARILL LAR"/>
    <n v="1"/>
    <n v="276000"/>
    <s v="TRANSPORTES Y SERVICIOS TRANSER SAS"/>
    <s v="JONATHAN PAEZ PEDRAZA"/>
    <n v="11"/>
    <s v="NOVIEMBRE"/>
  </r>
  <r>
    <n v="2025"/>
    <s v="13/11/2025"/>
    <s v="RMC"/>
    <n v="6359"/>
    <x v="331"/>
    <s v="CORBATIN  HENDRICKSON"/>
    <n v="1"/>
    <n v="62000"/>
    <s v="TRANSPORTES Y SERVICIOS TRANSER SAS"/>
    <s v="JONATHAN PAEZ PEDRAZA"/>
    <n v="11"/>
    <s v="NOVIEMBRE"/>
  </r>
  <r>
    <n v="2025"/>
    <s v="13/11/2025"/>
    <s v="RMC"/>
    <n v="6359"/>
    <x v="332"/>
    <s v="TUERCA EJE DELANTERO KW FINA 18 HILOS"/>
    <n v="1"/>
    <n v="163000"/>
    <s v="TRANSPORTES Y SERVICIOS TRANSER SAS"/>
    <s v="JONATHAN PAEZ PEDRAZA"/>
    <n v="11"/>
    <s v="NOVIEMBRE"/>
  </r>
  <r>
    <n v="2025"/>
    <s v="13/11/2025"/>
    <s v="RMC"/>
    <n v="6359"/>
    <x v="222"/>
    <s v="TAPA NEGRA DEFENDER PASTA 4 1/2 &quot; PEQUEÑ"/>
    <n v="2"/>
    <n v="132000"/>
    <s v="TRANSPORTES Y SERVICIOS TRANSER SAS"/>
    <s v="JONATHAN PAEZ PEDRAZA"/>
    <n v="11"/>
    <s v="NOVIEMBRE"/>
  </r>
  <r>
    <n v="2025"/>
    <s v="17/10/2025"/>
    <s v="RMC"/>
    <n v="6318"/>
    <x v="255"/>
    <s v="CULATA COMPRESOR CUMINS ISX"/>
    <n v="1"/>
    <n v="732000"/>
    <s v="TRANSPORTES Y SERVICIOS TRANSER SAS"/>
    <s v="JONATHAN PAEZ PEDRAZA"/>
    <n v="10"/>
    <s v="OCTUBRE"/>
  </r>
  <r>
    <n v="2025"/>
    <s v="17/10/2025"/>
    <s v="RMC"/>
    <n v="6318"/>
    <x v="169"/>
    <s v="KIT BUJES (P/LEVA 1&quot; 1/2)  Y RETENEDORES"/>
    <n v="1"/>
    <n v="22000"/>
    <s v="TRANSPORTES Y SERVICIOS TRANSER SAS"/>
    <s v="JONATHAN PAEZ PEDRAZA"/>
    <n v="10"/>
    <s v="OCTUBRE"/>
  </r>
  <r>
    <n v="2025"/>
    <s v="17/10/2025"/>
    <s v="RMC"/>
    <n v="6318"/>
    <x v="123"/>
    <s v="RETEN BOMBA DE ACEITE 46-170 (JGOX4)"/>
    <n v="1"/>
    <n v="385000"/>
    <s v="TRANSPORTES Y SERVICIOS TRANSER SAS"/>
    <s v="JONATHAN PAEZ PEDRAZA"/>
    <n v="10"/>
    <s v="OCTUBRE"/>
  </r>
  <r>
    <n v="2025"/>
    <s v="26/02/2025"/>
    <s v="RMC"/>
    <n v="5889"/>
    <x v="97"/>
    <s v="ORING NITRILO VALVULA REPARTIDORA #106"/>
    <n v="2"/>
    <n v="400"/>
    <s v="TRANSPORTES Y SERVICIOS TRANSER SAS"/>
    <s v="JONATHAN PAEZ PEDRAZA"/>
    <n v="2"/>
    <s v="FEBRERO"/>
  </r>
  <r>
    <n v="2025"/>
    <s v="26/02/2025"/>
    <s v="RMC"/>
    <n v="5889"/>
    <x v="333"/>
    <s v="ORING MANGUERA SALIDA CILINDRO ACCIC#010"/>
    <n v="1"/>
    <n v="100"/>
    <s v="TRANSPORTES Y SERVICIOS TRANSER SAS"/>
    <s v="JONATHAN PAEZ PEDRAZA"/>
    <n v="2"/>
    <s v="FEBRERO"/>
  </r>
  <r>
    <n v="2025"/>
    <s v="05/12/2025"/>
    <s v="RMC"/>
    <n v="6392"/>
    <x v="213"/>
    <s v="RETENEDOR DIVISOR 46160"/>
    <n v="1"/>
    <n v="162000"/>
    <s v="EMPRESA DE DISTRIBUCIONES INDUSTRIALES S.A.S."/>
    <s v="WILLIAM DUVAN REYES DIAZ"/>
    <n v="12"/>
    <s v="DICIEMBRE"/>
  </r>
  <r>
    <n v="2025"/>
    <s v="05/12/2025"/>
    <s v="RMC"/>
    <n v="6392"/>
    <x v="69"/>
    <s v="RETENEDOR EJE SALIDA 46160"/>
    <n v="1"/>
    <n v="145000"/>
    <s v="EMPRESA DE DISTRIBUCIONES INDUSTRIALES S.A.S."/>
    <s v="WILLIAM DUVAN REYES DIAZ"/>
    <n v="12"/>
    <s v="DICIEMBRE"/>
  </r>
  <r>
    <n v="2025"/>
    <s v="15/12/2025"/>
    <s v="RMC"/>
    <n v="6411"/>
    <x v="234"/>
    <s v="FILTRO PRIMARIO COMBUSTIBLE PARA MOTORES CUMMINS 6CT, ISC,ISL"/>
    <n v="2"/>
    <n v="69600"/>
    <s v="CEMEX COLOMBIA S.A."/>
    <s v="YASMID DEL PILAR URIBE DELGADO"/>
    <n v="12"/>
    <s v="DICIEMBRE"/>
  </r>
  <r>
    <n v="2025"/>
    <s v="01/09/2025"/>
    <s v="RMC"/>
    <n v="6236"/>
    <x v="334"/>
    <s v="KIT SOP CARDAN SPL/EAGL/KW/FL/SUPE B./76"/>
    <n v="1"/>
    <n v="218000"/>
    <s v="TRANSPORTES Y SERVICIOS TRANSER SAS"/>
    <s v="JONATHAN PAEZ PEDRAZA"/>
    <n v="9"/>
    <s v="SEPTIEMBRE"/>
  </r>
  <r>
    <n v="2025"/>
    <s v="01/09/2025"/>
    <s v="RMC"/>
    <n v="6236"/>
    <x v="226"/>
    <s v="MANGUERA ENGRASE 15&quot; BALINERA"/>
    <n v="1"/>
    <n v="15000"/>
    <s v="TRANSPORTES Y SERVICIOS TRANSER SAS"/>
    <s v="JONATHAN PAEZ PEDRAZA"/>
    <n v="9"/>
    <s v="SEPTIEMBRE"/>
  </r>
  <r>
    <n v="2025"/>
    <s v="01/09/2025"/>
    <s v="RMC"/>
    <n v="6236"/>
    <x v="335"/>
    <s v="BUJE CARE VACA - FULLER"/>
    <n v="4"/>
    <n v="48000"/>
    <s v="TRANSPORTES Y SERVICIOS TRANSER SAS"/>
    <s v="JONATHAN PAEZ PEDRAZA"/>
    <n v="9"/>
    <s v="SEPTIEMBRE"/>
  </r>
  <r>
    <n v="2025"/>
    <s v="01/09/2025"/>
    <s v="RMC"/>
    <n v="6236"/>
    <x v="193"/>
    <s v="FRENO EMBRAGUE 2&quot;"/>
    <n v="1"/>
    <n v="97000"/>
    <s v="TRANSPORTES Y SERVICIOS TRANSER SAS"/>
    <s v="JONATHAN PAEZ PEDRAZA"/>
    <n v="9"/>
    <s v="SEPTIEMBRE"/>
  </r>
  <r>
    <n v="2025"/>
    <s v="22/12/2025"/>
    <s v="RMC"/>
    <n v="6420"/>
    <x v="91"/>
    <s v="CRUCETA CARDAN SPL 250"/>
    <n v="6"/>
    <n v="1590000"/>
    <s v="CEMEX COLOMBIA S.A."/>
    <s v="YASMID DEL PILAR URIBE DELGADO"/>
    <n v="12"/>
    <s v="DICIEMBRE"/>
  </r>
  <r>
    <n v="2025"/>
    <s v="22/12/2025"/>
    <s v="RMC"/>
    <n v="6420"/>
    <x v="336"/>
    <s v="KIT RODAMIENTO TRASERO 46160 PAREJO"/>
    <n v="6"/>
    <n v="5760000"/>
    <s v="CEMEX COLOMBIA S.A."/>
    <s v="YASMID DEL PILAR URIBE DELGADO"/>
    <n v="12"/>
    <s v="DICIEMBRE"/>
  </r>
  <r>
    <n v="2025"/>
    <s v="22/12/2025"/>
    <s v="RMC"/>
    <n v="6420"/>
    <x v="337"/>
    <s v="EMPAQUE MONTAJE TURBO EAGLE"/>
    <n v="3"/>
    <n v="190500"/>
    <s v="CEMEX COLOMBIA S.A."/>
    <s v="YASMID DEL PILAR URIBE DELGADO"/>
    <n v="12"/>
    <s v="DICIEMBRE"/>
  </r>
  <r>
    <n v="2025"/>
    <s v="22/12/2025"/>
    <s v="RMC"/>
    <n v="6420"/>
    <x v="248"/>
    <s v="DISCO 15/2 7 RESORTES 4 TACOS"/>
    <n v="4"/>
    <n v="1960000"/>
    <s v="CEMEX COLOMBIA S.A."/>
    <s v="YASMID DEL PILAR URIBE DELGADO"/>
    <n v="12"/>
    <s v="DICIEMBRE"/>
  </r>
  <r>
    <n v="2025"/>
    <s v="22/12/2025"/>
    <s v="RMC"/>
    <n v="6420"/>
    <x v="243"/>
    <s v="KIT EMPAQUES MONO 14918/16"/>
    <n v="2"/>
    <n v="110000"/>
    <s v="CEMEX COLOMBIA S.A."/>
    <s v="YASMID DEL PILAR URIBE DELGADO"/>
    <n v="12"/>
    <s v="DICIEMBRE"/>
  </r>
  <r>
    <n v="2025"/>
    <s v="22/12/2025"/>
    <s v="RMC"/>
    <n v="6420"/>
    <x v="338"/>
    <s v="RETENEDOR SPEED 46160"/>
    <n v="2"/>
    <n v="215600"/>
    <s v="CEMEX COLOMBIA S.A."/>
    <s v="YASMID DEL PILAR URIBE DELGADO"/>
    <n v="12"/>
    <s v="DICIEMBRE"/>
  </r>
  <r>
    <n v="2025"/>
    <s v="22/12/2025"/>
    <s v="RMC"/>
    <n v="6420"/>
    <x v="317"/>
    <s v="ARANDELA EST.INT CDIZO  14/16918"/>
    <n v="6"/>
    <n v="258000"/>
    <s v="CEMEX COLOMBIA S.A."/>
    <s v="YASMID DEL PILAR URIBE DELGADO"/>
    <n v="12"/>
    <s v="DICIEMBRE"/>
  </r>
  <r>
    <n v="2025"/>
    <s v="22/12/2025"/>
    <s v="RMC"/>
    <n v="6420"/>
    <x v="115"/>
    <s v="PIÑA CDIZO"/>
    <n v="3"/>
    <n v="294000"/>
    <s v="CEMEX COLOMBIA S.A."/>
    <s v="YASMID DEL PILAR URIBE DELGADO"/>
    <n v="12"/>
    <s v="DICIEMBRE"/>
  </r>
  <r>
    <n v="2025"/>
    <s v="22/12/2025"/>
    <s v="RMC"/>
    <n v="6420"/>
    <x v="339"/>
    <s v="VALVULA REGULADORA 14715/18/915/918/16"/>
    <n v="4"/>
    <n v="1040000"/>
    <s v="CEMEX COLOMBIA S.A."/>
    <s v="YASMID DEL PILAR URIBE DELGADO"/>
    <n v="12"/>
    <s v="DICIEMBRE"/>
  </r>
  <r>
    <n v="2025"/>
    <s v="22/12/2025"/>
    <s v="RMC"/>
    <n v="6420"/>
    <x v="340"/>
    <s v="BUJE SUSPENSION NEWAY"/>
    <n v="30"/>
    <n v="3562560"/>
    <s v="CEMEX COLOMBIA S.A."/>
    <s v="YASMID DEL PILAR URIBE DELGADO"/>
    <n v="12"/>
    <s v="DICIEMBRE"/>
  </r>
  <r>
    <n v="2025"/>
    <s v="22/12/2025"/>
    <s v="RMC"/>
    <n v="6420"/>
    <x v="302"/>
    <s v="PIÑA CDIZO 14/16"/>
    <n v="1"/>
    <n v="78000"/>
    <s v="CEMEX COLOMBIA S.A."/>
    <s v="YASMID DEL PILAR URIBE DELGADO"/>
    <n v="12"/>
    <s v="DICIEMBRE"/>
  </r>
  <r>
    <n v="2025"/>
    <s v="22/12/2025"/>
    <s v="RMC"/>
    <n v="6420"/>
    <x v="341"/>
    <s v="FILTRO DE AIRE SECUNDARIO PARA INT-WORKSTAR 7600 CON MOTOR CUMMINS ISM (CONICO) - FILTRO PRIMARIO AF26103"/>
    <n v="3"/>
    <n v="276000"/>
    <s v="CEMEX COLOMBIA S.A."/>
    <s v="YASMID DEL PILAR URIBE DELGADO"/>
    <n v="12"/>
    <s v="DICIEMBRE"/>
  </r>
  <r>
    <n v="2025"/>
    <s v="22/12/2025"/>
    <s v="RMC"/>
    <n v="6420"/>
    <x v="342"/>
    <s v="BOMBA ENGRANAJE CUMMINS ISX (4062360)"/>
    <n v="3"/>
    <n v="9300000"/>
    <s v="CEMEX COLOMBIA S.A."/>
    <s v="YASMID DEL PILAR URIBE DELGADO"/>
    <n v="12"/>
    <s v="DICIEMBRE"/>
  </r>
  <r>
    <n v="2025"/>
    <s v="22/12/2025"/>
    <s v="RMC"/>
    <n v="6420"/>
    <x v="326"/>
    <s v="KIT RODAMIENTO DELANTERO PAREJO 46170"/>
    <n v="1"/>
    <n v="3600000"/>
    <s v="CEMEX COLOMBIA S.A."/>
    <s v="YASMID DEL PILAR URIBE DELGADO"/>
    <n v="12"/>
    <s v="DICIEMBRE"/>
  </r>
  <r>
    <n v="2025"/>
    <s v="22/12/2025"/>
    <s v="RMC"/>
    <n v="6420"/>
    <x v="343"/>
    <s v="O'RING EJE TOMA TODAS"/>
    <n v="5"/>
    <n v="22540"/>
    <s v="CEMEX COLOMBIA S.A."/>
    <s v="YASMID DEL PILAR URIBE DELGADO"/>
    <n v="12"/>
    <s v="DICIEMBRE"/>
  </r>
  <r>
    <n v="2025"/>
    <s v="22/12/2025"/>
    <s v="RMC"/>
    <n v="6420"/>
    <x v="235"/>
    <s v="PIN ESPIRAL REVSO - TODAS"/>
    <n v="5"/>
    <n v="34000"/>
    <s v="CEMEX COLOMBIA S.A."/>
    <s v="YASMID DEL PILAR URIBE DELGADO"/>
    <n v="12"/>
    <s v="DICIEMBRE"/>
  </r>
  <r>
    <n v="2025"/>
    <s v="22/12/2025"/>
    <s v="RMC"/>
    <n v="6420"/>
    <x v="344"/>
    <s v="TORRE MONO  14/1618/918"/>
    <n v="1"/>
    <n v="1243782"/>
    <s v="CEMEX COLOMBIA S.A."/>
    <s v="YASMID DEL PILAR URIBE DELGADO"/>
    <n v="12"/>
    <s v="DICIEMBRE"/>
  </r>
  <r>
    <n v="2025"/>
    <s v="22/12/2025"/>
    <s v="RMC"/>
    <n v="6420"/>
    <x v="345"/>
    <s v="FILTRO AIRE PRIMARIO EXTERNO PARA CUMMINS ISX"/>
    <n v="2"/>
    <n v="244000"/>
    <s v="CEMEX COLOMBIA S.A."/>
    <s v="YASMID DEL PILAR URIBE DELGADO"/>
    <n v="12"/>
    <s v="DICIEMBRE"/>
  </r>
  <r>
    <n v="2025"/>
    <s v="22/12/2025"/>
    <s v="RMC"/>
    <n v="6420"/>
    <x v="294"/>
    <s v="HOJA ZETA 46 MLBS"/>
    <n v="3"/>
    <n v="3555000"/>
    <s v="CEMEX COLOMBIA S.A."/>
    <s v="YASMID DEL PILAR URIBE DELGADO"/>
    <n v="12"/>
    <s v="DICIEMBRE"/>
  </r>
  <r>
    <n v="2025"/>
    <s v="22/12/2025"/>
    <s v="RMC"/>
    <n v="6420"/>
    <x v="346"/>
    <s v="SET403 RODAMIENTO (594A/592)"/>
    <n v="30"/>
    <n v="3042570"/>
    <s v="CEMEX COLOMBIA S.A."/>
    <s v="YASMID DEL PILAR URIBE DELGADO"/>
    <n v="12"/>
    <s v="DICIEMBRE"/>
  </r>
  <r>
    <n v="2025"/>
    <s v="22/12/2025"/>
    <s v="RMC"/>
    <n v="6420"/>
    <x v="347"/>
    <s v="RETENEDOR TRASERO EJE MOTRIZ 38M LBS"/>
    <n v="50"/>
    <n v="2436350"/>
    <s v="CEMEX COLOMBIA S.A."/>
    <s v="YASMID DEL PILAR URIBE DELGADO"/>
    <n v="12"/>
    <s v="DICIEMBRE"/>
  </r>
  <r>
    <n v="2025"/>
    <s v="22/12/2025"/>
    <s v="RMC"/>
    <n v="6420"/>
    <x v="348"/>
    <s v="FILTRO REFRIGERANTE DE AGUA PARA MOTOR CUMMINS ISX, X15"/>
    <n v="16"/>
    <n v="1217424"/>
    <s v="CEMEX COLOMBIA S.A."/>
    <s v="YASMID DEL PILAR URIBE DELGADO"/>
    <n v="12"/>
    <s v="DICIEMBRE"/>
  </r>
  <r>
    <n v="2025"/>
    <s v="22/12/2025"/>
    <s v="RMC"/>
    <n v="6420"/>
    <x v="296"/>
    <s v="VALVULA NIVELADORA CABINA EAGLE"/>
    <n v="4"/>
    <n v="815576"/>
    <s v="CEMEX COLOMBIA S.A."/>
    <s v="YASMID DEL PILAR URIBE DELGADO"/>
    <n v="12"/>
    <s v="DICIEMBRE"/>
  </r>
  <r>
    <n v="2025"/>
    <s v="22/12/2025"/>
    <s v="RMC"/>
    <n v="6420"/>
    <x v="349"/>
    <s v="TAPON DESFOGUE TAPA FRONTAL EAGLE"/>
    <n v="3"/>
    <n v="611682"/>
    <s v="CEMEX COLOMBIA S.A."/>
    <s v="YASMID DEL PILAR URIBE DELGADO"/>
    <n v="12"/>
    <s v="DICIEMBRE"/>
  </r>
  <r>
    <n v="2025"/>
    <s v="22/12/2025"/>
    <s v="RMC"/>
    <n v="6420"/>
    <x v="350"/>
    <s v="ARANDELA EST. PIÑON MONO  18"/>
    <n v="2"/>
    <n v="102000"/>
    <s v="CEMEX COLOMBIA S.A."/>
    <s v="YASMID DEL PILAR URIBE DELGADO"/>
    <n v="12"/>
    <s v="DICIEMBRE"/>
  </r>
  <r>
    <n v="2025"/>
    <s v="22/12/2025"/>
    <s v="RMC"/>
    <n v="6420"/>
    <x v="3"/>
    <s v="ARANDELA TORRE MONO PARA 18"/>
    <n v="2"/>
    <n v="35000"/>
    <s v="CEMEX COLOMBIA S.A."/>
    <s v="YASMID DEL PILAR URIBE DELGADO"/>
    <n v="12"/>
    <s v="DICIEMBRE"/>
  </r>
  <r>
    <n v="2025"/>
    <s v="22/12/2025"/>
    <s v="RMC"/>
    <n v="6420"/>
    <x v="64"/>
    <s v="FAN CLUTCH TIPO KYSOR K32S"/>
    <n v="6"/>
    <n v="9990000"/>
    <s v="CEMEX COLOMBIA S.A."/>
    <s v="YASMID DEL PILAR URIBE DELGADO"/>
    <n v="12"/>
    <s v="DICIEMBRE"/>
  </r>
  <r>
    <n v="2025"/>
    <s v="22/12/2025"/>
    <s v="RMC"/>
    <n v="6420"/>
    <x v="351"/>
    <s v="CRUCETA 6,456 DADO 2165 (2 5/32&quot; APROX)"/>
    <n v="15"/>
    <n v="7470000"/>
    <s v="CEMEX COLOMBIA S.A."/>
    <s v="YASMID DEL PILAR URIBE DELGADO"/>
    <n v="12"/>
    <s v="DICIEMBRE"/>
  </r>
  <r>
    <n v="2025"/>
    <s v="22/12/2025"/>
    <s v="RMC"/>
    <n v="6420"/>
    <x v="352"/>
    <s v="RETENEDOR EJE DE TRAILER"/>
    <n v="8"/>
    <n v="536000"/>
    <s v="CEMEX COLOMBIA S.A."/>
    <s v="YASMID DEL PILAR URIBE DELGADO"/>
    <n v="12"/>
    <s v="DICIEMBRE"/>
  </r>
  <r>
    <n v="2025"/>
    <s v="22/12/2025"/>
    <s v="RMC"/>
    <n v="6420"/>
    <x v="353"/>
    <s v="KIT DE REPARACION VÁLVULA DE PURGA PARA SECADOR DE AIRE AD-9"/>
    <n v="2"/>
    <n v="348864"/>
    <s v="CEMEX COLOMBIA S.A."/>
    <s v="YASMID DEL PILAR URIBE DELGADO"/>
    <n v="12"/>
    <s v="DICIEMBRE"/>
  </r>
  <r>
    <n v="2025"/>
    <s v="24/01/2025"/>
    <s v="RMC"/>
    <n v="5805"/>
    <x v="354"/>
    <s v="OREJA SPL250 H 4,094 (4&quot; 3/32 APROX)"/>
    <n v="2"/>
    <n v="1685688"/>
    <s v="CEMEX COLOMBIA S.A."/>
    <s v="YASMID DEL PILAR URIBE DELGADO"/>
    <n v="1"/>
    <s v="ENERO"/>
  </r>
  <r>
    <n v="2025"/>
    <s v="27/11/2025"/>
    <s v="RMC"/>
    <n v="6379"/>
    <x v="355"/>
    <s v="AMORTIGUA TRAILE HT300(9122)REFORZ=85000"/>
    <n v="3"/>
    <n v="630000"/>
    <s v="CEMEX COLOMBIA S.A."/>
    <s v="YASMID DEL PILAR URIBE DELGADO"/>
    <n v="11"/>
    <s v="NOVIEMBRE"/>
  </r>
  <r>
    <n v="2025"/>
    <s v="08/10/2025"/>
    <s v="RMC"/>
    <n v="6299"/>
    <x v="356"/>
    <s v="SET ROD Y PISTA 594A/592A TIMKEN"/>
    <n v="1"/>
    <n v="224059"/>
    <s v="CENTRO AUTOMOTOR DIESEL S.A CENTRODIESEL"/>
    <s v="JHIRA ALEXANDRA ARANGO RIVERA"/>
    <n v="10"/>
    <s v="OCTUBRE"/>
  </r>
  <r>
    <n v="2025"/>
    <s v="08/10/2025"/>
    <s v="RMC"/>
    <n v="6299"/>
    <x v="357"/>
    <s v="JUEGO SPLINDER 10,39&quot; x 1,79&quot;"/>
    <n v="1"/>
    <n v="638100"/>
    <s v="CENTRO AUTOMOTOR DIESEL S.A CENTRODIESEL"/>
    <s v="JHIRA ALEXANDRA ARANGO RIVERA"/>
    <n v="10"/>
    <s v="OCTUBRE"/>
  </r>
  <r>
    <n v="2025"/>
    <s v="08/10/2025"/>
    <s v="RMC"/>
    <n v="6299"/>
    <x v="88"/>
    <s v="TAPA GRASERA.EJE DELANTERO EN PLASTICO"/>
    <n v="2"/>
    <n v="146384"/>
    <s v="CENTRO AUTOMOTOR DIESEL S.A CENTRODIESEL"/>
    <s v="JHIRA ALEXANDRA ARANGO RIVERA"/>
    <n v="10"/>
    <s v="OCTUBRE"/>
  </r>
  <r>
    <n v="2025"/>
    <s v="08/10/2025"/>
    <s v="RMC"/>
    <n v="6299"/>
    <x v="193"/>
    <s v="FRENO EMBRAGUE 2&quot;"/>
    <n v="1"/>
    <n v="103300"/>
    <s v="CENTRO AUTOMOTOR DIESEL S.A CENTRODIESEL"/>
    <s v="JHIRA ALEXANDRA ARANGO RIVERA"/>
    <n v="10"/>
    <s v="OCTUBRE"/>
  </r>
  <r>
    <n v="2025"/>
    <s v="08/10/2025"/>
    <s v="RMC"/>
    <n v="6299"/>
    <x v="358"/>
    <s v="SET401 RODAMIENTO (580/572)"/>
    <n v="1"/>
    <n v="114200"/>
    <s v="CENTRO AUTOMOTOR DIESEL S.A CENTRODIESEL"/>
    <s v="JHIRA ALEXANDRA ARANGO RIVERA"/>
    <n v="10"/>
    <s v="OCTUBRE"/>
  </r>
  <r>
    <n v="2025"/>
    <s v="24/10/2025"/>
    <s v="RMC"/>
    <n v="6331"/>
    <x v="359"/>
    <s v="TAPA TORRE MONO FR/FRO 14/16/715/918/915"/>
    <n v="1"/>
    <n v="129000"/>
    <s v="TRANSPORTES Y SERVICIOS TRANSER SAS"/>
    <s v="JONATHAN PAEZ PEDRAZA"/>
    <n v="10"/>
    <s v="OCTUBRE"/>
  </r>
  <r>
    <n v="2025"/>
    <s v="24/10/2025"/>
    <s v="RMC"/>
    <n v="6331"/>
    <x v="119"/>
    <s v="PIN ESPIRAL PIÑON 4303422"/>
    <n v="1"/>
    <n v="22000"/>
    <s v="TRANSPORTES Y SERVICIOS TRANSER SAS"/>
    <s v="JONATHAN PAEZ PEDRAZA"/>
    <n v="10"/>
    <s v="OCTUBRE"/>
  </r>
  <r>
    <n v="2025"/>
    <s v="24/10/2025"/>
    <s v="RMC"/>
    <n v="6331"/>
    <x v="116"/>
    <s v="KIT RETEN MONO 14715/915/918 11210 (BRA)"/>
    <n v="1"/>
    <n v="131000"/>
    <s v="TRANSPORTES Y SERVICIOS TRANSER SAS"/>
    <s v="JONATHAN PAEZ PEDRAZA"/>
    <n v="10"/>
    <s v="OCTUBRE"/>
  </r>
  <r>
    <n v="2025"/>
    <s v="24/10/2025"/>
    <s v="RMC"/>
    <n v="6331"/>
    <x v="128"/>
    <s v="KIT EMPAQUES PRINCIPAL 14/16918"/>
    <n v="1"/>
    <n v="166000"/>
    <s v="TRANSPORTES Y SERVICIOS TRANSER SAS"/>
    <s v="JONATHAN PAEZ PEDRAZA"/>
    <n v="10"/>
    <s v="OCTUBRE"/>
  </r>
  <r>
    <n v="2025"/>
    <s v="24/10/2025"/>
    <s v="RMC"/>
    <n v="6331"/>
    <x v="344"/>
    <s v="TORRE MONO  14/1618/918"/>
    <n v="2"/>
    <n v="2528000"/>
    <s v="TRANSPORTES Y SERVICIOS TRANSER SAS"/>
    <s v="JONATHAN PAEZ PEDRAZA"/>
    <n v="10"/>
    <s v="OCTUBRE"/>
  </r>
  <r>
    <n v="2025"/>
    <s v="24/10/2025"/>
    <s v="RMC"/>
    <n v="6331"/>
    <x v="82"/>
    <s v="RODILLO TORRE MONO 918"/>
    <n v="4"/>
    <n v="420000"/>
    <s v="TRANSPORTES Y SERVICIOS TRANSER SAS"/>
    <s v="JONATHAN PAEZ PEDRAZA"/>
    <n v="10"/>
    <s v="OCTUBRE"/>
  </r>
  <r>
    <n v="2025"/>
    <s v="24/10/2025"/>
    <s v="RMC"/>
    <n v="6331"/>
    <x v="360"/>
    <s v="RODILLO DOBLE PIÑON DEL BAJO 14718"/>
    <n v="1"/>
    <n v="300000"/>
    <s v="TRANSPORTES Y SERVICIOS TRANSER SAS"/>
    <s v="JONATHAN PAEZ PEDRAZA"/>
    <n v="10"/>
    <s v="OCTUBRE"/>
  </r>
  <r>
    <n v="2025"/>
    <s v="24/10/2025"/>
    <s v="RMC"/>
    <n v="6331"/>
    <x v="216"/>
    <s v="SINCRONIZADOR (JGO X 5) TODAS PATA GRUES"/>
    <n v="1"/>
    <n v="348000"/>
    <s v="TRANSPORTES Y SERVICIOS TRANSER SAS"/>
    <s v="JONATHAN PAEZ PEDRAZA"/>
    <n v="10"/>
    <s v="OCTUBRE"/>
  </r>
  <r>
    <n v="2025"/>
    <s v="24/10/2025"/>
    <s v="RMC"/>
    <n v="6331"/>
    <x v="243"/>
    <s v="KIT EMPAQUES MONO 14918/16"/>
    <n v="1"/>
    <n v="60000"/>
    <s v="TRANSPORTES Y SERVICIOS TRANSER SAS"/>
    <s v="JONATHAN PAEZ PEDRAZA"/>
    <n v="10"/>
    <s v="OCTUBRE"/>
  </r>
  <r>
    <n v="2025"/>
    <s v="24/10/2025"/>
    <s v="RMC"/>
    <n v="6331"/>
    <x v="361"/>
    <s v="TUERCA EJE DIVISOR  46 LB"/>
    <n v="1"/>
    <n v="130752"/>
    <s v="TRANSPORTES Y SERVICIOS TRANSER SAS"/>
    <s v="JONATHAN PAEZ PEDRAZA"/>
    <n v="10"/>
    <s v="OCTUBRE"/>
  </r>
  <r>
    <n v="2025"/>
    <s v="24/10/2025"/>
    <s v="RMC"/>
    <n v="6331"/>
    <x v="252"/>
    <s v="TERMINAL DIRECCION RUNNER 4300 DURESTAR"/>
    <n v="1"/>
    <n v="325087"/>
    <s v="TRANSPORTES Y SERVICIOS TRANSER SAS"/>
    <s v="JONATHAN PAEZ PEDRAZA"/>
    <n v="10"/>
    <s v="OCTUBRE"/>
  </r>
  <r>
    <n v="2025"/>
    <s v="17/09/2025"/>
    <s v="RMC"/>
    <n v="6256"/>
    <x v="362"/>
    <s v="PIN EJE DE SALIDA 34/38/44/46 LB"/>
    <n v="1"/>
    <n v="5000"/>
    <s v="TRANSPORTES Y SERVICIOS TRANSER SAS"/>
    <s v="JONATHAN PAEZ PEDRAZA"/>
    <n v="9"/>
    <s v="SEPTIEMBRE"/>
  </r>
  <r>
    <n v="2025"/>
    <s v="17/09/2025"/>
    <s v="RMC"/>
    <n v="6256"/>
    <x v="363"/>
    <s v="PIVOTE EJE SALIDA DS/DP 46 LBS"/>
    <n v="1"/>
    <n v="15000"/>
    <s v="TRANSPORTES Y SERVICIOS TRANSER SAS"/>
    <s v="JONATHAN PAEZ PEDRAZA"/>
    <n v="9"/>
    <s v="SEPTIEMBRE"/>
  </r>
  <r>
    <n v="2025"/>
    <s v="17/09/2025"/>
    <s v="RMC"/>
    <n v="6256"/>
    <x v="364"/>
    <s v="RESORTE EJE SALIDA 44/46 MLB"/>
    <n v="1"/>
    <n v="14000"/>
    <s v="TRANSPORTES Y SERVICIOS TRANSER SAS"/>
    <s v="JONATHAN PAEZ PEDRAZA"/>
    <n v="9"/>
    <s v="SEPTIEMBRE"/>
  </r>
  <r>
    <n v="2025"/>
    <s v="17/09/2025"/>
    <s v="RMC"/>
    <n v="6256"/>
    <x v="210"/>
    <s v="PLANETARIO ESCUALIZACION 46160"/>
    <n v="2"/>
    <n v="316000"/>
    <s v="TRANSPORTES Y SERVICIOS TRANSER SAS"/>
    <s v="JONATHAN PAEZ PEDRAZA"/>
    <n v="9"/>
    <s v="SEPTIEMBRE"/>
  </r>
  <r>
    <n v="2025"/>
    <s v="17/09/2025"/>
    <s v="RMC"/>
    <n v="6256"/>
    <x v="365"/>
    <s v="PASADOR LARGO DEL CLUTCH KENWORTH"/>
    <n v="1"/>
    <n v="66000"/>
    <s v="TRANSPORTES Y SERVICIOS TRANSER SAS"/>
    <s v="JONATHAN PAEZ PEDRAZA"/>
    <n v="9"/>
    <s v="SEPTIEMBRE"/>
  </r>
  <r>
    <n v="2025"/>
    <s v="20/08/2025"/>
    <s v="RMC"/>
    <n v="6222"/>
    <x v="212"/>
    <s v="RACOR/CODO"/>
    <n v="1"/>
    <n v="21000"/>
    <s v="TRANSPORTES Y SERVICIOS TRANSER SAS"/>
    <s v="JONATHAN PAEZ PEDRAZA"/>
    <n v="8"/>
    <s v="AGOSTO"/>
  </r>
  <r>
    <n v="2025"/>
    <s v="20/08/2025"/>
    <s v="RMC"/>
    <n v="6222"/>
    <x v="322"/>
    <s v="CAUCHO TAPA DIVISOR"/>
    <n v="2"/>
    <n v="34000"/>
    <s v="TRANSPORTES Y SERVICIOS TRANSER SAS"/>
    <s v="JONATHAN PAEZ PEDRAZA"/>
    <n v="8"/>
    <s v="AGOSTO"/>
  </r>
  <r>
    <n v="2025"/>
    <s v="20/08/2025"/>
    <s v="RMC"/>
    <n v="6222"/>
    <x v="260"/>
    <s v="BOLSA TAN 9.12ANxA1E1&quot;.5/16x10.80ALT+1T"/>
    <n v="1"/>
    <n v="385000"/>
    <s v="TRANSPORTES Y SERVICIOS TRANSER SAS"/>
    <s v="JONATHAN PAEZ PEDRAZA"/>
    <n v="8"/>
    <s v="AGOSTO"/>
  </r>
  <r>
    <n v="2025"/>
    <s v="20/08/2025"/>
    <s v="RMC"/>
    <n v="6222"/>
    <x v="366"/>
    <s v="BOLSA SUSPENSION TANDEM"/>
    <n v="1"/>
    <n v="722000"/>
    <s v="TRANSPORTES Y SERVICIOS TRANSER SAS"/>
    <s v="JONATHAN PAEZ PEDRAZA"/>
    <n v="8"/>
    <s v="AGOSTO"/>
  </r>
  <r>
    <n v="2025"/>
    <s v="20/08/2025"/>
    <s v="RMC"/>
    <n v="6222"/>
    <x v="367"/>
    <s v="CRUCETA DIRECCION 1,500 DADO .938"/>
    <n v="2"/>
    <n v="190000"/>
    <s v="TRANSPORTES Y SERVICIOS TRANSER SAS"/>
    <s v="JONATHAN PAEZ PEDRAZA"/>
    <n v="8"/>
    <s v="AGOSTO"/>
  </r>
  <r>
    <n v="2025"/>
    <s v="01/07/2025"/>
    <s v="RMC"/>
    <n v="6130"/>
    <x v="368"/>
    <s v="BARRA DE CAMBIO CORTA TAPA ALTA"/>
    <n v="1"/>
    <n v="183900"/>
    <s v="TRANSPORTES Y SERVICIOS TRANSER SAS"/>
    <s v="JONATHAN PAEZ PEDRAZA"/>
    <n v="7"/>
    <s v="JULIO"/>
  </r>
  <r>
    <n v="2025"/>
    <s v="01/07/2025"/>
    <s v="RMC"/>
    <n v="6130"/>
    <x v="259"/>
    <s v="JUEGO CHAPETA SPL250 (JGOX6)"/>
    <n v="1"/>
    <n v="55000"/>
    <s v="TRANSPORTES Y SERVICIOS TRANSER SAS"/>
    <s v="JONATHAN PAEZ PEDRAZA"/>
    <n v="7"/>
    <s v="JULIO"/>
  </r>
  <r>
    <n v="2025"/>
    <s v="23/12/2025"/>
    <s v="RMC"/>
    <n v="6421"/>
    <x v="369"/>
    <s v="ASBESTO FAN CLUTCH DRIVE MASTER 8&quot; JGOX2"/>
    <n v="3"/>
    <n v="942000"/>
    <s v="TRANSPORTES Y SERVICIOS TRANSER SAS"/>
    <s v="JONATHAN PAEZ PEDRAZA"/>
    <n v="12"/>
    <s v="DICIEMBRE"/>
  </r>
  <r>
    <n v="2025"/>
    <s v="22/08/2025"/>
    <s v="RMC"/>
    <n v="6226"/>
    <x v="320"/>
    <s v="TUERCA EJE MONO 14915/16915/FR/FRO"/>
    <n v="1"/>
    <n v="65000"/>
    <s v="TRANSPORTES Y SERVICIOS TRANSER SAS"/>
    <s v="JONATHAN PAEZ PEDRAZA"/>
    <n v="8"/>
    <s v="AGOSTO"/>
  </r>
  <r>
    <n v="2025"/>
    <s v="22/08/2025"/>
    <s v="RMC"/>
    <n v="6226"/>
    <x v="274"/>
    <s v="KIT DE RESORTE JGO X 3 EAGLE DELAN/FTL"/>
    <n v="2"/>
    <n v="88000"/>
    <s v="TRANSPORTES Y SERVICIOS TRANSER SAS"/>
    <s v="JONATHAN PAEZ PEDRAZA"/>
    <n v="8"/>
    <s v="AGOSTO"/>
  </r>
  <r>
    <n v="2025"/>
    <s v="01/07/2025"/>
    <s v="RMC"/>
    <n v="6134"/>
    <x v="370"/>
    <s v="KIT EMBRAGUE KJA AUTOMAT CON DISC COMPAC"/>
    <n v="1"/>
    <n v="7600000"/>
    <s v="CENTRO AUTOMOTOR DIESEL S.A CENTRODIESEL"/>
    <s v="DANIELA ALEJANDRA LEON VARGAS"/>
    <n v="7"/>
    <s v="JULIO"/>
  </r>
  <r>
    <n v="2025"/>
    <s v="01/07/2025"/>
    <s v="RMC"/>
    <n v="6134"/>
    <x v="371"/>
    <s v="EMPAQUE CAREVACA CAJA - APLICA K3676/71"/>
    <n v="1"/>
    <n v="54900"/>
    <s v="CENTRO AUTOMOTOR DIESEL S.A CENTRODIESEL"/>
    <s v="DANIELA ALEJANDRA LEON VARGAS"/>
    <n v="7"/>
    <s v="JULIO"/>
  </r>
  <r>
    <n v="2025"/>
    <s v="01/07/2025"/>
    <s v="RMC"/>
    <n v="6134"/>
    <x v="203"/>
    <s v="SET ROD Y PISTA3782/3720 TRAS TREN FIJO"/>
    <n v="1"/>
    <n v="99550"/>
    <s v="CENTRO AUTOMOTOR DIESEL S.A CENTRODIESEL"/>
    <s v="DANIELA ALEJANDRA LEON VARGAS"/>
    <n v="7"/>
    <s v="JULIO"/>
  </r>
  <r>
    <n v="2025"/>
    <s v="01/07/2025"/>
    <s v="RMC"/>
    <n v="6134"/>
    <x v="204"/>
    <s v="CRUCETA 6,456 DADO 2165 (2 5/32&quot; APROX)"/>
    <n v="1"/>
    <n v="526500"/>
    <s v="CENTRO AUTOMOTOR DIESEL S.A CENTRODIESEL"/>
    <s v="DANIELA ALEJANDRA LEON VARGAS"/>
    <n v="7"/>
    <s v="JULIO"/>
  </r>
  <r>
    <n v="2025"/>
    <s v="01/07/2025"/>
    <s v="RMC"/>
    <n v="6129"/>
    <x v="284"/>
    <s v="EJE TOMA 2&quot; 14915/16918/8709B"/>
    <n v="1"/>
    <n v="215000"/>
    <s v="TRANSPORTES Y SERVICIOS TRANSER SAS"/>
    <s v="JONATHAN PAEZ PEDRAZA"/>
    <n v="7"/>
    <s v="JULIO"/>
  </r>
  <r>
    <n v="2025"/>
    <s v="01/07/2025"/>
    <s v="RMC"/>
    <n v="6129"/>
    <x v="245"/>
    <s v="PLATO SINCRONIZADOR 18 TODAS"/>
    <n v="2"/>
    <n v="655216"/>
    <s v="TRANSPORTES Y SERVICIOS TRANSER SAS"/>
    <s v="JONATHAN PAEZ PEDRAZA"/>
    <n v="7"/>
    <s v="JULIO"/>
  </r>
  <r>
    <n v="2025"/>
    <s v="21/05/2025"/>
    <s v="RMC"/>
    <n v="6066"/>
    <x v="160"/>
    <s v="ARANDELA BUJE TRIFUNCIONAL"/>
    <n v="4"/>
    <n v="252000"/>
    <s v="TRANSPORTES Y SERVICIOS TRANSER SAS"/>
    <s v="JONATHAN PAEZ PEDRAZA"/>
    <n v="5"/>
    <s v="MAYO"/>
  </r>
  <r>
    <n v="2025"/>
    <s v="05/12/2025"/>
    <s v="RMC"/>
    <n v="6395"/>
    <x v="336"/>
    <s v="KIT RODAMIENTO TRASERO 46160 PAREJO"/>
    <n v="1"/>
    <n v="960000"/>
    <s v="CEMEX COLOMBIA S.A."/>
    <s v="YASMID DEL PILAR URIBE DELGADO"/>
    <n v="12"/>
    <s v="DICIEMBRE"/>
  </r>
  <r>
    <n v="2025"/>
    <s v="05/12/2025"/>
    <s v="RMC"/>
    <n v="6395"/>
    <x v="372"/>
    <s v="BOLSA LEVANTA EJE  SELLO MATI"/>
    <n v="1"/>
    <n v="280000"/>
    <s v="CEMEX COLOMBIA S.A."/>
    <s v="YASMID DEL PILAR URIBE DELGADO"/>
    <n v="12"/>
    <s v="DICIEMBRE"/>
  </r>
  <r>
    <n v="2025"/>
    <s v="05/12/2025"/>
    <s v="RMC"/>
    <n v="6395"/>
    <x v="373"/>
    <s v="INYECTOR ISX"/>
    <n v="3"/>
    <n v="6360984"/>
    <s v="CEMEX COLOMBIA S.A."/>
    <s v="YASMID DEL PILAR URIBE DELGADO"/>
    <n v="12"/>
    <s v="DICIEMBRE"/>
  </r>
  <r>
    <n v="2025"/>
    <s v="05/12/2025"/>
    <s v="RMC"/>
    <n v="6395"/>
    <x v="328"/>
    <s v="CRUCETA 6,417 (6&quot;13/32 APROX)DADO 2362&quot;"/>
    <n v="15"/>
    <n v="7510425"/>
    <s v="CEMEX COLOMBIA S.A."/>
    <s v="YASMID DEL PILAR URIBE DELGADO"/>
    <n v="12"/>
    <s v="DICIEMBRE"/>
  </r>
  <r>
    <n v="2025"/>
    <s v="05/12/2025"/>
    <s v="RMC"/>
    <n v="6395"/>
    <x v="374"/>
    <s v="RESORTE FRENO MOTOR"/>
    <n v="12"/>
    <n v="679248"/>
    <s v="CEMEX COLOMBIA S.A."/>
    <s v="YASMID DEL PILAR URIBE DELGADO"/>
    <n v="12"/>
    <s v="DICIEMBRE"/>
  </r>
  <r>
    <n v="2025"/>
    <s v="05/12/2025"/>
    <s v="RMC"/>
    <n v="6395"/>
    <x v="375"/>
    <s v="CAUCHO TAPA DIVISOR"/>
    <n v="4"/>
    <n v="34792"/>
    <s v="CEMEX COLOMBIA S.A."/>
    <s v="YASMID DEL PILAR URIBE DELGADO"/>
    <n v="12"/>
    <s v="DICIEMBRE"/>
  </r>
  <r>
    <n v="2025"/>
    <s v="05/12/2025"/>
    <s v="RMC"/>
    <n v="6395"/>
    <x v="64"/>
    <s v="FAN CLUTCH TIPO KYSOR K32S"/>
    <n v="3"/>
    <n v="4995000"/>
    <s v="CEMEX COLOMBIA S.A."/>
    <s v="YASMID DEL PILAR URIBE DELGADO"/>
    <n v="12"/>
    <s v="DICIEMBRE"/>
  </r>
  <r>
    <n v="2025"/>
    <s v="05/12/2025"/>
    <s v="RMC"/>
    <n v="6395"/>
    <x v="376"/>
    <s v="SOPORTE CABINA DELAN CL120 ALTO"/>
    <n v="4"/>
    <n v="1472000"/>
    <s v="CEMEX COLOMBIA S.A."/>
    <s v="YASMID DEL PILAR URIBE DELGADO"/>
    <n v="12"/>
    <s v="DICIEMBRE"/>
  </r>
  <r>
    <n v="2025"/>
    <s v="21/05/2025"/>
    <s v="RMC"/>
    <n v="6069"/>
    <x v="377"/>
    <s v="SET ROD Y PISTA HM218248 /HM 218210 INTE"/>
    <n v="1"/>
    <n v="114166"/>
    <s v="CENTRO AUTOMOTOR DIESEL S.A CENTRODIESEL"/>
    <s v="DANIELA ALEJANDRA LEON VARGAS"/>
    <n v="5"/>
    <s v="MAYO"/>
  </r>
  <r>
    <n v="2025"/>
    <s v="21/05/2025"/>
    <s v="RMC"/>
    <n v="6069"/>
    <x v="207"/>
    <s v="BOMBA DIVISOR 46160"/>
    <n v="1"/>
    <n v="977200"/>
    <s v="CENTRO AUTOMOTOR DIESEL S.A CENTRODIESEL"/>
    <s v="DANIELA ALEJANDRA LEON VARGAS"/>
    <n v="5"/>
    <s v="MAYO"/>
  </r>
  <r>
    <n v="2025"/>
    <s v="21/05/2025"/>
    <s v="RMC"/>
    <n v="6069"/>
    <x v="203"/>
    <s v="SET ROD Y PISTA3782/3720 TRAS TREN FIJO"/>
    <n v="3"/>
    <n v="284400"/>
    <s v="CENTRO AUTOMOTOR DIESEL S.A CENTRODIESEL"/>
    <s v="DANIELA ALEJANDRA LEON VARGAS"/>
    <n v="5"/>
    <s v="MAYO"/>
  </r>
  <r>
    <n v="2025"/>
    <s v="28/10/2025"/>
    <s v="RMC"/>
    <n v="6335"/>
    <x v="187"/>
    <s v="BALINERA VOLANTE"/>
    <n v="2"/>
    <n v="59822"/>
    <s v="CENTRO AUTOMOTOR DIESEL S.A CENTRODIESEL"/>
    <s v="JHIRA ALEXANDRA ARANGO RIVERA"/>
    <n v="10"/>
    <s v="OCTUBRE"/>
  </r>
  <r>
    <n v="2025"/>
    <s v="28/10/2025"/>
    <s v="RMC"/>
    <n v="6335"/>
    <x v="208"/>
    <s v="RACHE AUTO CH CC 5 1/2&quot; TP1 1-1/2&quot;28E"/>
    <n v="3"/>
    <n v="1058787"/>
    <s v="CENTRO AUTOMOTOR DIESEL S.A CENTRODIESEL"/>
    <s v="JHIRA ALEXANDRA ARANGO RIVERA"/>
    <n v="10"/>
    <s v="OCTUBRE"/>
  </r>
  <r>
    <n v="2025"/>
    <s v="28/10/2025"/>
    <s v="RMC"/>
    <n v="6335"/>
    <x v="157"/>
    <s v="BALINERA FAN CLUTCH"/>
    <n v="2"/>
    <n v="63106"/>
    <s v="CENTRO AUTOMOTOR DIESEL S.A CENTRODIESEL"/>
    <s v="JHIRA ALEXANDRA ARANGO RIVERA"/>
    <n v="10"/>
    <s v="OCTUBRE"/>
  </r>
  <r>
    <n v="2025"/>
    <s v="28/10/2025"/>
    <s v="RMC"/>
    <n v="6335"/>
    <x v="245"/>
    <s v="PLATO SINCRONIZADOR 18 TODAS"/>
    <n v="1"/>
    <n v="327400"/>
    <s v="CENTRO AUTOMOTOR DIESEL S.A CENTRODIESEL"/>
    <s v="JHIRA ALEXANDRA ARANGO RIVERA"/>
    <n v="10"/>
    <s v="OCTUBRE"/>
  </r>
  <r>
    <n v="2025"/>
    <s v="28/10/2025"/>
    <s v="RMC"/>
    <n v="6335"/>
    <x v="328"/>
    <s v="CRUCETA 6,417 (6&quot;13/32 APROX)DADO 2362&quot;"/>
    <n v="1"/>
    <n v="560900"/>
    <s v="CENTRO AUTOMOTOR DIESEL S.A CENTRODIESEL"/>
    <s v="JHIRA ALEXANDRA ARANGO RIVERA"/>
    <n v="10"/>
    <s v="OCTUBRE"/>
  </r>
  <r>
    <n v="2025"/>
    <s v="28/10/2025"/>
    <s v="RMC"/>
    <n v="6335"/>
    <x v="378"/>
    <s v="ARANDELA EST INT CDIZO RT/RTLO TODAS"/>
    <n v="3"/>
    <n v="89700"/>
    <s v="CENTRO AUTOMOTOR DIESEL S.A CENTRODIESEL"/>
    <s v="JHIRA ALEXANDRA ARANGO RIVERA"/>
    <n v="10"/>
    <s v="OCTUBRE"/>
  </r>
  <r>
    <n v="2025"/>
    <s v="28/10/2025"/>
    <s v="RMC"/>
    <n v="6335"/>
    <x v="302"/>
    <s v="PIÑA CDIZO 14/16"/>
    <n v="1"/>
    <n v="82100"/>
    <s v="CENTRO AUTOMOTOR DIESEL S.A CENTRODIESEL"/>
    <s v="JHIRA ALEXANDRA ARANGO RIVERA"/>
    <n v="10"/>
    <s v="OCTUBRE"/>
  </r>
  <r>
    <n v="2025"/>
    <s v="28/10/2025"/>
    <s v="RMC"/>
    <n v="6335"/>
    <x v="225"/>
    <s v="KIT DE REPARACION MENOR DRIVE MASTER"/>
    <n v="1"/>
    <n v="398913"/>
    <s v="CENTRO AUTOMOTOR DIESEL S.A CENTRODIESEL"/>
    <s v="JHIRA ALEXANDRA ARANGO RIVERA"/>
    <n v="10"/>
    <s v="OCTUBRE"/>
  </r>
  <r>
    <n v="2025"/>
    <s v="28/10/2025"/>
    <s v="RMC"/>
    <n v="6335"/>
    <x v="216"/>
    <s v="SINCRONIZADOR (JGO X 5) TODAS PATA GRUES"/>
    <n v="1"/>
    <n v="313400"/>
    <s v="CENTRO AUTOMOTOR DIESEL S.A CENTRODIESEL"/>
    <s v="JHIRA ALEXANDRA ARANGO RIVERA"/>
    <n v="10"/>
    <s v="OCTUBRE"/>
  </r>
  <r>
    <n v="2025"/>
    <s v="28/10/2025"/>
    <s v="RMC"/>
    <n v="6335"/>
    <x v="379"/>
    <s v="DESFOGUE DIFERENCIAL 160 CON MANGUERA"/>
    <n v="1"/>
    <n v="38485"/>
    <s v="CENTRO AUTOMOTOR DIESEL S.A CENTRODIESEL"/>
    <s v="JHIRA ALEXANDRA ARANGO RIVERA"/>
    <n v="10"/>
    <s v="OCTUBRE"/>
  </r>
  <r>
    <n v="2025"/>
    <s v="28/10/2025"/>
    <s v="RMC"/>
    <n v="6335"/>
    <x v="380"/>
    <s v="EMPAQUE DE L TAPA 4302320 FR/FRO 918-915"/>
    <n v="2"/>
    <n v="30146"/>
    <s v="CENTRO AUTOMOTOR DIESEL S.A CENTRODIESEL"/>
    <s v="JHIRA ALEXANDRA ARANGO RIVERA"/>
    <n v="10"/>
    <s v="OCTUBRE"/>
  </r>
  <r>
    <n v="2025"/>
    <s v="28/10/2025"/>
    <s v="RMC"/>
    <n v="6335"/>
    <x v="284"/>
    <s v="EJE TOMA 2&quot; 14915/16918/8709B"/>
    <n v="1"/>
    <n v="220500"/>
    <s v="CENTRO AUTOMOTOR DIESEL S.A CENTRODIESEL"/>
    <s v="JHIRA ALEXANDRA ARANGO RIVERA"/>
    <n v="10"/>
    <s v="OCTUBRE"/>
  </r>
  <r>
    <n v="2025"/>
    <s v="15/07/2025"/>
    <s v="RMC"/>
    <n v="6160"/>
    <x v="203"/>
    <s v="SET ROD Y PISTA3782/3720 TRAS TREN FIJO"/>
    <n v="2"/>
    <n v="199200"/>
    <s v="CENTRO AUTOMOTOR DIESEL S.A CENTRODIESEL"/>
    <s v="JHIRA ALEXANDRA ARANGO RIVERA"/>
    <n v="7"/>
    <s v="JULIO"/>
  </r>
  <r>
    <n v="2025"/>
    <s v="06/10/2025"/>
    <s v="RMC"/>
    <n v="6288"/>
    <x v="381"/>
    <s v="AMORTIGUADOR TRAILER TRASERO. RANDOM (G)"/>
    <n v="3"/>
    <n v="1143000"/>
    <s v="TRANSPORTES Y SERVICIOS TRANSER SAS"/>
    <s v="JONATHAN PAEZ PEDRAZA"/>
    <n v="10"/>
    <s v="OCTUBRE"/>
  </r>
  <r>
    <n v="2025"/>
    <s v="06/10/2025"/>
    <s v="RMC"/>
    <n v="6288"/>
    <x v="104"/>
    <s v="SHIMS SPLINDER 328349  A= 0.70"/>
    <n v="2"/>
    <n v="3200"/>
    <s v="TRANSPORTES Y SERVICIOS TRANSER SAS"/>
    <s v="JONATHAN PAEZ PEDRAZA"/>
    <n v="10"/>
    <s v="OCTUBRE"/>
  </r>
  <r>
    <n v="2025"/>
    <s v="10/06/2025"/>
    <s v="RMC"/>
    <n v="6099"/>
    <x v="251"/>
    <s v="BALINERA 14 BALINES (212) 1212 REFORZADA"/>
    <n v="1"/>
    <n v="103152"/>
    <s v="CENTRO AUTOMOTOR DIESEL S.A CENTRODIESEL"/>
    <s v="DANIELA ALEJANDRA LEON VARGAS"/>
    <n v="6"/>
    <s v="JUNIO"/>
  </r>
  <r>
    <n v="2025"/>
    <s v="16/04/2025"/>
    <s v="RMC"/>
    <n v="6011"/>
    <x v="382"/>
    <s v="TAPA EJE DE TOMA FO-16E318B-MXP"/>
    <n v="1"/>
    <n v="71300"/>
    <s v="CENTRO AUTOMOTOR DIESEL S.A CENTRODIESEL"/>
    <s v="DANIELA ALEJANDRA LEON VARGAS"/>
    <n v="4"/>
    <s v="ABRIL"/>
  </r>
  <r>
    <n v="2025"/>
    <s v="21/08/2025"/>
    <s v="RMC"/>
    <n v="6225"/>
    <x v="375"/>
    <s v="CAUCHO TAPA DIVISOR"/>
    <n v="4"/>
    <n v="36064"/>
    <s v="CENTRO AUTOMOTOR DIESEL S.A CENTRODIESEL"/>
    <s v="JHIRA ALEXANDRA ARANGO RIVERA"/>
    <n v="8"/>
    <s v="AGOSTO"/>
  </r>
  <r>
    <n v="2025"/>
    <s v="04/08/2025"/>
    <s v="RMC"/>
    <n v="6198"/>
    <x v="380"/>
    <s v="EMPAQUE DE L TAPA 4302320 FR/FRO 918-915"/>
    <n v="1"/>
    <n v="14700"/>
    <s v="CENTRO AUTOMOTOR DIESEL S.A CENTRODIESEL"/>
    <s v="JHIRA ALEXANDRA ARANGO RIVERA"/>
    <n v="8"/>
    <s v="AGOSTO"/>
  </r>
  <r>
    <n v="2025"/>
    <s v="04/08/2025"/>
    <s v="RMC"/>
    <n v="6198"/>
    <x v="375"/>
    <s v="CAUCHO TAPA DIVISOR"/>
    <n v="1"/>
    <n v="8880"/>
    <s v="CENTRO AUTOMOTOR DIESEL S.A CENTRODIESEL"/>
    <s v="JHIRA ALEXANDRA ARANGO RIVERA"/>
    <n v="8"/>
    <s v="AGOSTO"/>
  </r>
  <r>
    <n v="2025"/>
    <s v="04/08/2025"/>
    <s v="RMC"/>
    <n v="6198"/>
    <x v="193"/>
    <s v="FRENO EMBRAGUE 2&quot;"/>
    <n v="1"/>
    <n v="105900"/>
    <s v="CENTRO AUTOMOTOR DIESEL S.A CENTRODIESEL"/>
    <s v="JHIRA ALEXANDRA ARANGO RIVERA"/>
    <n v="8"/>
    <s v="AGOSTO"/>
  </r>
  <r>
    <n v="2025"/>
    <s v="04/08/2025"/>
    <s v="RMC"/>
    <n v="6198"/>
    <x v="269"/>
    <s v="ARANDELA PLANETARIO 46160"/>
    <n v="1"/>
    <n v="16900"/>
    <s v="CENTRO AUTOMOTOR DIESEL S.A CENTRODIESEL"/>
    <s v="JHIRA ALEXANDRA ARANGO RIVERA"/>
    <n v="8"/>
    <s v="AGOSTO"/>
  </r>
  <r>
    <n v="2025"/>
    <s v="04/08/2025"/>
    <s v="RMC"/>
    <n v="6198"/>
    <x v="120"/>
    <s v="ARANDELA SATELITE DIVISOR 46160"/>
    <n v="2"/>
    <n v="11000"/>
    <s v="CENTRO AUTOMOTOR DIESEL S.A CENTRODIESEL"/>
    <s v="JHIRA ALEXANDRA ARANGO RIVERA"/>
    <n v="8"/>
    <s v="AGOSTO"/>
  </r>
  <r>
    <n v="2025"/>
    <s v="02/05/2025"/>
    <s v="RMC"/>
    <n v="6036"/>
    <x v="219"/>
    <s v="RACHE FRENO MEC. 1-1/2&quot;28E"/>
    <n v="4"/>
    <n v="360000"/>
    <s v="IMPOCOMA S.A.S"/>
    <s v="FABIO DAVID FORERO RUIZ"/>
    <n v="5"/>
    <s v="MAYO"/>
  </r>
  <r>
    <n v="2025"/>
    <s v="15/12/2025"/>
    <s v="RMC"/>
    <n v="6412"/>
    <x v="383"/>
    <s v="RETENEDOR EJE DELANTERO"/>
    <n v="30"/>
    <n v="1743150"/>
    <s v="CEMEX COLOMBIA S.A."/>
    <s v="YASMID DEL PILAR URIBE DELGADO"/>
    <n v="12"/>
    <s v="DICIEMBRE"/>
  </r>
  <r>
    <n v="2025"/>
    <s v="15/12/2025"/>
    <s v="RMC"/>
    <n v="6412"/>
    <x v="267"/>
    <s v="BALINERA TRASERA EJE FAN CLUTCH BORGWARN"/>
    <n v="25"/>
    <n v="198450"/>
    <s v="CEMEX COLOMBIA S.A."/>
    <s v="YASMID DEL PILAR URIBE DELGADO"/>
    <n v="12"/>
    <s v="DICIEMBRE"/>
  </r>
  <r>
    <n v="2025"/>
    <s v="15/12/2025"/>
    <s v="RMC"/>
    <n v="6412"/>
    <x v="224"/>
    <s v="JUEGO CHAPETA (JGOX2) SPL170"/>
    <n v="30"/>
    <n v="1841190"/>
    <s v="CEMEX COLOMBIA S.A."/>
    <s v="YASMID DEL PILAR URIBE DELGADO"/>
    <n v="12"/>
    <s v="DICIEMBRE"/>
  </r>
  <r>
    <n v="2025"/>
    <s v="15/12/2025"/>
    <s v="RMC"/>
    <n v="6412"/>
    <x v="384"/>
    <s v="KIT DE REPARACIÓN VALVULA RELAY R12 y R14"/>
    <n v="7"/>
    <n v="651000"/>
    <s v="CEMEX COLOMBIA S.A."/>
    <s v="YASMID DEL PILAR URIBE DELGADO"/>
    <n v="12"/>
    <s v="DICIEMBRE"/>
  </r>
  <r>
    <n v="2025"/>
    <s v="15/12/2025"/>
    <s v="RMC"/>
    <n v="6412"/>
    <x v="385"/>
    <s v="KIT REPARACION RODAJAS Y RESORTE FRE DEL"/>
    <n v="40"/>
    <n v="2600000"/>
    <s v="CEMEX COLOMBIA S.A."/>
    <s v="YASMID DEL PILAR URIBE DELGADO"/>
    <n v="12"/>
    <s v="DICIEMBRE"/>
  </r>
  <r>
    <n v="2025"/>
    <s v="15/12/2025"/>
    <s v="RMC"/>
    <n v="6412"/>
    <x v="188"/>
    <s v="AMORT KW T800 DELT. MD 2006 Y SIGUIENTES"/>
    <n v="4"/>
    <n v="840000"/>
    <s v="CEMEX COLOMBIA S.A."/>
    <s v="YASMID DEL PILAR URIBE DELGADO"/>
    <n v="12"/>
    <s v="DICIEMBRE"/>
  </r>
  <r>
    <n v="2025"/>
    <s v="15/12/2025"/>
    <s v="RMC"/>
    <n v="6412"/>
    <x v="386"/>
    <s v="KIT REPAR RODAJAS Y RESORT FRENO KW ETN"/>
    <n v="6"/>
    <n v="198000"/>
    <s v="CEMEX COLOMBIA S.A."/>
    <s v="YASMID DEL PILAR URIBE DELGADO"/>
    <n v="12"/>
    <s v="DICIEMBRE"/>
  </r>
  <r>
    <n v="2025"/>
    <s v="15/12/2025"/>
    <s v="RMC"/>
    <n v="6412"/>
    <x v="36"/>
    <s v="VALVULA REG DE SILLA BOTON ROJA"/>
    <n v="2"/>
    <n v="72520"/>
    <s v="CEMEX COLOMBIA S.A."/>
    <s v="YASMID DEL PILAR URIBE DELGADO"/>
    <n v="12"/>
    <s v="DICIEMBRE"/>
  </r>
  <r>
    <n v="2025"/>
    <s v="15/12/2025"/>
    <s v="RMC"/>
    <n v="6412"/>
    <x v="387"/>
    <s v="KIT REPARACIÓN VALVULA FRENO AD-IS"/>
    <n v="4"/>
    <n v="260000"/>
    <s v="CEMEX COLOMBIA S.A."/>
    <s v="YASMID DEL PILAR URIBE DELGADO"/>
    <n v="12"/>
    <s v="DICIEMBRE"/>
  </r>
  <r>
    <n v="2025"/>
    <s v="15/12/2025"/>
    <s v="RMC"/>
    <n v="6412"/>
    <x v="388"/>
    <s v="CORREA ACANAL P/ALTERN POLY-V. MACK2005,KENWORTH2003MOTOR CUMMINS T800MOTOR ROJO"/>
    <n v="1"/>
    <n v="60000"/>
    <s v="CEMEX COLOMBIA S.A."/>
    <s v="YASMID DEL PILAR URIBE DELGADO"/>
    <n v="12"/>
    <s v="DICIEMBRE"/>
  </r>
  <r>
    <n v="2025"/>
    <s v="15/12/2025"/>
    <s v="RMC"/>
    <n v="6412"/>
    <x v="389"/>
    <s v="HORQUILLA BAJO 16918"/>
    <n v="2"/>
    <n v="530000"/>
    <s v="CEMEX COLOMBIA S.A."/>
    <s v="YASMID DEL PILAR URIBE DELGADO"/>
    <n v="12"/>
    <s v="DICIEMBRE"/>
  </r>
  <r>
    <n v="2025"/>
    <s v="15/12/2025"/>
    <s v="RMC"/>
    <n v="6412"/>
    <x v="300"/>
    <s v="TUERCA EJE MONO 14915/16915/11210BYC/169"/>
    <n v="6"/>
    <n v="468000"/>
    <s v="CEMEX COLOMBIA S.A."/>
    <s v="YASMID DEL PILAR URIBE DELGADO"/>
    <n v="12"/>
    <s v="DICIEMBRE"/>
  </r>
  <r>
    <n v="2025"/>
    <s v="15/12/2025"/>
    <s v="RMC"/>
    <n v="6412"/>
    <x v="316"/>
    <s v="ARANDELA EST INT CDIZO- BLANCA // 249MM"/>
    <n v="3"/>
    <n v="105000"/>
    <s v="CEMEX COLOMBIA S.A."/>
    <s v="YASMID DEL PILAR URIBE DELGADO"/>
    <n v="12"/>
    <s v="DICIEMBRE"/>
  </r>
  <r>
    <n v="2025"/>
    <s v="15/12/2025"/>
    <s v="RMC"/>
    <n v="6412"/>
    <x v="390"/>
    <s v="CRUCETA 19.5CM SERIE 1810"/>
    <n v="6"/>
    <n v="846000"/>
    <s v="CEMEX COLOMBIA S.A."/>
    <s v="YASMID DEL PILAR URIBE DELGADO"/>
    <n v="12"/>
    <s v="DICIEMBRE"/>
  </r>
  <r>
    <n v="2025"/>
    <s v="15/12/2025"/>
    <s v="RMC"/>
    <n v="6412"/>
    <x v="391"/>
    <s v="KIT RODAMIENTO 16918"/>
    <n v="4"/>
    <n v="8428000"/>
    <s v="CEMEX COLOMBIA S.A."/>
    <s v="YASMID DEL PILAR URIBE DELGADO"/>
    <n v="12"/>
    <s v="DICIEMBRE"/>
  </r>
  <r>
    <n v="2025"/>
    <s v="15/12/2025"/>
    <s v="RMC"/>
    <n v="6412"/>
    <x v="254"/>
    <s v="PIÑÓN CENT 918"/>
    <n v="1"/>
    <n v="446767"/>
    <s v="CEMEX COLOMBIA S.A."/>
    <s v="YASMID DEL PILAR URIBE DELGADO"/>
    <n v="12"/>
    <s v="DICIEMBRE"/>
  </r>
  <r>
    <n v="2025"/>
    <s v="15/12/2025"/>
    <s v="RMC"/>
    <n v="6412"/>
    <x v="392"/>
    <s v="CÁMARA DE FRENO DE SERVICIO TIPO 24 CON CONJUNTO DE HORQUILLA"/>
    <n v="1"/>
    <n v="60000"/>
    <s v="CEMEX COLOMBIA S.A."/>
    <s v="YASMID DEL PILAR URIBE DELGADO"/>
    <n v="12"/>
    <s v="DICIEMBRE"/>
  </r>
  <r>
    <n v="2025"/>
    <s v="15/12/2025"/>
    <s v="RMC"/>
    <n v="6412"/>
    <x v="393"/>
    <s v="CÁMARA DE FRENO DE RESORTE TIPO 30/30 REPARABLE  CON CONJUNTO DE HORQUILLA"/>
    <n v="60"/>
    <n v="7920000"/>
    <s v="CEMEX COLOMBIA S.A."/>
    <s v="YASMID DEL PILAR URIBE DELGADO"/>
    <n v="12"/>
    <s v="DICIEMBRE"/>
  </r>
  <r>
    <n v="2025"/>
    <s v="29/08/2025"/>
    <s v="RMC"/>
    <n v="6234"/>
    <x v="88"/>
    <s v="TAPA GRASERA.EJE DELANTERO EN PLASTICO"/>
    <n v="2"/>
    <n v="150000"/>
    <s v="CENTRO AUTOMOTOR DIESEL S.A CENTRODIESEL"/>
    <s v="JHIRA ALEXANDRA ARANGO RIVERA"/>
    <n v="8"/>
    <s v="AGOSTO"/>
  </r>
  <r>
    <n v="2025"/>
    <s v="29/08/2025"/>
    <s v="RMC"/>
    <n v="6234"/>
    <x v="211"/>
    <s v="AMORTIGU KW TRAS SUSP NEUM 8 BOLSA HEMBR"/>
    <n v="2"/>
    <n v="593820"/>
    <s v="CENTRO AUTOMOTOR DIESEL S.A CENTRODIESEL"/>
    <s v="JHIRA ALEXANDRA ARANGO RIVERA"/>
    <n v="8"/>
    <s v="AGOSTO"/>
  </r>
  <r>
    <n v="2025"/>
    <s v="29/08/2025"/>
    <s v="RMC"/>
    <n v="6234"/>
    <x v="120"/>
    <s v="ARANDELA SATELITE DIVISOR 46160"/>
    <n v="2"/>
    <n v="11476"/>
    <s v="CENTRO AUTOMOTOR DIESEL S.A CENTRODIESEL"/>
    <s v="JHIRA ALEXANDRA ARANGO RIVERA"/>
    <n v="8"/>
    <s v="AGOSTO"/>
  </r>
  <r>
    <n v="2025"/>
    <s v="03/09/2025"/>
    <s v="RMC"/>
    <n v="6237"/>
    <x v="212"/>
    <s v="RACOR/CODO"/>
    <n v="1"/>
    <n v="21000"/>
    <s v="TRANSPORTES Y SERVICIOS TRANSER SAS"/>
    <s v="JONATHAN PAEZ PEDRAZA"/>
    <n v="9"/>
    <s v="SEPTIEMBRE"/>
  </r>
  <r>
    <n v="2025"/>
    <s v="03/09/2025"/>
    <s v="RMC"/>
    <n v="6237"/>
    <x v="233"/>
    <s v="SILLIN P/HAS 460 TRASERO RYL"/>
    <n v="1"/>
    <n v="440000"/>
    <s v="TRANSPORTES Y SERVICIOS TRANSER SAS"/>
    <s v="JONATHAN PAEZ PEDRAZA"/>
    <n v="9"/>
    <s v="SEPTIEMBRE"/>
  </r>
  <r>
    <n v="2025"/>
    <s v="03/09/2025"/>
    <s v="RMC"/>
    <n v="6237"/>
    <x v="236"/>
    <s v="REGISTRO PASO COMBUSTIBLE CUMMINS 350/40"/>
    <n v="2"/>
    <n v="98000"/>
    <s v="TRANSPORTES Y SERVICIOS TRANSER SAS"/>
    <s v="JONATHAN PAEZ PEDRAZA"/>
    <n v="9"/>
    <s v="SEPTIEMBRE"/>
  </r>
  <r>
    <n v="2025"/>
    <s v="03/09/2025"/>
    <s v="RMC"/>
    <n v="6237"/>
    <x v="394"/>
    <s v="KIT REPARACION PISTON + ANILLOS + BIELA"/>
    <n v="1"/>
    <n v="384000"/>
    <s v="TRANSPORTES Y SERVICIOS TRANSER SAS"/>
    <s v="JONATHAN PAEZ PEDRAZA"/>
    <n v="9"/>
    <s v="SEPTIEMBRE"/>
  </r>
  <r>
    <n v="2025"/>
    <s v="03/09/2025"/>
    <s v="RMC"/>
    <n v="6237"/>
    <x v="395"/>
    <s v="BOLSA CABINA PROSTAR"/>
    <n v="1"/>
    <n v="155000"/>
    <s v="TRANSPORTES Y SERVICIOS TRANSER SAS"/>
    <s v="JONATHAN PAEZ PEDRAZA"/>
    <n v="9"/>
    <s v="SEPTIEMBRE"/>
  </r>
  <r>
    <n v="2025"/>
    <s v="03/09/2025"/>
    <s v="RMC"/>
    <n v="6237"/>
    <x v="170"/>
    <s v="BUJE COMPRESOR ALTO ISX"/>
    <n v="1"/>
    <n v="95000"/>
    <s v="TRANSPORTES Y SERVICIOS TRANSER SAS"/>
    <s v="JONATHAN PAEZ PEDRAZA"/>
    <n v="9"/>
    <s v="SEPTIEMBRE"/>
  </r>
  <r>
    <n v="2025"/>
    <s v="18/09/2025"/>
    <s v="RMC"/>
    <n v="6262"/>
    <x v="396"/>
    <s v="KIT EMPAQUES MONO CHIP"/>
    <n v="1"/>
    <n v="57000"/>
    <s v="TRANSPORTES Y SERVICIOS TRANSER SAS"/>
    <s v="JONATHAN PAEZ PEDRAZA"/>
    <n v="9"/>
    <s v="SEPTIEMBRE"/>
  </r>
  <r>
    <n v="2025"/>
    <s v="18/09/2025"/>
    <s v="RMC"/>
    <n v="6262"/>
    <x v="248"/>
    <s v="DISCO 15/2 7 RESORTES 4 TACOS"/>
    <n v="2"/>
    <n v="960000"/>
    <s v="TRANSPORTES Y SERVICIOS TRANSER SAS"/>
    <s v="JONATHAN PAEZ PEDRAZA"/>
    <n v="9"/>
    <s v="SEPTIEMBRE"/>
  </r>
  <r>
    <n v="2025"/>
    <s v="18/09/2025"/>
    <s v="RMC"/>
    <n v="6262"/>
    <x v="397"/>
    <s v="LEVA DE FRENO 28E DE 1 1/2&quot; PARA TRAILER"/>
    <n v="2"/>
    <n v="276000"/>
    <s v="TRANSPORTES Y SERVICIOS TRANSER SAS"/>
    <s v="JONATHAN PAEZ PEDRAZA"/>
    <n v="9"/>
    <s v="SEPTIEMBRE"/>
  </r>
  <r>
    <n v="2025"/>
    <s v="21/11/2025"/>
    <s v="RMC"/>
    <n v="6369"/>
    <x v="234"/>
    <s v="FILTRO PRIMARIO COMBUSTIBLE PARA MOTORES CUMMINS 6CT, ISC,ISL"/>
    <n v="3"/>
    <n v="104400"/>
    <s v="CEMEX COLOMBIA S.A."/>
    <s v="YASMID DEL PILAR URIBE DELGADO"/>
    <n v="11"/>
    <s v="NOVIEMBRE"/>
  </r>
  <r>
    <n v="2025"/>
    <s v="09/12/2025"/>
    <s v="RMC"/>
    <n v="6396"/>
    <x v="398"/>
    <s v="TAPA NEGRA DEFENDER  PASTA 5 1/2&quot; GRANDE"/>
    <n v="1"/>
    <n v="64000"/>
    <s v="TRANSPORTES Y SERVICIOS TRANSER SAS"/>
    <s v="JONATHAN PAEZ PEDRAZA"/>
    <n v="12"/>
    <s v="DICIEMBRE"/>
  </r>
  <r>
    <n v="2025"/>
    <s v="09/12/2025"/>
    <s v="RMC"/>
    <n v="6396"/>
    <x v="399"/>
    <s v="VALVULA NIVELADORA TANQUE COMBUSTIBLE"/>
    <n v="1"/>
    <n v="90000"/>
    <s v="TRANSPORTES Y SERVICIOS TRANSER SAS"/>
    <s v="JONATHAN PAEZ PEDRAZA"/>
    <n v="12"/>
    <s v="DICIEMBRE"/>
  </r>
  <r>
    <n v="2025"/>
    <s v="09/12/2025"/>
    <s v="RMC"/>
    <n v="6396"/>
    <x v="138"/>
    <s v="ABRAZADERA EXOSTO 5&quot;"/>
    <n v="3"/>
    <n v="141000"/>
    <s v="TRANSPORTES Y SERVICIOS TRANSER SAS"/>
    <s v="JONATHAN PAEZ PEDRAZA"/>
    <n v="12"/>
    <s v="DICIEMBRE"/>
  </r>
  <r>
    <n v="2025"/>
    <s v="09/12/2025"/>
    <s v="RMC"/>
    <n v="6396"/>
    <x v="283"/>
    <s v="BOLSA TAN 10.12ANx6.20CCx22AL+1T"/>
    <n v="1"/>
    <n v="460000"/>
    <s v="TRANSPORTES Y SERVICIOS TRANSER SAS"/>
    <s v="JONATHAN PAEZ PEDRAZA"/>
    <n v="12"/>
    <s v="DICIEMBRE"/>
  </r>
  <r>
    <n v="2025"/>
    <s v="09/12/2025"/>
    <s v="RMC"/>
    <n v="6396"/>
    <x v="400"/>
    <s v="BOLSA TAN 9.12ANxA1E1&quot;5/16x11.80AL+1T BR"/>
    <n v="2"/>
    <n v="890000"/>
    <s v="TRANSPORTES Y SERVICIOS TRANSER SAS"/>
    <s v="JONATHAN PAEZ PEDRAZA"/>
    <n v="12"/>
    <s v="DICIEMBRE"/>
  </r>
  <r>
    <n v="2025"/>
    <s v="09/12/2025"/>
    <s v="RMC"/>
    <n v="6396"/>
    <x v="293"/>
    <s v="CORBATIN SUSPENSION NEUMATICA KENWORTH"/>
    <n v="1"/>
    <n v="120000"/>
    <s v="TRANSPORTES Y SERVICIOS TRANSER SAS"/>
    <s v="JONATHAN PAEZ PEDRAZA"/>
    <n v="12"/>
    <s v="DICIEMBRE"/>
  </r>
  <r>
    <n v="2025"/>
    <s v="09/12/2025"/>
    <s v="RMC"/>
    <n v="6396"/>
    <x v="259"/>
    <s v="JUEGO CHAPETA SPL250 (JGOX6)"/>
    <n v="3"/>
    <n v="189000"/>
    <s v="TRANSPORTES Y SERVICIOS TRANSER SAS"/>
    <s v="JONATHAN PAEZ PEDRAZA"/>
    <n v="12"/>
    <s v="DICIEMBRE"/>
  </r>
  <r>
    <n v="2025"/>
    <s v="09/12/2025"/>
    <s v="RMC"/>
    <n v="6396"/>
    <x v="328"/>
    <s v="CRUCETA 6,417 (6&quot;13/32 APROX)DADO 2362&quot;"/>
    <n v="2"/>
    <n v="1060000"/>
    <s v="TRANSPORTES Y SERVICIOS TRANSER SAS"/>
    <s v="JONATHAN PAEZ PEDRAZA"/>
    <n v="12"/>
    <s v="DICIEMBRE"/>
  </r>
  <r>
    <n v="2025"/>
    <s v="09/12/2025"/>
    <s v="RMC"/>
    <n v="6396"/>
    <x v="224"/>
    <s v="JUEGO CHAPETA (JGOX2) SPL170"/>
    <n v="2"/>
    <n v="130000"/>
    <s v="TRANSPORTES Y SERVICIOS TRANSER SAS"/>
    <s v="JONATHAN PAEZ PEDRAZA"/>
    <n v="12"/>
    <s v="DICIEMBRE"/>
  </r>
  <r>
    <n v="2025"/>
    <s v="09/12/2025"/>
    <s v="RMC"/>
    <n v="6396"/>
    <x v="351"/>
    <s v="CRUCETA 6,456 DADO 2165 (2 5/32&quot; APROX)"/>
    <n v="2"/>
    <n v="920000"/>
    <s v="TRANSPORTES Y SERVICIOS TRANSER SAS"/>
    <s v="JONATHAN PAEZ PEDRAZA"/>
    <n v="12"/>
    <s v="DICIEMBRE"/>
  </r>
  <r>
    <n v="2025"/>
    <s v="09/12/2025"/>
    <s v="RMC"/>
    <n v="6396"/>
    <x v="193"/>
    <s v="FRENO EMBRAGUE 2&quot;"/>
    <n v="1"/>
    <n v="97000"/>
    <s v="TRANSPORTES Y SERVICIOS TRANSER SAS"/>
    <s v="JONATHAN PAEZ PEDRAZA"/>
    <n v="12"/>
    <s v="DICIEMBRE"/>
  </r>
  <r>
    <n v="2025"/>
    <s v="09/12/2025"/>
    <s v="RMC"/>
    <n v="6396"/>
    <x v="49"/>
    <s v="KIT BUJE Y PASADO (JGOX2)TODAS CON HUECO"/>
    <n v="1"/>
    <n v="34000"/>
    <s v="TRANSPORTES Y SERVICIOS TRANSER SAS"/>
    <s v="JONATHAN PAEZ PEDRAZA"/>
    <n v="12"/>
    <s v="DICIEMBRE"/>
  </r>
  <r>
    <n v="2025"/>
    <s v="09/12/2025"/>
    <s v="RMC"/>
    <n v="6396"/>
    <x v="401"/>
    <s v="KIT CAUCHO TAPA BARRA  TODAS"/>
    <n v="1"/>
    <n v="18000"/>
    <s v="TRANSPORTES Y SERVICIOS TRANSER SAS"/>
    <s v="JONATHAN PAEZ PEDRAZA"/>
    <n v="12"/>
    <s v="DICIEMBRE"/>
  </r>
  <r>
    <n v="2025"/>
    <s v="09/12/2025"/>
    <s v="RMC"/>
    <n v="6396"/>
    <x v="301"/>
    <s v="TAPA CARCASA MONO 14718/918"/>
    <n v="1"/>
    <n v="240000"/>
    <s v="TRANSPORTES Y SERVICIOS TRANSER SAS"/>
    <s v="JONATHAN PAEZ PEDRAZA"/>
    <n v="12"/>
    <s v="DICIEMBRE"/>
  </r>
  <r>
    <n v="2025"/>
    <s v="09/12/2025"/>
    <s v="RMC"/>
    <n v="6396"/>
    <x v="308"/>
    <s v="TAPON IMAN LLENADO ACEITE 1 1/16&quot; CON OR"/>
    <n v="1"/>
    <n v="17500"/>
    <s v="TRANSPORTES Y SERVICIOS TRANSER SAS"/>
    <s v="JONATHAN PAEZ PEDRAZA"/>
    <n v="12"/>
    <s v="DICIEMBRE"/>
  </r>
  <r>
    <n v="2025"/>
    <s v="09/12/2025"/>
    <s v="RMC"/>
    <n v="6396"/>
    <x v="402"/>
    <s v="RETEN EJE DE SALIDA DP46"/>
    <n v="2"/>
    <n v="256000"/>
    <s v="TRANSPORTES Y SERVICIOS TRANSER SAS"/>
    <s v="JONATHAN PAEZ PEDRAZA"/>
    <n v="12"/>
    <s v="DICIEMBRE"/>
  </r>
  <r>
    <n v="2025"/>
    <s v="09/12/2025"/>
    <s v="RMC"/>
    <n v="6396"/>
    <x v="403"/>
    <s v="RETEN EJE DIVISOR 46ML C/BAJO Y PLANO"/>
    <n v="1"/>
    <n v="155000"/>
    <s v="TRANSPORTES Y SERVICIOS TRANSER SAS"/>
    <s v="JONATHAN PAEZ PEDRAZA"/>
    <n v="12"/>
    <s v="DICIEMBRE"/>
  </r>
  <r>
    <n v="2025"/>
    <s v="09/12/2025"/>
    <s v="RMC"/>
    <n v="6396"/>
    <x v="68"/>
    <s v="PERA/SENSOR TEMPER. Y DIFEREN. TRANSM."/>
    <n v="1"/>
    <n v="45000"/>
    <s v="TRANSPORTES Y SERVICIOS TRANSER SAS"/>
    <s v="JONATHAN PAEZ PEDRAZA"/>
    <n v="12"/>
    <s v="DICIEMBRE"/>
  </r>
  <r>
    <n v="2025"/>
    <s v="09/12/2025"/>
    <s v="RMC"/>
    <n v="6396"/>
    <x v="219"/>
    <s v="RACHE FRENO MEC. 1-1/2&quot;28E"/>
    <n v="3"/>
    <n v="246000"/>
    <s v="TRANSPORTES Y SERVICIOS TRANSER SAS"/>
    <s v="JONATHAN PAEZ PEDRAZA"/>
    <n v="12"/>
    <s v="DICIEMBRE"/>
  </r>
  <r>
    <n v="2025"/>
    <s v="09/12/2025"/>
    <s v="RMC"/>
    <n v="6396"/>
    <x v="386"/>
    <s v="KIT REPAR RODAJAS Y RESORT FRENO KW ETN"/>
    <n v="5"/>
    <n v="150000"/>
    <s v="TRANSPORTES Y SERVICIOS TRANSER SAS"/>
    <s v="JONATHAN PAEZ PEDRAZA"/>
    <n v="12"/>
    <s v="DICIEMBRE"/>
  </r>
  <r>
    <n v="2025"/>
    <s v="18/09/2025"/>
    <s v="RMC"/>
    <n v="6262"/>
    <x v="197"/>
    <s v="PERNO TRAILER HIDROAMERICA M22 X 4-7/8"/>
    <n v="11"/>
    <n v="418000"/>
    <s v="TRANSPORTES Y SERVICIOS TRANSER SAS"/>
    <s v="JONATHAN PAEZ PEDRAZA"/>
    <n v="9"/>
    <s v="SEPTIEMBRE"/>
  </r>
  <r>
    <n v="2025"/>
    <s v="28/07/2025"/>
    <s v="RMC"/>
    <n v="6188"/>
    <x v="232"/>
    <s v="PIN TORNILLOS CRUCETA"/>
    <n v="20"/>
    <n v="24000"/>
    <s v="TRANSPORTES Y SERVICIOS TRANSER SAS"/>
    <s v="JONATHAN PAEZ PEDRAZA"/>
    <n v="7"/>
    <s v="JULIO"/>
  </r>
  <r>
    <n v="2025"/>
    <s v="26/12/2025"/>
    <s v="RMC"/>
    <n v="6422"/>
    <x v="404"/>
    <s v="TEFLON SUSPENSIÓN HOJA ZETA"/>
    <n v="3"/>
    <n v="123000"/>
    <s v="TRANSPORTES Y SERVICIOS TRANSER SAS"/>
    <s v="JONATHAN PAEZ PEDRAZA"/>
    <n v="12"/>
    <s v="DICIEMBRE"/>
  </r>
  <r>
    <n v="2025"/>
    <s v="29/10/2025"/>
    <s v="RMC"/>
    <n v="6337"/>
    <x v="405"/>
    <s v="AMORTIGUADOR DELANTERO KODIAK"/>
    <n v="2"/>
    <n v="380000"/>
    <s v="EMPRESA DE DISTRIBUCIONES INDUSTRIALES S.A.S."/>
    <s v="WILLIAM DUVAN REYES DIAZ"/>
    <n v="10"/>
    <s v="OCTUBRE"/>
  </r>
  <r>
    <n v="2025"/>
    <s v="22/10/2025"/>
    <s v="RMC"/>
    <n v="6327"/>
    <x v="118"/>
    <s v="ARANDELA CONCENTRICA ALINEACION BRONCE"/>
    <n v="2"/>
    <n v="152232"/>
    <s v="EMPRESA DE DISTRIBUCIONES INDUSTRIALES S.A.S."/>
    <s v="WILLIAM DUVAN REYES DIAZ"/>
    <n v="10"/>
    <s v="OCTUBRE"/>
  </r>
  <r>
    <n v="2025"/>
    <s v="22/10/2025"/>
    <s v="RMC"/>
    <n v="6327"/>
    <x v="406"/>
    <s v="SINCRO REVSA Y 1RA FS6305 MIXTO A/B"/>
    <n v="2"/>
    <n v="1486464"/>
    <s v="EMPRESA DE DISTRIBUCIONES INDUSTRIALES S.A.S."/>
    <s v="WILLIAM DUVAN REYES DIAZ"/>
    <n v="10"/>
    <s v="OCTUBRE"/>
  </r>
  <r>
    <n v="2025"/>
    <s v="02/05/2025"/>
    <s v="RMC"/>
    <n v="6035"/>
    <x v="16"/>
    <s v="JUEGO CHAPETA CRUCETA 15 1/2&quot; 17 1/2&quot;"/>
    <n v="1"/>
    <n v="22049"/>
    <s v="TRANSPORTES Y SERVICIOS TRANSER SAS"/>
    <s v="JONATHAN PAEZ PEDRAZA"/>
    <n v="5"/>
    <s v="MAYO"/>
  </r>
  <r>
    <n v="2025"/>
    <s v="10/04/2025"/>
    <s v="RMC"/>
    <n v="5994"/>
    <x v="314"/>
    <s v="TUERCA SILLIN"/>
    <n v="2"/>
    <n v="17400"/>
    <s v="TRANSPORTES Y SERVICIOS TRANSER SAS"/>
    <s v="JONATHAN PAEZ PEDRAZA"/>
    <n v="4"/>
    <s v="ABRIL"/>
  </r>
  <r>
    <n v="2025"/>
    <s v="10/04/2025"/>
    <s v="RMC"/>
    <n v="5994"/>
    <x v="48"/>
    <s v="TEFLON HOJA Z"/>
    <n v="1"/>
    <n v="12000"/>
    <s v="TRANSPORTES Y SERVICIOS TRANSER SAS"/>
    <s v="JONATHAN PAEZ PEDRAZA"/>
    <n v="4"/>
    <s v="ABRIL"/>
  </r>
  <r>
    <n v="2025"/>
    <s v="10/04/2025"/>
    <s v="RMC"/>
    <n v="5994"/>
    <x v="407"/>
    <s v="SAPO TRASERO"/>
    <n v="1"/>
    <n v="744000"/>
    <s v="TRANSPORTES Y SERVICIOS TRANSER SAS"/>
    <s v="JONATHAN PAEZ PEDRAZA"/>
    <n v="4"/>
    <s v="ABRIL"/>
  </r>
  <r>
    <n v="2025"/>
    <s v="26/12/2025"/>
    <s v="RMC"/>
    <n v="6422"/>
    <x v="138"/>
    <s v="ABRAZADERA EXOSTO 5&quot;"/>
    <n v="1"/>
    <n v="47000"/>
    <s v="TRANSPORTES Y SERVICIOS TRANSER SAS"/>
    <s v="JONATHAN PAEZ PEDRAZA"/>
    <n v="12"/>
    <s v="DICIEMBRE"/>
  </r>
  <r>
    <n v="2025"/>
    <s v="26/12/2025"/>
    <s v="RMC"/>
    <n v="6422"/>
    <x v="408"/>
    <s v="PERA SENSOR TRASM. Y DIFERENCIAL 7600"/>
    <n v="3"/>
    <n v="108000"/>
    <s v="TRANSPORTES Y SERVICIOS TRANSER SAS"/>
    <s v="JONATHAN PAEZ PEDRAZA"/>
    <n v="12"/>
    <s v="DICIEMBRE"/>
  </r>
  <r>
    <n v="2025"/>
    <s v="26/12/2025"/>
    <s v="RMC"/>
    <n v="6422"/>
    <x v="68"/>
    <s v="PERA/SENSOR TEMPER. Y DIFEREN. TRANSM."/>
    <n v="2"/>
    <n v="90000"/>
    <s v="TRANSPORTES Y SERVICIOS TRANSER SAS"/>
    <s v="JONATHAN PAEZ PEDRAZA"/>
    <n v="12"/>
    <s v="DICIEMBRE"/>
  </r>
  <r>
    <n v="2025"/>
    <s v="26/12/2025"/>
    <s v="RMC"/>
    <n v="6422"/>
    <x v="1"/>
    <s v="RACHE AUTO CH CC 6&quot; TP3 1-1/2&quot;28E"/>
    <n v="2"/>
    <n v="560000"/>
    <s v="TRANSPORTES Y SERVICIOS TRANSER SAS"/>
    <s v="JONATHAN PAEZ PEDRAZA"/>
    <n v="12"/>
    <s v="DICIEMBRE"/>
  </r>
  <r>
    <n v="2025"/>
    <s v="26/12/2025"/>
    <s v="RMC"/>
    <n v="6422"/>
    <x v="386"/>
    <s v="KIT REPAR RODAJAS Y RESORT FRENO KW ETN"/>
    <n v="3"/>
    <n v="90000"/>
    <s v="TRANSPORTES Y SERVICIOS TRANSER SAS"/>
    <s v="JONATHAN PAEZ PEDRAZA"/>
    <n v="12"/>
    <s v="DICIEMBRE"/>
  </r>
  <r>
    <n v="2025"/>
    <s v="09/12/2025"/>
    <s v="RMC"/>
    <n v="6397"/>
    <x v="409"/>
    <s v="BOCIN DISCO 10 HUECOS TRAILER REMOLQU"/>
    <n v="1"/>
    <n v="650000"/>
    <s v="TRANSPORTES Y SERVICIOS TRANSER SAS"/>
    <s v="JONATHAN PAEZ PEDRAZA"/>
    <n v="12"/>
    <s v="DICIEMBRE"/>
  </r>
  <r>
    <n v="2025"/>
    <s v="26/12/2025"/>
    <s v="RMC"/>
    <n v="6422"/>
    <x v="290"/>
    <s v="BUJE BRONCE(1 5/8&quot; DI) LEVA FRENO TRAILE"/>
    <n v="1"/>
    <n v="24000"/>
    <s v="TRANSPORTES Y SERVICIOS TRANSER SAS"/>
    <s v="JONATHAN PAEZ PEDRAZA"/>
    <n v="12"/>
    <s v="DICIEMBRE"/>
  </r>
  <r>
    <n v="2025"/>
    <s v="26/12/2025"/>
    <s v="RMC"/>
    <n v="6422"/>
    <x v="154"/>
    <s v="KIT DE REP LEVA FREN TRAILER ROMARCO"/>
    <n v="1"/>
    <n v="188000"/>
    <s v="TRANSPORTES Y SERVICIOS TRANSER SAS"/>
    <s v="JONATHAN PAEZ PEDRAZA"/>
    <n v="12"/>
    <s v="DICIEMBRE"/>
  </r>
  <r>
    <n v="2025"/>
    <s v="26/12/2025"/>
    <s v="RMC"/>
    <n v="6422"/>
    <x v="410"/>
    <s v="BALINERA FAN CLUTCH ADVANTAGE-SOLA"/>
    <n v="1"/>
    <n v="708000"/>
    <s v="TRANSPORTES Y SERVICIOS TRANSER SAS"/>
    <s v="JONATHAN PAEZ PEDRAZA"/>
    <n v="12"/>
    <s v="DICIEMBRE"/>
  </r>
  <r>
    <n v="2025"/>
    <s v="26/12/2025"/>
    <s v="RMC"/>
    <n v="6422"/>
    <x v="225"/>
    <s v="KIT DE REPARACION MENOR DRIVE MASTER"/>
    <n v="1"/>
    <n v="475000"/>
    <s v="TRANSPORTES Y SERVICIOS TRANSER SAS"/>
    <s v="JONATHAN PAEZ PEDRAZA"/>
    <n v="12"/>
    <s v="DICIEMBRE"/>
  </r>
  <r>
    <n v="2025"/>
    <s v="26/12/2025"/>
    <s v="RMC"/>
    <n v="6422"/>
    <x v="411"/>
    <s v="BOLSA TRA 10.62ANx5.50CEx20.88AL+1T"/>
    <n v="2"/>
    <n v="1460000"/>
    <s v="TRANSPORTES Y SERVICIOS TRANSER SAS"/>
    <s v="JONATHAN PAEZ PEDRAZA"/>
    <n v="12"/>
    <s v="DICIEMBRE"/>
  </r>
  <r>
    <n v="2025"/>
    <s v="09/05/2025"/>
    <s v="RMC"/>
    <n v="6047"/>
    <x v="169"/>
    <s v="KIT BUJES (P/LEVA 1&quot; 1/2)  Y RETENEDORES"/>
    <n v="1"/>
    <n v="20000"/>
    <s v="TRANSPORTES Y SERVICIOS TRANSER SAS"/>
    <s v="JONATHAN PAEZ PEDRAZA"/>
    <n v="5"/>
    <s v="MAYO"/>
  </r>
  <r>
    <n v="2025"/>
    <s v="26/12/2025"/>
    <s v="RMC"/>
    <n v="6422"/>
    <x v="303"/>
    <s v="VALVULA SUSPENSION CABEZOTE EAGLE Y CL"/>
    <n v="1"/>
    <n v="287000"/>
    <s v="TRANSPORTES Y SERVICIOS TRANSER SAS"/>
    <s v="JONATHAN PAEZ PEDRAZA"/>
    <n v="12"/>
    <s v="DICIEMBRE"/>
  </r>
  <r>
    <n v="2025"/>
    <s v="09/05/2025"/>
    <s v="RMC"/>
    <n v="6047"/>
    <x v="7"/>
    <s v="BOLSA SILLA CZ TODAS INTER"/>
    <n v="1"/>
    <n v="175000"/>
    <s v="TRANSPORTES Y SERVICIOS TRANSER SAS"/>
    <s v="JONATHAN PAEZ PEDRAZA"/>
    <n v="5"/>
    <s v="MAYO"/>
  </r>
  <r>
    <n v="2025"/>
    <s v="26/12/2025"/>
    <s v="RMC"/>
    <n v="6422"/>
    <x v="412"/>
    <s v="AMORTIGUADOR DELANTERO EAGLE  WORK STAR"/>
    <n v="1"/>
    <n v="215000"/>
    <s v="TRANSPORTES Y SERVICIOS TRANSER SAS"/>
    <s v="JONATHAN PAEZ PEDRAZA"/>
    <n v="12"/>
    <s v="DICIEMBRE"/>
  </r>
  <r>
    <n v="2025"/>
    <s v="26/12/2025"/>
    <s v="RMC"/>
    <n v="6422"/>
    <x v="413"/>
    <s v="PASADOR BUJE SUSPENSION"/>
    <n v="3"/>
    <n v="24000"/>
    <s v="TRANSPORTES Y SERVICIOS TRANSER SAS"/>
    <s v="JONATHAN PAEZ PEDRAZA"/>
    <n v="12"/>
    <s v="DICIEMBRE"/>
  </r>
  <r>
    <n v="2025"/>
    <s v="26/12/2025"/>
    <s v="RMC"/>
    <n v="6422"/>
    <x v="232"/>
    <s v="PIN TORNILLOS CRUCETA"/>
    <n v="4"/>
    <n v="4800"/>
    <s v="TRANSPORTES Y SERVICIOS TRANSER SAS"/>
    <s v="JONATHAN PAEZ PEDRAZA"/>
    <n v="12"/>
    <s v="DICIEMBRE"/>
  </r>
  <r>
    <n v="2025"/>
    <s v="26/12/2025"/>
    <s v="RMC"/>
    <n v="6422"/>
    <x v="396"/>
    <s v="KIT EMPAQUES MONO CHIP"/>
    <n v="1"/>
    <n v="57000"/>
    <s v="TRANSPORTES Y SERVICIOS TRANSER SAS"/>
    <s v="JONATHAN PAEZ PEDRAZA"/>
    <n v="12"/>
    <s v="DICIEMBRE"/>
  </r>
  <r>
    <n v="2025"/>
    <s v="26/12/2025"/>
    <s v="RMC"/>
    <n v="6422"/>
    <x v="167"/>
    <s v="CONO DE 5/8&quot; CERRADO"/>
    <n v="8"/>
    <n v="44000"/>
    <s v="TRANSPORTES Y SERVICIOS TRANSER SAS"/>
    <s v="JONATHAN PAEZ PEDRAZA"/>
    <n v="12"/>
    <s v="DICIEMBRE"/>
  </r>
  <r>
    <n v="2025"/>
    <s v="10/10/2025"/>
    <s v="RMC"/>
    <n v="6301"/>
    <x v="405"/>
    <s v="AMORTIGUADOR DELANTERO KODIAK"/>
    <n v="2"/>
    <n v="380000"/>
    <s v="EMPRESA DE DISTRIBUCIONES INDUSTRIALES S.A.S."/>
    <s v="WILLIAM DUVAN REYES DIAZ"/>
    <n v="10"/>
    <s v="OCTUBRE"/>
  </r>
  <r>
    <n v="2025"/>
    <s v="10/10/2025"/>
    <s v="RMC"/>
    <n v="6301"/>
    <x v="192"/>
    <s v="KIT REPARACION 2TIEMPO MANZ  2 1/2&quot; Y 5&quot;"/>
    <n v="2"/>
    <n v="6240000"/>
    <s v="EMPRESA DE DISTRIBUCIONES INDUSTRIALES S.A.S."/>
    <s v="WILLIAM DUVAN REYES DIAZ"/>
    <n v="10"/>
    <s v="OCTUBRE"/>
  </r>
  <r>
    <n v="2025"/>
    <s v="26/12/2025"/>
    <s v="RMC"/>
    <n v="6422"/>
    <x v="256"/>
    <s v="TUERCA HAUSING EAGLE"/>
    <n v="1"/>
    <n v="99000"/>
    <s v="TRANSPORTES Y SERVICIOS TRANSER SAS"/>
    <s v="JONATHAN PAEZ PEDRAZA"/>
    <n v="12"/>
    <s v="DICIEMBRE"/>
  </r>
  <r>
    <n v="2025"/>
    <s v="26/12/2025"/>
    <s v="RMC"/>
    <n v="6424"/>
    <x v="370"/>
    <s v="KIT EMBRAGUE KJA AUTOMAT CON DISC COMPAC"/>
    <n v="1"/>
    <n v="8500000"/>
    <s v="EMPRESA DE DISTRIBUCIONES INDUSTRIALES S.A.S."/>
    <s v="WILLIAM DUVAN REYES DIAZ"/>
    <n v="12"/>
    <s v="DICIEMBRE"/>
  </r>
  <r>
    <n v="2025"/>
    <s v="18/07/2025"/>
    <s v="RMC"/>
    <n v="6173"/>
    <x v="414"/>
    <s v="BUJE SUSPENSION TRIFUNCIONAL TRAILER"/>
    <n v="4"/>
    <n v="1200000"/>
    <s v="EMPRESA DE DISTRIBUCIONES INDUSTRIALES S.A.S."/>
    <s v="WILLIAM DUVAN REYES DIAZ"/>
    <n v="7"/>
    <s v="JULIO"/>
  </r>
  <r>
    <n v="2025"/>
    <s v="22/09/2025"/>
    <s v="RMC"/>
    <n v="6265"/>
    <x v="1"/>
    <s v="RACHE AUTO CH CC 6&quot; TP3 1-1/2&quot;28E"/>
    <n v="1"/>
    <n v="280000"/>
    <s v="TRANSPORTES Y SERVICIOS TRANSER SAS"/>
    <s v="JONATHAN PAEZ PEDRAZA"/>
    <n v="9"/>
    <s v="SEPTIEMBRE"/>
  </r>
  <r>
    <n v="2025"/>
    <s v="22/09/2025"/>
    <s v="RMC"/>
    <n v="6265"/>
    <x v="169"/>
    <s v="KIT BUJES (P/LEVA 1&quot; 1/2)  Y RETENEDORES"/>
    <n v="2"/>
    <n v="44000"/>
    <s v="TRANSPORTES Y SERVICIOS TRANSER SAS"/>
    <s v="JONATHAN PAEZ PEDRAZA"/>
    <n v="9"/>
    <s v="SEPTIEMBRE"/>
  </r>
  <r>
    <n v="2025"/>
    <s v="22/09/2025"/>
    <s v="RMC"/>
    <n v="6265"/>
    <x v="394"/>
    <s v="KIT REPARACION PISTON + ANILLOS + BIELA"/>
    <n v="1"/>
    <n v="384000"/>
    <s v="TRANSPORTES Y SERVICIOS TRANSER SAS"/>
    <s v="JONATHAN PAEZ PEDRAZA"/>
    <n v="9"/>
    <s v="SEPTIEMBRE"/>
  </r>
  <r>
    <n v="2025"/>
    <s v="14/11/2025"/>
    <s v="RMC"/>
    <n v="6361"/>
    <x v="216"/>
    <s v="SINCRONIZADOR (JGO X 5) TODAS PATA GRUES"/>
    <n v="1"/>
    <n v="309000"/>
    <s v="EMPRESA DE DISTRIBUCIONES INDUSTRIALES S.A.S."/>
    <s v="WILLIAM DUVAN REYES DIAZ"/>
    <n v="11"/>
    <s v="NOVIEMBRE"/>
  </r>
  <r>
    <n v="2025"/>
    <s v="14/11/2025"/>
    <s v="RMC"/>
    <n v="6361"/>
    <x v="192"/>
    <s v="KIT REPARACION 2TIEMPO MANZ  2 1/2&quot; Y 5&quot;"/>
    <n v="1"/>
    <n v="3120000"/>
    <s v="EMPRESA DE DISTRIBUCIONES INDUSTRIALES S.A.S."/>
    <s v="WILLIAM DUVAN REYES DIAZ"/>
    <n v="11"/>
    <s v="NOVIEMBRE"/>
  </r>
  <r>
    <n v="2025"/>
    <s v="01/12/2025"/>
    <s v="RMC"/>
    <n v="6380"/>
    <x v="219"/>
    <s v="RACHE FRENO MEC. 1-1/2&quot;28E"/>
    <n v="1"/>
    <n v="82000"/>
    <s v="TRANSPORTES Y SERVICIOS TRANSER SAS"/>
    <s v="JONATHAN PAEZ PEDRAZA"/>
    <n v="12"/>
    <s v="DICIEMBRE"/>
  </r>
  <r>
    <n v="2025"/>
    <s v="14/10/2025"/>
    <s v="RMC"/>
    <n v="6314"/>
    <x v="259"/>
    <s v="JUEGO CHAPETA SPL250 (JGOX6)"/>
    <n v="1"/>
    <n v="65974"/>
    <s v="EMPRESA DE DISTRIBUCIONES INDUSTRIALES S.A.S."/>
    <s v="WILLIAM DUVAN REYES DIAZ"/>
    <n v="10"/>
    <s v="OCTUBRE"/>
  </r>
  <r>
    <n v="2025"/>
    <s v="14/10/2025"/>
    <s v="RMC"/>
    <n v="6314"/>
    <x v="370"/>
    <s v="KIT EMBRAGUE KJA AUTOMAT CON DISC COMPAC"/>
    <n v="1"/>
    <n v="8500000"/>
    <s v="EMPRESA DE DISTRIBUCIONES INDUSTRIALES S.A.S."/>
    <s v="WILLIAM DUVAN REYES DIAZ"/>
    <n v="10"/>
    <s v="OCTUBRE"/>
  </r>
  <r>
    <n v="2025"/>
    <s v="01/12/2025"/>
    <s v="RMC"/>
    <n v="6380"/>
    <x v="413"/>
    <s v="PASADOR BUJE SUSPENSION"/>
    <n v="2"/>
    <n v="16000"/>
    <s v="TRANSPORTES Y SERVICIOS TRANSER SAS"/>
    <s v="JONATHAN PAEZ PEDRAZA"/>
    <n v="12"/>
    <s v="DICIEMBRE"/>
  </r>
  <r>
    <n v="2025"/>
    <s v="26/12/2025"/>
    <s v="RMC"/>
    <n v="6423"/>
    <x v="415"/>
    <s v="CRUCETA CARDAN 15 1/2&quot; MIXTA S1710 C/GRA"/>
    <n v="8"/>
    <n v="840000"/>
    <s v="EMPRESA DE DISTRIBUCIONES INDUSTRIALES S.A.S."/>
    <s v="WILLIAM DUVAN REYES DIAZ"/>
    <n v="12"/>
    <s v="DICIEMBRE"/>
  </r>
  <r>
    <n v="2025"/>
    <s v="01/12/2025"/>
    <s v="RMC"/>
    <n v="6380"/>
    <x v="196"/>
    <s v="PERNO TRAILER HIDROAMERICA M22X4''"/>
    <n v="4"/>
    <n v="116000"/>
    <s v="TRANSPORTES Y SERVICIOS TRANSER SAS"/>
    <s v="JONATHAN PAEZ PEDRAZA"/>
    <n v="12"/>
    <s v="DICIEMBRE"/>
  </r>
  <r>
    <n v="2025"/>
    <s v="01/12/2025"/>
    <s v="RMC"/>
    <n v="6380"/>
    <x v="154"/>
    <s v="KIT DE REP LEVA FREN TRAILER ROMARCO"/>
    <n v="2"/>
    <n v="376000"/>
    <s v="TRANSPORTES Y SERVICIOS TRANSER SAS"/>
    <s v="JONATHAN PAEZ PEDRAZA"/>
    <n v="12"/>
    <s v="DICIEMBRE"/>
  </r>
  <r>
    <n v="2025"/>
    <s v="01/12/2025"/>
    <s v="RMC"/>
    <n v="6380"/>
    <x v="400"/>
    <s v="BOLSA TAN 9.12ANxA1E1&quot;5/16x11.80AL+1T BR"/>
    <n v="1"/>
    <n v="445000"/>
    <s v="TRANSPORTES Y SERVICIOS TRANSER SAS"/>
    <s v="JONATHAN PAEZ PEDRAZA"/>
    <n v="12"/>
    <s v="DICIEMBRE"/>
  </r>
  <r>
    <n v="2025"/>
    <s v="01/12/2025"/>
    <s v="RMC"/>
    <n v="6380"/>
    <x v="331"/>
    <s v="CORBATIN  HENDRICKSON"/>
    <n v="1"/>
    <n v="62000"/>
    <s v="TRANSPORTES Y SERVICIOS TRANSER SAS"/>
    <s v="JONATHAN PAEZ PEDRAZA"/>
    <n v="12"/>
    <s v="DICIEMBRE"/>
  </r>
  <r>
    <n v="2025"/>
    <s v="01/12/2025"/>
    <s v="RMC"/>
    <n v="6380"/>
    <x v="294"/>
    <s v="HOJA ZETA 46 MLBS"/>
    <n v="1"/>
    <n v="1200000"/>
    <s v="TRANSPORTES Y SERVICIOS TRANSER SAS"/>
    <s v="JONATHAN PAEZ PEDRAZA"/>
    <n v="12"/>
    <s v="DICIEMBRE"/>
  </r>
  <r>
    <n v="2025"/>
    <s v="01/12/2025"/>
    <s v="RMC"/>
    <n v="6380"/>
    <x v="416"/>
    <s v="PASADOR CLUTCH CORTO KENWORTH"/>
    <n v="1"/>
    <n v="45000"/>
    <s v="TRANSPORTES Y SERVICIOS TRANSER SAS"/>
    <s v="JONATHAN PAEZ PEDRAZA"/>
    <n v="12"/>
    <s v="DICIEMBRE"/>
  </r>
  <r>
    <n v="2025"/>
    <s v="01/12/2025"/>
    <s v="RMC"/>
    <n v="6380"/>
    <x v="226"/>
    <s v="MANGUERA ENGRASE 15&quot; BALINERA"/>
    <n v="2"/>
    <n v="30000"/>
    <s v="TRANSPORTES Y SERVICIOS TRANSER SAS"/>
    <s v="JONATHAN PAEZ PEDRAZA"/>
    <n v="12"/>
    <s v="DICIEMBRE"/>
  </r>
  <r>
    <n v="2025"/>
    <s v="01/12/2025"/>
    <s v="RMC"/>
    <n v="6380"/>
    <x v="49"/>
    <s v="KIT BUJE Y PASADO (JGOX2)TODAS CON HUECO"/>
    <n v="1"/>
    <n v="34000"/>
    <s v="TRANSPORTES Y SERVICIOS TRANSER SAS"/>
    <s v="JONATHAN PAEZ PEDRAZA"/>
    <n v="12"/>
    <s v="DICIEMBRE"/>
  </r>
  <r>
    <n v="2025"/>
    <s v="01/12/2025"/>
    <s v="RMC"/>
    <n v="6380"/>
    <x v="308"/>
    <s v="TAPON IMAN LLENADO ACEITE 1 1/16&quot; CON OR"/>
    <n v="1"/>
    <n v="17500"/>
    <s v="TRANSPORTES Y SERVICIOS TRANSER SAS"/>
    <s v="JONATHAN PAEZ PEDRAZA"/>
    <n v="12"/>
    <s v="DICIEMBRE"/>
  </r>
  <r>
    <n v="2025"/>
    <s v="26/06/2025"/>
    <s v="RMC"/>
    <n v="6124"/>
    <x v="192"/>
    <s v="KIT REPARACION 2TIEMPO MANZ  2 1/2&quot; Y 5&quot;"/>
    <n v="1"/>
    <n v="2875000"/>
    <s v="TRANSPORTES Y SERVICIOS TRANSER SAS"/>
    <s v="JONATHAN PAEZ PEDRAZA"/>
    <n v="6"/>
    <s v="JUNIO"/>
  </r>
  <r>
    <n v="2025"/>
    <s v="26/12/2025"/>
    <s v="RMC"/>
    <n v="6423"/>
    <x v="219"/>
    <s v="RACHE FRENO MEC. 1-1/2&quot;28E"/>
    <n v="3"/>
    <n v="264000"/>
    <s v="EMPRESA DE DISTRIBUCIONES INDUSTRIALES S.A.S."/>
    <s v="WILLIAM DUVAN REYES DIAZ"/>
    <n v="12"/>
    <s v="DICIEMBRE"/>
  </r>
  <r>
    <n v="2025"/>
    <s v="26/12/2025"/>
    <s v="RMC"/>
    <n v="6425"/>
    <x v="213"/>
    <s v="RETENEDOR DIVISOR 46160"/>
    <n v="1"/>
    <n v="162000"/>
    <s v="EMPRESA DE DISTRIBUCIONES INDUSTRIALES S.A.S."/>
    <s v="WILLIAM DUVAN REYES DIAZ"/>
    <n v="12"/>
    <s v="DICIEMBRE"/>
  </r>
  <r>
    <n v="2025"/>
    <s v="03/10/2025"/>
    <s v="RMC"/>
    <n v="6285"/>
    <x v="231"/>
    <s v="PIN TUERCA"/>
    <n v="1"/>
    <n v="27800"/>
    <s v="TRANSPORTES Y SERVICIOS TRANSER SAS"/>
    <s v="JONATHAN PAEZ PEDRAZA"/>
    <n v="10"/>
    <s v="OCTUBRE"/>
  </r>
  <r>
    <n v="2025"/>
    <s v="03/10/2025"/>
    <s v="RMC"/>
    <n v="6285"/>
    <x v="351"/>
    <s v="CRUCETA 6,456 DADO 2165 (2 5/32&quot; APROX)"/>
    <n v="1"/>
    <n v="400000"/>
    <s v="TRANSPORTES Y SERVICIOS TRANSER SAS"/>
    <s v="JONATHAN PAEZ PEDRAZA"/>
    <n v="10"/>
    <s v="OCTUBRE"/>
  </r>
  <r>
    <n v="2025"/>
    <s v="03/10/2025"/>
    <s v="RMC"/>
    <n v="6285"/>
    <x v="224"/>
    <s v="JUEGO CHAPETA (JGOX2) SPL170"/>
    <n v="1"/>
    <n v="59000"/>
    <s v="TRANSPORTES Y SERVICIOS TRANSER SAS"/>
    <s v="JONATHAN PAEZ PEDRAZA"/>
    <n v="10"/>
    <s v="OCTUBRE"/>
  </r>
  <r>
    <n v="2025"/>
    <s v="03/10/2025"/>
    <s v="RMC"/>
    <n v="6285"/>
    <x v="261"/>
    <s v="FUELLE SOLO C/TAPA SUP TRAIL RANDON BOTE"/>
    <n v="1"/>
    <n v="475000"/>
    <s v="TRANSPORTES Y SERVICIOS TRANSER SAS"/>
    <s v="JONATHAN PAEZ PEDRAZA"/>
    <n v="10"/>
    <s v="OCTUBRE"/>
  </r>
  <r>
    <n v="2025"/>
    <s v="03/10/2025"/>
    <s v="RMC"/>
    <n v="6285"/>
    <x v="330"/>
    <s v="BOLSA TRA 10.62ANx6.25Cx27.30AL+7.88D+4T"/>
    <n v="1"/>
    <n v="550000"/>
    <s v="TRANSPORTES Y SERVICIOS TRANSER SAS"/>
    <s v="JONATHAN PAEZ PEDRAZA"/>
    <n v="10"/>
    <s v="OCTUBRE"/>
  </r>
  <r>
    <n v="2025"/>
    <s v="03/10/2025"/>
    <s v="RMC"/>
    <n v="6285"/>
    <x v="329"/>
    <s v="SOPORTE MOT INF TRAS. PROS /7600VOL/PODE"/>
    <n v="2"/>
    <n v="322000"/>
    <s v="TRANSPORTES Y SERVICIOS TRANSER SAS"/>
    <s v="JONATHAN PAEZ PEDRAZA"/>
    <n v="10"/>
    <s v="OCTUBRE"/>
  </r>
  <r>
    <n v="2025"/>
    <s v="03/10/2025"/>
    <s v="RMC"/>
    <n v="6285"/>
    <x v="37"/>
    <s v="LEVA FRENO TRAILER LH WATSON -28E"/>
    <n v="1"/>
    <n v="173000"/>
    <s v="TRANSPORTES Y SERVICIOS TRANSER SAS"/>
    <s v="JONATHAN PAEZ PEDRAZA"/>
    <n v="10"/>
    <s v="OCTUBRE"/>
  </r>
  <r>
    <n v="2025"/>
    <s v="01/12/2025"/>
    <s v="RMC"/>
    <n v="6380"/>
    <x v="403"/>
    <s v="RETEN EJE DIVISOR 46ML C/BAJO Y PLANO"/>
    <n v="1"/>
    <n v="155000"/>
    <s v="TRANSPORTES Y SERVICIOS TRANSER SAS"/>
    <s v="JONATHAN PAEZ PEDRAZA"/>
    <n v="12"/>
    <s v="DICIEMBRE"/>
  </r>
  <r>
    <n v="2025"/>
    <s v="24/06/2025"/>
    <s v="RMC"/>
    <n v="6121"/>
    <x v="69"/>
    <s v="RETENEDOR EJE SALIDA 46160"/>
    <n v="1"/>
    <n v="139142"/>
    <s v="TRANSPORTES Y SERVICIOS TRANSER SAS"/>
    <s v="JONATHAN PAEZ PEDRAZA"/>
    <n v="6"/>
    <s v="JUNIO"/>
  </r>
  <r>
    <n v="2025"/>
    <s v="24/06/2025"/>
    <s v="RMC"/>
    <n v="6121"/>
    <x v="313"/>
    <s v="SET ROD Y PISTA LM104949 Y JLM 104910"/>
    <n v="2"/>
    <n v="130000"/>
    <s v="TRANSPORTES Y SERVICIOS TRANSER SAS"/>
    <s v="JONATHAN PAEZ PEDRAZA"/>
    <n v="6"/>
    <s v="JUNIO"/>
  </r>
  <r>
    <n v="2025"/>
    <s v="24/06/2025"/>
    <s v="RMC"/>
    <n v="6121"/>
    <x v="259"/>
    <s v="JUEGO CHAPETA SPL250 (JGOX6)"/>
    <n v="2"/>
    <n v="110000"/>
    <s v="TRANSPORTES Y SERVICIOS TRANSER SAS"/>
    <s v="JONATHAN PAEZ PEDRAZA"/>
    <n v="6"/>
    <s v="JUNIO"/>
  </r>
  <r>
    <n v="2025"/>
    <s v="04/11/2025"/>
    <s v="RMC"/>
    <n v="6343"/>
    <x v="417"/>
    <s v="KIT RETEN MONO 14715/16718"/>
    <n v="1"/>
    <n v="78000"/>
    <s v="TRANSPORTES Y SERVICIOS TRANSER SAS"/>
    <s v="JONATHAN PAEZ PEDRAZA"/>
    <n v="11"/>
    <s v="NOVIEMBRE"/>
  </r>
  <r>
    <n v="2025"/>
    <s v="04/11/2025"/>
    <s v="RMC"/>
    <n v="6343"/>
    <x v="212"/>
    <s v="RACOR/CODO"/>
    <n v="2"/>
    <n v="42000"/>
    <s v="TRANSPORTES Y SERVICIOS TRANSER SAS"/>
    <s v="JONATHAN PAEZ PEDRAZA"/>
    <n v="11"/>
    <s v="NOVIEMBRE"/>
  </r>
  <r>
    <n v="2025"/>
    <s v="04/11/2025"/>
    <s v="RMC"/>
    <n v="6343"/>
    <x v="335"/>
    <s v="BUJE CARE VACA - FULLER"/>
    <n v="4"/>
    <n v="48000"/>
    <s v="TRANSPORTES Y SERVICIOS TRANSER SAS"/>
    <s v="JONATHAN PAEZ PEDRAZA"/>
    <n v="11"/>
    <s v="NOVIEMBRE"/>
  </r>
  <r>
    <n v="2025"/>
    <s v="04/11/2025"/>
    <s v="RMC"/>
    <n v="6343"/>
    <x v="226"/>
    <s v="MANGUERA ENGRASE 15&quot; BALINERA"/>
    <n v="2"/>
    <n v="30000"/>
    <s v="TRANSPORTES Y SERVICIOS TRANSER SAS"/>
    <s v="JONATHAN PAEZ PEDRAZA"/>
    <n v="11"/>
    <s v="NOVIEMBRE"/>
  </r>
  <r>
    <n v="2025"/>
    <s v="04/11/2025"/>
    <s v="RMC"/>
    <n v="6343"/>
    <x v="365"/>
    <s v="PASADOR LARGO DEL CLUTCH KENWORTH"/>
    <n v="1"/>
    <n v="66000"/>
    <s v="TRANSPORTES Y SERVICIOS TRANSER SAS"/>
    <s v="JONATHAN PAEZ PEDRAZA"/>
    <n v="11"/>
    <s v="NOVIEMBRE"/>
  </r>
  <r>
    <n v="2025"/>
    <s v="04/11/2025"/>
    <s v="RMC"/>
    <n v="6343"/>
    <x v="232"/>
    <s v="PIN TORNILLOS CRUCETA"/>
    <n v="2"/>
    <n v="2400"/>
    <s v="TRANSPORTES Y SERVICIOS TRANSER SAS"/>
    <s v="JONATHAN PAEZ PEDRAZA"/>
    <n v="11"/>
    <s v="NOVIEMBRE"/>
  </r>
  <r>
    <n v="2025"/>
    <s v="04/11/2025"/>
    <s v="RMC"/>
    <n v="6343"/>
    <x v="233"/>
    <s v="SILLIN P/HAS 460 TRASERO RYL"/>
    <n v="1"/>
    <n v="440000"/>
    <s v="TRANSPORTES Y SERVICIOS TRANSER SAS"/>
    <s v="JONATHAN PAEZ PEDRAZA"/>
    <n v="11"/>
    <s v="NOVIEMBRE"/>
  </r>
  <r>
    <n v="2025"/>
    <s v="04/11/2025"/>
    <s v="RMC"/>
    <n v="6343"/>
    <x v="412"/>
    <s v="AMORTIGUADOR DELANTERO EAGLE  WORK STAR"/>
    <n v="2"/>
    <n v="430000"/>
    <s v="TRANSPORTES Y SERVICIOS TRANSER SAS"/>
    <s v="JONATHAN PAEZ PEDRAZA"/>
    <n v="11"/>
    <s v="NOVIEMBRE"/>
  </r>
  <r>
    <n v="2025"/>
    <s v="04/11/2025"/>
    <s v="RMC"/>
    <n v="6343"/>
    <x v="418"/>
    <s v="VALVULA DESFOGUE TANQUE COMBUSTIBLE"/>
    <n v="2"/>
    <n v="94000"/>
    <s v="TRANSPORTES Y SERVICIOS TRANSER SAS"/>
    <s v="JONATHAN PAEZ PEDRAZA"/>
    <n v="11"/>
    <s v="NOVIEMBRE"/>
  </r>
  <r>
    <n v="2025"/>
    <s v="01/12/2025"/>
    <s v="RMC"/>
    <n v="6381"/>
    <x v="196"/>
    <s v="PERNO TRAILER HIDROAMERICA M22X4''"/>
    <n v="8"/>
    <n v="232000"/>
    <s v="TRANSPORTES Y SERVICIOS TRANSER SAS"/>
    <s v="JONATHAN PAEZ PEDRAZA"/>
    <n v="12"/>
    <s v="DICIEMBRE"/>
  </r>
  <r>
    <n v="2025"/>
    <s v="22/12/2025"/>
    <s v="RMC"/>
    <n v="6419"/>
    <x v="419"/>
    <s v="BOLSA SUSPENSION TRAILER ROMARKO"/>
    <n v="2"/>
    <n v="1070000"/>
    <s v="EMPRESA DE DISTRIBUCIONES INDUSTRIALES S.A.S."/>
    <s v="WILLIAM DUVAN REYES DIAZ"/>
    <n v="12"/>
    <s v="DICIEMBRE"/>
  </r>
  <r>
    <n v="2025"/>
    <s v="22/12/2025"/>
    <s v="RMC"/>
    <n v="6419"/>
    <x v="161"/>
    <s v="ARANDELA EXCENTRICA ALINEACION BRONCE"/>
    <n v="4"/>
    <n v="304464"/>
    <s v="EMPRESA DE DISTRIBUCIONES INDUSTRIALES S.A.S."/>
    <s v="WILLIAM DUVAN REYES DIAZ"/>
    <n v="12"/>
    <s v="DICIEMBRE"/>
  </r>
  <r>
    <n v="2025"/>
    <s v="26/12/2025"/>
    <s v="RMC"/>
    <n v="6426"/>
    <x v="420"/>
    <s v="CORREA ACANAL PARA ALTERN POLY-V. MACK2005,KENWORTH2003MOTOR CUMMINS T800MOTOR ROJO 10 CANALES"/>
    <n v="1"/>
    <n v="59662"/>
    <s v="COMERCIALIZADORA DE REPUESTOS M&amp;C SAS"/>
    <s v="DANNY ENRIQUE PACHON ROCHA"/>
    <n v="12"/>
    <s v="DICIEMBRE"/>
  </r>
  <r>
    <n v="2025"/>
    <s v="11/04/2025"/>
    <s v="RMC"/>
    <n v="6002"/>
    <x v="148"/>
    <s v="BUJE COMPRESOR BAJO ISX"/>
    <n v="1"/>
    <n v="106000"/>
    <s v="TRANSPORTES Y SERVICIOS TRANSER SAS"/>
    <s v="JONATHAN PAEZ PEDRAZA"/>
    <n v="4"/>
    <s v="ABRIL"/>
  </r>
  <r>
    <n v="2025"/>
    <s v="11/04/2025"/>
    <s v="RMC"/>
    <n v="6002"/>
    <x v="16"/>
    <s v="JUEGO CHAPETA CRUCETA 15 1/2&quot; 17 1/2&quot;"/>
    <n v="2"/>
    <n v="44100"/>
    <s v="TRANSPORTES Y SERVICIOS TRANSER SAS"/>
    <s v="JONATHAN PAEZ PEDRAZA"/>
    <n v="4"/>
    <s v="ABRIL"/>
  </r>
  <r>
    <n v="2025"/>
    <s v="11/08/2025"/>
    <s v="RMC"/>
    <n v="6212"/>
    <x v="284"/>
    <s v="EJE TOMA 2&quot; 14915/16918/8709B"/>
    <n v="1"/>
    <n v="215000"/>
    <s v="TRANSPORTES Y SERVICIOS TRANSER SAS"/>
    <s v="JONATHAN PAEZ PEDRAZA"/>
    <n v="8"/>
    <s v="AGOSTO"/>
  </r>
  <r>
    <n v="2025"/>
    <s v="11/08/2025"/>
    <s v="RMC"/>
    <n v="6212"/>
    <x v="159"/>
    <s v="BALINERA MONO 16918"/>
    <n v="1"/>
    <n v="339000"/>
    <s v="TRANSPORTES Y SERVICIOS TRANSER SAS"/>
    <s v="JONATHAN PAEZ PEDRAZA"/>
    <n v="8"/>
    <s v="AGOSTO"/>
  </r>
  <r>
    <n v="2025"/>
    <s v="11/08/2025"/>
    <s v="RMC"/>
    <n v="6212"/>
    <x v="247"/>
    <s v="KIT EMPAQUES MONO 14715/16915/8908LL"/>
    <n v="1"/>
    <n v="35000"/>
    <s v="TRANSPORTES Y SERVICIOS TRANSER SAS"/>
    <s v="JONATHAN PAEZ PEDRAZA"/>
    <n v="8"/>
    <s v="AGOSTO"/>
  </r>
  <r>
    <n v="2025"/>
    <s v="11/08/2025"/>
    <s v="RMC"/>
    <n v="6212"/>
    <x v="232"/>
    <s v="PIN TORNILLOS CRUCETA"/>
    <n v="11"/>
    <n v="13200"/>
    <s v="TRANSPORTES Y SERVICIOS TRANSER SAS"/>
    <s v="JONATHAN PAEZ PEDRAZA"/>
    <n v="8"/>
    <s v="AGOSTO"/>
  </r>
  <r>
    <n v="2025"/>
    <s v="11/08/2025"/>
    <s v="RMC"/>
    <n v="6212"/>
    <x v="259"/>
    <s v="JUEGO CHAPETA SPL250 (JGOX6)"/>
    <n v="1"/>
    <n v="63000"/>
    <s v="TRANSPORTES Y SERVICIOS TRANSER SAS"/>
    <s v="JONATHAN PAEZ PEDRAZA"/>
    <n v="8"/>
    <s v="AGOSTO"/>
  </r>
  <r>
    <n v="2025"/>
    <s v="11/08/2025"/>
    <s v="RMC"/>
    <n v="6212"/>
    <x v="48"/>
    <s v="TEFLON HOJA Z"/>
    <n v="4"/>
    <n v="48000"/>
    <s v="TRANSPORTES Y SERVICIOS TRANSER SAS"/>
    <s v="JONATHAN PAEZ PEDRAZA"/>
    <n v="8"/>
    <s v="AGOSTO"/>
  </r>
  <r>
    <n v="2025"/>
    <s v="11/08/2025"/>
    <s v="RMC"/>
    <n v="6212"/>
    <x v="260"/>
    <s v="BOLSA TAN 9.12ANxA1E1&quot;.5/16x10.80ALT+1T"/>
    <n v="1"/>
    <n v="385000"/>
    <s v="TRANSPORTES Y SERVICIOS TRANSER SAS"/>
    <s v="JONATHAN PAEZ PEDRAZA"/>
    <n v="8"/>
    <s v="AGOSTO"/>
  </r>
  <r>
    <n v="2025"/>
    <s v="11/08/2025"/>
    <s v="RMC"/>
    <n v="6212"/>
    <x v="236"/>
    <s v="REGISTRO PASO COMBUSTIBLE CUMMINS 350/40"/>
    <n v="1"/>
    <n v="49000"/>
    <s v="TRANSPORTES Y SERVICIOS TRANSER SAS"/>
    <s v="JONATHAN PAEZ PEDRAZA"/>
    <n v="8"/>
    <s v="AGOSTO"/>
  </r>
  <r>
    <n v="2025"/>
    <s v="11/08/2025"/>
    <s v="RMC"/>
    <n v="6212"/>
    <x v="194"/>
    <s v="PIN PUNTA CDIZO 16918"/>
    <n v="1"/>
    <n v="3000"/>
    <s v="TRANSPORTES Y SERVICIOS TRANSER SAS"/>
    <s v="JONATHAN PAEZ PEDRAZA"/>
    <n v="8"/>
    <s v="AGOSTO"/>
  </r>
  <r>
    <n v="2025"/>
    <s v="11/08/2025"/>
    <s v="RMC"/>
    <n v="6212"/>
    <x v="243"/>
    <s v="KIT EMPAQUES MONO 14918/16"/>
    <n v="1"/>
    <n v="60000"/>
    <s v="TRANSPORTES Y SERVICIOS TRANSER SAS"/>
    <s v="JONATHAN PAEZ PEDRAZA"/>
    <n v="8"/>
    <s v="AGOSTO"/>
  </r>
  <r>
    <n v="2025"/>
    <s v="11/04/2025"/>
    <s v="RMC"/>
    <n v="6002"/>
    <x v="169"/>
    <s v="KIT BUJES (P/LEVA 1&quot; 1/2)  Y RETENEDORES"/>
    <n v="3"/>
    <n v="54000"/>
    <s v="TRANSPORTES Y SERVICIOS TRANSER SAS"/>
    <s v="JONATHAN PAEZ PEDRAZA"/>
    <n v="4"/>
    <s v="ABRIL"/>
  </r>
  <r>
    <n v="2025"/>
    <s v="11/04/2025"/>
    <s v="RMC"/>
    <n v="6002"/>
    <x v="310"/>
    <s v="HORQUILLA CLUTCH"/>
    <n v="1"/>
    <n v="89000"/>
    <s v="TRANSPORTES Y SERVICIOS TRANSER SAS"/>
    <s v="JONATHAN PAEZ PEDRAZA"/>
    <n v="4"/>
    <s v="ABRIL"/>
  </r>
  <r>
    <n v="2025"/>
    <s v="11/04/2025"/>
    <s v="RMC"/>
    <n v="6002"/>
    <x v="77"/>
    <s v="EJE LATERAL EAGLE RECTO LARGO"/>
    <n v="1"/>
    <n v="762500"/>
    <s v="TRANSPORTES Y SERVICIOS TRANSER SAS"/>
    <s v="JONATHAN PAEZ PEDRAZA"/>
    <n v="4"/>
    <s v="ABRIL"/>
  </r>
  <r>
    <n v="2025"/>
    <s v="11/04/2025"/>
    <s v="RMC"/>
    <n v="6002"/>
    <x v="78"/>
    <s v="EJE LATERAL EAGLE RECTO CORTO"/>
    <n v="1"/>
    <n v="753000"/>
    <s v="TRANSPORTES Y SERVICIOS TRANSER SAS"/>
    <s v="JONATHAN PAEZ PEDRAZA"/>
    <n v="4"/>
    <s v="ABRIL"/>
  </r>
  <r>
    <n v="2025"/>
    <s v="11/04/2025"/>
    <s v="RMC"/>
    <n v="6002"/>
    <x v="17"/>
    <s v="BOLSA SUSPENSION CABINA EAGLE"/>
    <n v="1"/>
    <n v="116666"/>
    <s v="TRANSPORTES Y SERVICIOS TRANSER SAS"/>
    <s v="JONATHAN PAEZ PEDRAZA"/>
    <n v="4"/>
    <s v="ABRIL"/>
  </r>
  <r>
    <n v="2025"/>
    <s v="11/04/2025"/>
    <s v="RMC"/>
    <n v="6002"/>
    <x v="146"/>
    <s v="BOLSA SUSPENSION"/>
    <n v="1"/>
    <n v="392000"/>
    <s v="TRANSPORTES Y SERVICIOS TRANSER SAS"/>
    <s v="JONATHAN PAEZ PEDRAZA"/>
    <n v="4"/>
    <s v="ABRIL"/>
  </r>
  <r>
    <n v="2025"/>
    <s v="11/04/2025"/>
    <s v="RMC"/>
    <n v="6002"/>
    <x v="251"/>
    <s v="BALINERA 14 BALINES (212) 1212 REFORZADA"/>
    <n v="2"/>
    <n v="266000"/>
    <s v="TRANSPORTES Y SERVICIOS TRANSER SAS"/>
    <s v="JONATHAN PAEZ PEDRAZA"/>
    <n v="4"/>
    <s v="ABRIL"/>
  </r>
  <r>
    <n v="2025"/>
    <s v="26/12/2025"/>
    <s v="RMC"/>
    <n v="6426"/>
    <x v="421"/>
    <s v="TENSOR CORREA AIRE ACONDICIONADO KW T2000 T600 T660 T800 MODELO DESPUES DE 2012 W900 INTERNATIONAL PROSTAR HI EAGLE MOTOR ISX TODAS P/89111 COMPAÑERO DE 89440 PARA AIRE ACONDICIONADO 6PK1740-6PK1625"/>
    <n v="1"/>
    <n v="236532"/>
    <s v="COMERCIALIZADORA DE REPUESTOS M&amp;C SAS"/>
    <s v="DANNY ENRIQUE PACHON ROCHA"/>
    <n v="12"/>
    <s v="DICIEMBRE"/>
  </r>
  <r>
    <n v="2025"/>
    <s v="26/12/2025"/>
    <s v="RMC"/>
    <n v="6426"/>
    <x v="422"/>
    <s v="CAREVACA MOTOR ISX (CARCASA) 3680063"/>
    <n v="1"/>
    <n v="1242000"/>
    <s v="COMERCIALIZADORA DE REPUESTOS M&amp;C SAS"/>
    <s v="DANNY ENRIQUE PACHON ROCHA"/>
    <n v="12"/>
    <s v="DICIEMBRE"/>
  </r>
  <r>
    <n v="2025"/>
    <s v="22/12/2025"/>
    <s v="RMC"/>
    <n v="6418"/>
    <x v="208"/>
    <s v="RACHE AUTO CH CC 5 1/2&quot; TP1 1-1/2&quot;28E"/>
    <n v="1"/>
    <n v="295000"/>
    <s v="EMPRESA DE DISTRIBUCIONES INDUSTRIALES S.A.S."/>
    <s v="WILLIAM DUVAN REYES DIAZ"/>
    <n v="12"/>
    <s v="DICIEMBRE"/>
  </r>
  <r>
    <n v="2025"/>
    <s v="22/12/2025"/>
    <s v="RMC"/>
    <n v="6418"/>
    <x v="83"/>
    <s v="RACHE AUTO CH CC 5 1/2&quot; TP2 1-1/2&quot;28E"/>
    <n v="2"/>
    <n v="426000"/>
    <s v="EMPRESA DE DISTRIBUCIONES INDUSTRIALES S.A.S."/>
    <s v="WILLIAM DUVAN REYES DIAZ"/>
    <n v="12"/>
    <s v="DICIEMBRE"/>
  </r>
  <r>
    <n v="2025"/>
    <s v="26/12/2025"/>
    <s v="RMC"/>
    <n v="6426"/>
    <x v="423"/>
    <s v="CORREA ACANALADA PARA ALTERNADOR - KENWORTH T600 - T800 MOTOR CUMMINS ISX MOD.03"/>
    <n v="1"/>
    <n v="39698.92"/>
    <s v="COMERCIALIZADORA DE REPUESTOS M&amp;C SAS"/>
    <s v="DANNY ENRIQUE PACHON ROCHA"/>
    <n v="12"/>
    <s v="DICIEMBRE"/>
  </r>
  <r>
    <n v="2025"/>
    <s v="19/05/2025"/>
    <s v="RMC"/>
    <n v="6060"/>
    <x v="424"/>
    <s v="JGO SPLINDER E1460L 9,06&quot;x1,87&quot; TEFLON"/>
    <n v="1"/>
    <n v="790000"/>
    <s v="TRANSPORTES Y SERVICIOS TRANSER SAS"/>
    <s v="JONATHAN PAEZ PEDRAZA"/>
    <n v="5"/>
    <s v="MAYO"/>
  </r>
  <r>
    <n v="2025"/>
    <s v="19/05/2025"/>
    <s v="RMC"/>
    <n v="6060"/>
    <x v="16"/>
    <s v="JUEGO CHAPETA CRUCETA 15 1/2&quot; 17 1/2&quot;"/>
    <n v="4"/>
    <n v="88196"/>
    <s v="TRANSPORTES Y SERVICIOS TRANSER SAS"/>
    <s v="JONATHAN PAEZ PEDRAZA"/>
    <n v="5"/>
    <s v="MAYO"/>
  </r>
  <r>
    <n v="2025"/>
    <s v="19/05/2025"/>
    <s v="RMC"/>
    <n v="6060"/>
    <x v="160"/>
    <s v="ARANDELA BUJE TRIFUNCIONAL"/>
    <n v="4"/>
    <n v="252000"/>
    <s v="TRANSPORTES Y SERVICIOS TRANSER SAS"/>
    <s v="JONATHAN PAEZ PEDRAZA"/>
    <n v="5"/>
    <s v="MAYO"/>
  </r>
  <r>
    <n v="2025"/>
    <s v="19/05/2025"/>
    <s v="RMC"/>
    <n v="6060"/>
    <x v="311"/>
    <s v="TENSOR CORREA VENTILADOR 8 CANALES ISX"/>
    <n v="1"/>
    <n v="245000"/>
    <s v="TRANSPORTES Y SERVICIOS TRANSER SAS"/>
    <s v="JONATHAN PAEZ PEDRAZA"/>
    <n v="5"/>
    <s v="MAYO"/>
  </r>
  <r>
    <n v="2025"/>
    <s v="01/12/2025"/>
    <s v="RMC"/>
    <n v="6382"/>
    <x v="425"/>
    <s v="SET ROD Y PIST EXT DEL HM807040/HM80701"/>
    <n v="1"/>
    <n v="263015"/>
    <s v="CENTRO AUTOMOTOR DIESEL S.A CENTRODIESEL"/>
    <s v="DANIELA ALEJANDRA LEON VARGAS"/>
    <n v="12"/>
    <s v="DICIEMBRE"/>
  </r>
  <r>
    <n v="2025"/>
    <s v="01/12/2025"/>
    <s v="RMC"/>
    <n v="6382"/>
    <x v="426"/>
    <s v="SET ROD Y PISTA INT. HM212049/HM212011"/>
    <n v="7"/>
    <n v="1123577"/>
    <s v="CENTRO AUTOMOTOR DIESEL S.A CENTRODIESEL"/>
    <s v="DANIELA ALEJANDRA LEON VARGAS"/>
    <n v="12"/>
    <s v="DICIEMBRE"/>
  </r>
  <r>
    <n v="2025"/>
    <s v="01/12/2025"/>
    <s v="RMC"/>
    <n v="6382"/>
    <x v="328"/>
    <s v="CRUCETA 6,417 (6&quot;13/32 APROX)DADO 2362&quot;"/>
    <n v="2"/>
    <n v="1063044"/>
    <s v="CENTRO AUTOMOTOR DIESEL S.A CENTRODIESEL"/>
    <s v="DANIELA ALEJANDRA LEON VARGAS"/>
    <n v="12"/>
    <s v="DICIEMBRE"/>
  </r>
  <r>
    <n v="2025"/>
    <s v="01/12/2025"/>
    <s v="RMC"/>
    <n v="6382"/>
    <x v="203"/>
    <s v="SET ROD Y PISTA3782/3720 TRAS TREN FIJO"/>
    <n v="1"/>
    <n v="106873"/>
    <s v="CENTRO AUTOMOTOR DIESEL S.A CENTRODIESEL"/>
    <s v="DANIELA ALEJANDRA LEON VARGAS"/>
    <n v="12"/>
    <s v="DICIEMBRE"/>
  </r>
  <r>
    <n v="2025"/>
    <s v="01/12/2025"/>
    <s v="RMC"/>
    <n v="6382"/>
    <x v="356"/>
    <s v="SET ROD Y PISTA 594A/592A TIMKEN"/>
    <n v="3"/>
    <n v="675555"/>
    <s v="CENTRO AUTOMOTOR DIESEL S.A CENTRODIESEL"/>
    <s v="DANIELA ALEJANDRA LEON VARGAS"/>
    <n v="12"/>
    <s v="DICIEMBRE"/>
  </r>
  <r>
    <n v="2025"/>
    <s v="08/09/2025"/>
    <s v="RMC"/>
    <n v="6244"/>
    <x v="287"/>
    <s v="CRUCETA 19 1/2&quot; MIXTA S/GRAPAS"/>
    <n v="1"/>
    <n v="335000"/>
    <s v="TRANSPORTES Y SERVICIOS TRANSER SAS"/>
    <s v="JONATHAN PAEZ PEDRAZA"/>
    <n v="9"/>
    <s v="SEPTIEMBRE"/>
  </r>
  <r>
    <n v="2025"/>
    <s v="01/12/2025"/>
    <s v="RMC"/>
    <n v="6382"/>
    <x v="427"/>
    <s v="SET ROD Y PISTA 580/572"/>
    <n v="2"/>
    <n v="368844"/>
    <s v="CENTRO AUTOMOTOR DIESEL S.A CENTRODIESEL"/>
    <s v="DANIELA ALEJANDRA LEON VARGAS"/>
    <n v="12"/>
    <s v="DICIEMBRE"/>
  </r>
  <r>
    <n v="2025"/>
    <s v="08/09/2025"/>
    <s v="RMC"/>
    <n v="6244"/>
    <x v="104"/>
    <s v="SHIMS SPLINDER 328349  A= 0.70"/>
    <n v="1"/>
    <n v="1407"/>
    <s v="TRANSPORTES Y SERVICIOS TRANSER SAS"/>
    <s v="JONATHAN PAEZ PEDRAZA"/>
    <n v="9"/>
    <s v="SEPTIEMBRE"/>
  </r>
  <r>
    <n v="2025"/>
    <s v="08/09/2025"/>
    <s v="RMC"/>
    <n v="6244"/>
    <x v="193"/>
    <s v="FRENO EMBRAGUE 2&quot;"/>
    <n v="1"/>
    <n v="97000"/>
    <s v="TRANSPORTES Y SERVICIOS TRANSER SAS"/>
    <s v="JONATHAN PAEZ PEDRAZA"/>
    <n v="9"/>
    <s v="SEPTIEMBRE"/>
  </r>
  <r>
    <n v="2025"/>
    <s v="08/09/2025"/>
    <s v="RMC"/>
    <n v="6244"/>
    <x v="312"/>
    <s v="CRUCETA 15 1/2&quot; MIXTA S1710 S/GRAPAS"/>
    <n v="1"/>
    <n v="295000"/>
    <s v="TRANSPORTES Y SERVICIOS TRANSER SAS"/>
    <s v="JONATHAN PAEZ PEDRAZA"/>
    <n v="9"/>
    <s v="SEPTIEMBRE"/>
  </r>
  <r>
    <n v="2025"/>
    <s v="08/09/2025"/>
    <s v="RMC"/>
    <n v="6244"/>
    <x v="232"/>
    <s v="PIN TORNILLOS CRUCETA"/>
    <n v="8"/>
    <n v="9600"/>
    <s v="TRANSPORTES Y SERVICIOS TRANSER SAS"/>
    <s v="JONATHAN PAEZ PEDRAZA"/>
    <n v="9"/>
    <s v="SEPTIEMBRE"/>
  </r>
  <r>
    <n v="2025"/>
    <s v="08/09/2025"/>
    <s v="RMC"/>
    <n v="6244"/>
    <x v="330"/>
    <s v="BOLSA TRA 10.62ANx6.25Cx27.30AL+7.88D+4T"/>
    <n v="1"/>
    <n v="550000"/>
    <s v="TRANSPORTES Y SERVICIOS TRANSER SAS"/>
    <s v="JONATHAN PAEZ PEDRAZA"/>
    <n v="9"/>
    <s v="SEPTIEMBRE"/>
  </r>
  <r>
    <n v="2025"/>
    <s v="08/09/2025"/>
    <s v="RMC"/>
    <n v="6244"/>
    <x v="236"/>
    <s v="REGISTRO PASO COMBUSTIBLE CUMMINS 350/40"/>
    <n v="2"/>
    <n v="98000"/>
    <s v="TRANSPORTES Y SERVICIOS TRANSER SAS"/>
    <s v="JONATHAN PAEZ PEDRAZA"/>
    <n v="9"/>
    <s v="SEPTIEMBRE"/>
  </r>
  <r>
    <n v="2025"/>
    <s v="08/09/2025"/>
    <s v="RMC"/>
    <n v="6244"/>
    <x v="255"/>
    <s v="CULATA COMPRESOR CUMINS ISX"/>
    <n v="1"/>
    <n v="732000"/>
    <s v="TRANSPORTES Y SERVICIOS TRANSER SAS"/>
    <s v="JONATHAN PAEZ PEDRAZA"/>
    <n v="9"/>
    <s v="SEPTIEMBRE"/>
  </r>
  <r>
    <n v="2025"/>
    <s v="14/08/2025"/>
    <s v="RMC"/>
    <n v="6215"/>
    <x v="222"/>
    <s v="TAPA NEGRA DEFENDER PASTA 4 1/2 &quot; PEQUEÑ"/>
    <n v="1"/>
    <n v="66000"/>
    <s v="TRANSPORTES Y SERVICIOS TRANSER SAS"/>
    <s v="JONATHAN PAEZ PEDRAZA"/>
    <n v="8"/>
    <s v="AGOSTO"/>
  </r>
  <r>
    <n v="2025"/>
    <s v="14/08/2025"/>
    <s v="RMC"/>
    <n v="6215"/>
    <x v="111"/>
    <s v="TAPA EJE DE TOMA 2&quot;"/>
    <n v="1"/>
    <n v="90000"/>
    <s v="TRANSPORTES Y SERVICIOS TRANSER SAS"/>
    <s v="JONATHAN PAEZ PEDRAZA"/>
    <n v="8"/>
    <s v="AGOSTO"/>
  </r>
  <r>
    <n v="2025"/>
    <s v="14/08/2025"/>
    <s v="RMC"/>
    <n v="6215"/>
    <x v="365"/>
    <s v="PASADOR LARGO DEL CLUTCH KENWORTH"/>
    <n v="1"/>
    <n v="66000"/>
    <s v="TRANSPORTES Y SERVICIOS TRANSER SAS"/>
    <s v="JONATHAN PAEZ PEDRAZA"/>
    <n v="8"/>
    <s v="AGOSTO"/>
  </r>
  <r>
    <n v="2025"/>
    <s v="14/08/2025"/>
    <s v="RMC"/>
    <n v="6215"/>
    <x v="232"/>
    <s v="PIN TORNILLOS CRUCETA"/>
    <n v="3"/>
    <n v="3600"/>
    <s v="TRANSPORTES Y SERVICIOS TRANSER SAS"/>
    <s v="JONATHAN PAEZ PEDRAZA"/>
    <n v="8"/>
    <s v="AGOSTO"/>
  </r>
  <r>
    <n v="2025"/>
    <s v="14/08/2025"/>
    <s v="RMC"/>
    <n v="6215"/>
    <x v="367"/>
    <s v="CRUCETA DIRECCION 1,500 DADO .938"/>
    <n v="2"/>
    <n v="190000"/>
    <s v="TRANSPORTES Y SERVICIOS TRANSER SAS"/>
    <s v="JONATHAN PAEZ PEDRAZA"/>
    <n v="8"/>
    <s v="AGOSTO"/>
  </r>
  <r>
    <n v="2025"/>
    <s v="01/12/2025"/>
    <s v="RMC"/>
    <n v="6382"/>
    <x v="357"/>
    <s v="JUEGO SPLINDER 10,39&quot; x 1,79&quot;"/>
    <n v="2"/>
    <n v="1295566"/>
    <s v="CENTRO AUTOMOTOR DIESEL S.A CENTRODIESEL"/>
    <s v="DANIELA ALEJANDRA LEON VARGAS"/>
    <n v="12"/>
    <s v="DICIEMBRE"/>
  </r>
  <r>
    <n v="2025"/>
    <s v="01/12/2025"/>
    <s v="RMC"/>
    <n v="6382"/>
    <x v="167"/>
    <s v="CONO DE 5/8&quot; CERRADO"/>
    <n v="1"/>
    <n v="5500"/>
    <s v="CENTRO AUTOMOTOR DIESEL S.A CENTRODIESEL"/>
    <s v="DANIELA ALEJANDRA LEON VARGAS"/>
    <n v="12"/>
    <s v="DICIEMBRE"/>
  </r>
  <r>
    <n v="2025"/>
    <s v="01/12/2025"/>
    <s v="RMC"/>
    <n v="6382"/>
    <x v="379"/>
    <s v="DESFOGUE DIFERENCIAL 160 CON MANGUERA"/>
    <n v="4"/>
    <n v="161200"/>
    <s v="CENTRO AUTOMOTOR DIESEL S.A CENTRODIESEL"/>
    <s v="DANIELA ALEJANDRA LEON VARGAS"/>
    <n v="12"/>
    <s v="DICIEMBRE"/>
  </r>
  <r>
    <n v="2025"/>
    <s v="01/12/2025"/>
    <s v="RMC"/>
    <n v="6384"/>
    <x v="297"/>
    <s v="POTENCIÓMETRO DETROIT SIN ARNES"/>
    <n v="1"/>
    <n v="360000"/>
    <s v="TRANSPORTES Y SERVICIOS TRANSER SAS"/>
    <s v="JONATHAN PAEZ PEDRAZA"/>
    <n v="12"/>
    <s v="DICIEMBRE"/>
  </r>
  <r>
    <n v="2025"/>
    <s v="01/12/2025"/>
    <s v="RMC"/>
    <n v="6382"/>
    <x v="213"/>
    <s v="RETENEDOR DIVISOR 46160"/>
    <n v="1"/>
    <n v="157700"/>
    <s v="CENTRO AUTOMOTOR DIESEL S.A CENTRODIESEL"/>
    <s v="DANIELA ALEJANDRA LEON VARGAS"/>
    <n v="12"/>
    <s v="DICIEMBRE"/>
  </r>
  <r>
    <n v="2025"/>
    <s v="01/12/2025"/>
    <s v="RMC"/>
    <n v="6384"/>
    <x v="428"/>
    <s v="PASADOR MUELLE"/>
    <n v="1"/>
    <n v="98000"/>
    <s v="TRANSPORTES Y SERVICIOS TRANSER SAS"/>
    <s v="JONATHAN PAEZ PEDRAZA"/>
    <n v="12"/>
    <s v="DICIEMBRE"/>
  </r>
  <r>
    <n v="2025"/>
    <s v="01/12/2025"/>
    <s v="RMC"/>
    <n v="6382"/>
    <x v="188"/>
    <s v="AMORT KW T800 DELT. MD 2006 Y SIGUIENTES"/>
    <n v="3"/>
    <n v="597321"/>
    <s v="CENTRO AUTOMOTOR DIESEL S.A CENTRODIESEL"/>
    <s v="DANIELA ALEJANDRA LEON VARGAS"/>
    <n v="12"/>
    <s v="DICIEMBRE"/>
  </r>
  <r>
    <n v="2025"/>
    <s v="01/12/2025"/>
    <s v="RMC"/>
    <n v="6382"/>
    <x v="211"/>
    <s v="AMORTIGU KW TRAS SUSP NEUM 8 BOLSA HEMBR"/>
    <n v="2"/>
    <n v="608920"/>
    <s v="CENTRO AUTOMOTOR DIESEL S.A CENTRODIESEL"/>
    <s v="DANIELA ALEJANDRA LEON VARGAS"/>
    <n v="12"/>
    <s v="DICIEMBRE"/>
  </r>
  <r>
    <n v="2025"/>
    <s v="01/12/2025"/>
    <s v="RMC"/>
    <n v="6385"/>
    <x v="429"/>
    <s v="EJE LATERAL  DIFER. CONICO 46 MLBS"/>
    <n v="1"/>
    <n v="1444000"/>
    <s v="TRANSPORTES Y SERVICIOS TRANSER SAS"/>
    <s v="JONATHAN PAEZ PEDRAZA"/>
    <n v="12"/>
    <s v="DICIEMBRE"/>
  </r>
  <r>
    <n v="2025"/>
    <s v="01/12/2025"/>
    <s v="RMC"/>
    <n v="6382"/>
    <x v="187"/>
    <s v="BALINERA VOLANTE"/>
    <n v="13"/>
    <n v="390793"/>
    <s v="CENTRO AUTOMOTOR DIESEL S.A CENTRODIESEL"/>
    <s v="DANIELA ALEJANDRA LEON VARGAS"/>
    <n v="12"/>
    <s v="DICIEMBRE"/>
  </r>
  <r>
    <n v="2025"/>
    <s v="15/09/2025"/>
    <s v="RMC"/>
    <n v="6254"/>
    <x v="327"/>
    <s v="VALVULA REG CABEZO (TANDEM)KW VARILL LAR"/>
    <n v="1"/>
    <n v="295000"/>
    <s v="EMPRESA DE DISTRIBUCIONES INDUSTRIALES S.A.S."/>
    <s v="WILLIAM DUVAN REYES DIAZ"/>
    <n v="9"/>
    <s v="SEPTIEMBRE"/>
  </r>
  <r>
    <n v="2025"/>
    <s v="01/12/2025"/>
    <s v="RMC"/>
    <n v="6382"/>
    <x v="371"/>
    <s v="EMPAQUE CAREVACA CAJA - APLICA K3676/71"/>
    <n v="1"/>
    <n v="57579"/>
    <s v="CENTRO AUTOMOTOR DIESEL S.A CENTRODIESEL"/>
    <s v="DANIELA ALEJANDRA LEON VARGAS"/>
    <n v="12"/>
    <s v="DICIEMBRE"/>
  </r>
  <r>
    <n v="2025"/>
    <s v="01/12/2025"/>
    <s v="RMC"/>
    <n v="6382"/>
    <x v="430"/>
    <s v="TAPA PUNTA RUEDA (1612) EN PLASTICO"/>
    <n v="1"/>
    <n v="63449"/>
    <s v="CENTRO AUTOMOTOR DIESEL S.A CENTRODIESEL"/>
    <s v="DANIELA ALEJANDRA LEON VARGAS"/>
    <n v="12"/>
    <s v="DICIEMBRE"/>
  </r>
  <r>
    <n v="2025"/>
    <s v="01/12/2025"/>
    <s v="RMC"/>
    <n v="6382"/>
    <x v="259"/>
    <s v="JUEGO CHAPETA SPL250 (JGOX6)"/>
    <n v="1"/>
    <n v="54512"/>
    <s v="CENTRO AUTOMOTOR DIESEL S.A CENTRODIESEL"/>
    <s v="DANIELA ALEJANDRA LEON VARGAS"/>
    <n v="12"/>
    <s v="DICIEMBRE"/>
  </r>
  <r>
    <n v="2025"/>
    <s v="09/12/2025"/>
    <s v="RMC"/>
    <n v="6398"/>
    <x v="431"/>
    <s v="CANAS PORTA COR ESCUALIZA 9X41 JGOX3"/>
    <n v="2"/>
    <n v="3400000"/>
    <s v="CEMEX COLOMBIA S.A."/>
    <s v="YASMID DEL PILAR URIBE DELGADO"/>
    <n v="12"/>
    <s v="DICIEMBRE"/>
  </r>
  <r>
    <n v="2025"/>
    <s v="09/12/2025"/>
    <s v="RMC"/>
    <n v="6398"/>
    <x v="293"/>
    <s v="CORBATIN SUSPENSION NEUMATICA KENWORTH"/>
    <n v="50"/>
    <n v="6250000"/>
    <s v="CEMEX COLOMBIA S.A."/>
    <s v="YASMID DEL PILAR URIBE DELGADO"/>
    <n v="12"/>
    <s v="DICIEMBRE"/>
  </r>
  <r>
    <n v="2025"/>
    <s v="09/12/2025"/>
    <s v="RMC"/>
    <n v="6398"/>
    <x v="12"/>
    <s v="TAPON IMANTADO TRANSMISION"/>
    <n v="4"/>
    <n v="25500"/>
    <s v="CEMEX COLOMBIA S.A."/>
    <s v="YASMID DEL PILAR URIBE DELGADO"/>
    <n v="12"/>
    <s v="DICIEMBRE"/>
  </r>
  <r>
    <n v="2025"/>
    <s v="09/12/2025"/>
    <s v="RMC"/>
    <n v="6398"/>
    <x v="269"/>
    <s v="ARANDELA PLANETARIO 46160"/>
    <n v="8"/>
    <n v="144000"/>
    <s v="CEMEX COLOMBIA S.A."/>
    <s v="YASMID DEL PILAR URIBE DELGADO"/>
    <n v="12"/>
    <s v="DICIEMBRE"/>
  </r>
  <r>
    <n v="2025"/>
    <s v="09/12/2025"/>
    <s v="RMC"/>
    <n v="6398"/>
    <x v="336"/>
    <s v="KIT RODAMIENTO TRASERO 46160 PAREJO"/>
    <n v="3"/>
    <n v="2880000"/>
    <s v="CEMEX COLOMBIA S.A."/>
    <s v="YASMID DEL PILAR URIBE DELGADO"/>
    <n v="12"/>
    <s v="DICIEMBRE"/>
  </r>
  <r>
    <n v="2025"/>
    <s v="01/12/2025"/>
    <s v="RMC"/>
    <n v="6382"/>
    <x v="111"/>
    <s v="TAPA EJE DE TOMA 2&quot;"/>
    <n v="1"/>
    <n v="88342"/>
    <s v="CENTRO AUTOMOTOR DIESEL S.A CENTRODIESEL"/>
    <s v="DANIELA ALEJANDRA LEON VARGAS"/>
    <n v="12"/>
    <s v="DICIEMBRE"/>
  </r>
  <r>
    <n v="2025"/>
    <s v="26/06/2025"/>
    <s v="RMC"/>
    <n v="6125"/>
    <x v="12"/>
    <s v="TAPON IMANTADO TRANSMISION"/>
    <n v="2"/>
    <n v="12750"/>
    <s v="CEMEX COLOMBIA S.A."/>
    <s v="YASMID DEL PILAR URIBE DELGADO"/>
    <n v="6"/>
    <s v="JUNIO"/>
  </r>
  <r>
    <n v="2025"/>
    <s v="26/06/2025"/>
    <s v="RMC"/>
    <n v="6125"/>
    <x v="294"/>
    <s v="HOJA ZETA 46 MLBS"/>
    <n v="2"/>
    <n v="2370000"/>
    <s v="CEMEX COLOMBIA S.A."/>
    <s v="YASMID DEL PILAR URIBE DELGADO"/>
    <n v="6"/>
    <s v="JUNIO"/>
  </r>
  <r>
    <n v="2025"/>
    <s v="01/12/2025"/>
    <s v="RMC"/>
    <n v="6382"/>
    <x v="370"/>
    <s v="KIT EMBRAGUE KJA AUTOMAT CON DISC COMPAC"/>
    <n v="1"/>
    <n v="6300000"/>
    <s v="CENTRO AUTOMOTOR DIESEL S.A CENTRODIESEL"/>
    <s v="DANIELA ALEJANDRA LEON VARGAS"/>
    <n v="12"/>
    <s v="DICIEMBRE"/>
  </r>
  <r>
    <n v="2025"/>
    <s v="01/12/2025"/>
    <s v="RMC"/>
    <n v="6382"/>
    <x v="251"/>
    <s v="BALINERA 14 BALINES (212) 1212 REFORZADA"/>
    <n v="2"/>
    <n v="221640"/>
    <s v="CENTRO AUTOMOTOR DIESEL S.A CENTRODIESEL"/>
    <s v="DANIELA ALEJANDRA LEON VARGAS"/>
    <n v="12"/>
    <s v="DICIEMBRE"/>
  </r>
  <r>
    <n v="2025"/>
    <s v="01/12/2025"/>
    <s v="RMC"/>
    <n v="6382"/>
    <x v="432"/>
    <s v="KIT EJE DE TOMA CAJA FO-16E318B-MXP"/>
    <n v="1"/>
    <n v="422765"/>
    <s v="CENTRO AUTOMOTOR DIESEL S.A CENTRODIESEL"/>
    <s v="DANIELA ALEJANDRA LEON VARGAS"/>
    <n v="12"/>
    <s v="DICIEMBRE"/>
  </r>
  <r>
    <n v="2025"/>
    <s v="05/09/2025"/>
    <s v="RMC"/>
    <n v="6243"/>
    <x v="212"/>
    <s v="RACOR/CODO"/>
    <n v="1"/>
    <n v="18107"/>
    <s v="CEMEX COLOMBIA S.A."/>
    <s v="YASMID DEL PILAR URIBE DELGADO"/>
    <n v="9"/>
    <s v="SEPTIEMBRE"/>
  </r>
  <r>
    <n v="2025"/>
    <s v="05/09/2025"/>
    <s v="RMC"/>
    <n v="6243"/>
    <x v="130"/>
    <s v="PERA/SENSOR NIVEL REFRIG. EAGLE Y KW"/>
    <n v="2"/>
    <n v="790000"/>
    <s v="CEMEX COLOMBIA S.A."/>
    <s v="YASMID DEL PILAR URIBE DELGADO"/>
    <n v="9"/>
    <s v="SEPTIEMBRE"/>
  </r>
  <r>
    <n v="2025"/>
    <s v="05/09/2025"/>
    <s v="RMC"/>
    <n v="6243"/>
    <x v="284"/>
    <s v="EJE TOMA 2&quot; 14915/16918/8709B"/>
    <n v="1"/>
    <n v="223000"/>
    <s v="CEMEX COLOMBIA S.A."/>
    <s v="YASMID DEL PILAR URIBE DELGADO"/>
    <n v="9"/>
    <s v="SEPTIEMBRE"/>
  </r>
  <r>
    <n v="2025"/>
    <s v="05/09/2025"/>
    <s v="RMC"/>
    <n v="6243"/>
    <x v="288"/>
    <s v="RODILLO MONO RTLO 14915/918 PEST ANGOSTA"/>
    <n v="1"/>
    <n v="330000"/>
    <s v="CEMEX COLOMBIA S.A."/>
    <s v="YASMID DEL PILAR URIBE DELGADO"/>
    <n v="9"/>
    <s v="SEPTIEMBRE"/>
  </r>
  <r>
    <n v="2025"/>
    <s v="05/09/2025"/>
    <s v="RMC"/>
    <n v="6243"/>
    <x v="433"/>
    <s v="CONECTOR CABLE,VOLTAJE 12 V,FORRO ACERO GALVANIZADO,TIPO CONECTOR CABLE 7 VIAS, AMPERAJE 60 A"/>
    <n v="6"/>
    <n v="180000"/>
    <s v="CEMEX COLOMBIA S.A."/>
    <s v="YASMID DEL PILAR URIBE DELGADO"/>
    <n v="9"/>
    <s v="SEPTIEMBRE"/>
  </r>
  <r>
    <n v="2025"/>
    <s v="05/09/2025"/>
    <s v="RMC"/>
    <n v="6243"/>
    <x v="110"/>
    <s v="SOPORTE TRASERO MOTOR HI"/>
    <n v="1"/>
    <n v="83000"/>
    <s v="CEMEX COLOMBIA S.A."/>
    <s v="YASMID DEL PILAR URIBE DELGADO"/>
    <n v="9"/>
    <s v="SEPTIEMBRE"/>
  </r>
  <r>
    <n v="2025"/>
    <s v="05/09/2025"/>
    <s v="RMC"/>
    <n v="6243"/>
    <x v="434"/>
    <s v="CÁMARA DE FRENO DE SERVICIO TIPO 20 CON CONJUNTO DE HORQUILLA"/>
    <n v="4"/>
    <n v="220000"/>
    <s v="CEMEX COLOMBIA S.A."/>
    <s v="YASMID DEL PILAR URIBE DELGADO"/>
    <n v="9"/>
    <s v="SEPTIEMBRE"/>
  </r>
  <r>
    <n v="2025"/>
    <s v="25/11/2025"/>
    <s v="RMC"/>
    <n v="6370"/>
    <x v="435"/>
    <s v="PORTA RETEN/ BUJE LEVA 1 1/2&quot;FRENO DELAN"/>
    <n v="3"/>
    <n v="165030"/>
    <s v="TRANSPORTES Y SERVICIOS TRANSER SAS"/>
    <s v="JONATHAN PAEZ PEDRAZA"/>
    <n v="11"/>
    <s v="NOVIEMBRE"/>
  </r>
  <r>
    <n v="2025"/>
    <s v="25/11/2025"/>
    <s v="RMC"/>
    <n v="6370"/>
    <x v="436"/>
    <s v="MANGUERA CAJA 34&quot; LARGA"/>
    <n v="1"/>
    <n v="49000"/>
    <s v="TRANSPORTES Y SERVICIOS TRANSER SAS"/>
    <s v="JONATHAN PAEZ PEDRAZA"/>
    <n v="11"/>
    <s v="NOVIEMBRE"/>
  </r>
  <r>
    <n v="2025"/>
    <s v="20/10/2025"/>
    <s v="RMC"/>
    <n v="6321"/>
    <x v="239"/>
    <s v="TORNILLO SILLÍN 10 1/2&quot;"/>
    <n v="1"/>
    <n v="61000"/>
    <s v="TRANSPORTES Y SERVICIOS TRANSER SAS"/>
    <s v="JONATHAN PAEZ PEDRAZA"/>
    <n v="10"/>
    <s v="OCTUBRE"/>
  </r>
  <r>
    <n v="2025"/>
    <s v="20/10/2025"/>
    <s v="RMC"/>
    <n v="6321"/>
    <x v="314"/>
    <s v="TUERCA SILLIN"/>
    <n v="1"/>
    <n v="18000"/>
    <s v="TRANSPORTES Y SERVICIOS TRANSER SAS"/>
    <s v="JONATHAN PAEZ PEDRAZA"/>
    <n v="10"/>
    <s v="OCTUBRE"/>
  </r>
  <r>
    <n v="2025"/>
    <s v="25/11/2025"/>
    <s v="RMC"/>
    <n v="6370"/>
    <x v="295"/>
    <s v="TAPA VARILLA  NIVEL HIDRAULI KW &amp; EAGLE"/>
    <n v="1"/>
    <n v="42000"/>
    <s v="TRANSPORTES Y SERVICIOS TRANSER SAS"/>
    <s v="JONATHAN PAEZ PEDRAZA"/>
    <n v="11"/>
    <s v="NOVIEMBRE"/>
  </r>
  <r>
    <n v="2025"/>
    <s v="25/11/2025"/>
    <s v="RMC"/>
    <n v="6370"/>
    <x v="79"/>
    <s v="KIT FAN CLUTCH TIPO KYSOR K32-S JGX7"/>
    <n v="1"/>
    <n v="447000"/>
    <s v="TRANSPORTES Y SERVICIOS TRANSER SAS"/>
    <s v="JONATHAN PAEZ PEDRAZA"/>
    <n v="11"/>
    <s v="NOVIEMBRE"/>
  </r>
  <r>
    <n v="2025"/>
    <s v="25/11/2025"/>
    <s v="RMC"/>
    <n v="6370"/>
    <x v="225"/>
    <s v="KIT DE REPARACION MENOR DRIVE MASTER"/>
    <n v="1"/>
    <n v="475000"/>
    <s v="TRANSPORTES Y SERVICIOS TRANSER SAS"/>
    <s v="JONATHAN PAEZ PEDRAZA"/>
    <n v="11"/>
    <s v="NOVIEMBRE"/>
  </r>
  <r>
    <n v="2025"/>
    <s v="25/11/2025"/>
    <s v="RMC"/>
    <n v="6370"/>
    <x v="292"/>
    <s v="BOLSA  HAM8.88ANxA1TCx 3.12ALx2F+2T"/>
    <n v="1"/>
    <n v="451000"/>
    <s v="TRANSPORTES Y SERVICIOS TRANSER SAS"/>
    <s v="JONATHAN PAEZ PEDRAZA"/>
    <n v="11"/>
    <s v="NOVIEMBRE"/>
  </r>
  <r>
    <n v="2025"/>
    <s v="25/11/2025"/>
    <s v="RMC"/>
    <n v="6370"/>
    <x v="160"/>
    <s v="ARANDELA BUJE TRIFUNCIONAL"/>
    <n v="2"/>
    <n v="126000"/>
    <s v="TRANSPORTES Y SERVICIOS TRANSER SAS"/>
    <s v="JONATHAN PAEZ PEDRAZA"/>
    <n v="11"/>
    <s v="NOVIEMBRE"/>
  </r>
  <r>
    <n v="2025"/>
    <s v="25/11/2025"/>
    <s v="RMC"/>
    <n v="6370"/>
    <x v="327"/>
    <s v="VALVULA REG CABEZO (TANDEM)KW VARILL LAR"/>
    <n v="1"/>
    <n v="276000"/>
    <s v="TRANSPORTES Y SERVICIOS TRANSER SAS"/>
    <s v="JONATHAN PAEZ PEDRAZA"/>
    <n v="11"/>
    <s v="NOVIEMBRE"/>
  </r>
  <r>
    <n v="2025"/>
    <s v="25/11/2025"/>
    <s v="RMC"/>
    <n v="6370"/>
    <x v="400"/>
    <s v="BOLSA TAN 9.12ANxA1E1&quot;5/16x11.80AL+1T BR"/>
    <n v="1"/>
    <n v="445000"/>
    <s v="TRANSPORTES Y SERVICIOS TRANSER SAS"/>
    <s v="JONATHAN PAEZ PEDRAZA"/>
    <n v="11"/>
    <s v="NOVIEMBRE"/>
  </r>
  <r>
    <n v="2025"/>
    <s v="25/11/2025"/>
    <s v="RMC"/>
    <n v="6370"/>
    <x v="293"/>
    <s v="CORBATIN SUSPENSION NEUMATICA KENWORTH"/>
    <n v="2"/>
    <n v="240000"/>
    <s v="TRANSPORTES Y SERVICIOS TRANSER SAS"/>
    <s v="JONATHAN PAEZ PEDRAZA"/>
    <n v="11"/>
    <s v="NOVIEMBRE"/>
  </r>
  <r>
    <n v="2025"/>
    <s v="25/11/2025"/>
    <s v="RMC"/>
    <n v="6370"/>
    <x v="294"/>
    <s v="HOJA ZETA 46 MLBS"/>
    <n v="1"/>
    <n v="1200000"/>
    <s v="TRANSPORTES Y SERVICIOS TRANSER SAS"/>
    <s v="JONATHAN PAEZ PEDRAZA"/>
    <n v="11"/>
    <s v="NOVIEMBRE"/>
  </r>
  <r>
    <n v="2025"/>
    <s v="25/11/2025"/>
    <s v="RMC"/>
    <n v="6370"/>
    <x v="437"/>
    <s v="VALVULA DOBLE BOTON GRIS 18 CAMBIOS"/>
    <n v="1"/>
    <n v="280000"/>
    <s v="TRANSPORTES Y SERVICIOS TRANSER SAS"/>
    <s v="JONATHAN PAEZ PEDRAZA"/>
    <n v="11"/>
    <s v="NOVIEMBRE"/>
  </r>
  <r>
    <n v="2025"/>
    <s v="25/11/2025"/>
    <s v="RMC"/>
    <n v="6370"/>
    <x v="438"/>
    <s v="TUERCA EJE DE SALIDA 46-170"/>
    <n v="1"/>
    <n v="50000"/>
    <s v="TRANSPORTES Y SERVICIOS TRANSER SAS"/>
    <s v="JONATHAN PAEZ PEDRAZA"/>
    <n v="11"/>
    <s v="NOVIEMBRE"/>
  </r>
  <r>
    <n v="2025"/>
    <s v="25/11/2025"/>
    <s v="RMC"/>
    <n v="6370"/>
    <x v="213"/>
    <s v="RETENEDOR DIVISOR 46160"/>
    <n v="1"/>
    <n v="158137"/>
    <s v="TRANSPORTES Y SERVICIOS TRANSER SAS"/>
    <s v="JONATHAN PAEZ PEDRAZA"/>
    <n v="11"/>
    <s v="NOVIEMBRE"/>
  </r>
  <r>
    <n v="2025"/>
    <s v="25/11/2025"/>
    <s v="RMC"/>
    <n v="6370"/>
    <x v="322"/>
    <s v="CAUCHO TAPA DIVISOR"/>
    <n v="2"/>
    <n v="34000"/>
    <s v="TRANSPORTES Y SERVICIOS TRANSER SAS"/>
    <s v="JONATHAN PAEZ PEDRAZA"/>
    <n v="11"/>
    <s v="NOVIEMBRE"/>
  </r>
  <r>
    <n v="2025"/>
    <s v="25/11/2025"/>
    <s v="RMC"/>
    <n v="6370"/>
    <x v="439"/>
    <s v="CAUCHO EJE SALIDA 44/46 MLB"/>
    <n v="2"/>
    <n v="5000"/>
    <s v="TRANSPORTES Y SERVICIOS TRANSER SAS"/>
    <s v="JONATHAN PAEZ PEDRAZA"/>
    <n v="11"/>
    <s v="NOVIEMBRE"/>
  </r>
  <r>
    <n v="2025"/>
    <s v="25/11/2025"/>
    <s v="RMC"/>
    <n v="6370"/>
    <x v="167"/>
    <s v="CONO DE 5/8&quot; CERRADO"/>
    <n v="2"/>
    <n v="11000"/>
    <s v="TRANSPORTES Y SERVICIOS TRANSER SAS"/>
    <s v="JONATHAN PAEZ PEDRAZA"/>
    <n v="11"/>
    <s v="NOVIEMBRE"/>
  </r>
  <r>
    <n v="2025"/>
    <s v="17/12/2025"/>
    <s v="RMC"/>
    <n v="6414"/>
    <x v="440"/>
    <s v="SET ROD Y PISTA72212C/72487 SPEED DEL,TR"/>
    <n v="1"/>
    <n v="245000"/>
    <s v="TRANSPORTES Y SERVICIOS TRANSER SAS"/>
    <s v="JONATHAN PAEZ PEDRAZA"/>
    <n v="12"/>
    <s v="DICIEMBRE"/>
  </r>
  <r>
    <n v="2025"/>
    <s v="17/12/2025"/>
    <s v="RMC"/>
    <n v="6414"/>
    <x v="436"/>
    <s v="MANGUERA CAJA 34&quot; LARGA"/>
    <n v="1"/>
    <n v="49000"/>
    <s v="TRANSPORTES Y SERVICIOS TRANSER SAS"/>
    <s v="JONATHAN PAEZ PEDRAZA"/>
    <n v="12"/>
    <s v="DICIEMBRE"/>
  </r>
  <r>
    <n v="2025"/>
    <s v="17/12/2025"/>
    <s v="RMC"/>
    <n v="6414"/>
    <x v="219"/>
    <s v="RACHE FRENO MEC. 1-1/2&quot;28E"/>
    <n v="1"/>
    <n v="82000"/>
    <s v="TRANSPORTES Y SERVICIOS TRANSER SAS"/>
    <s v="JONATHAN PAEZ PEDRAZA"/>
    <n v="12"/>
    <s v="DICIEMBRE"/>
  </r>
  <r>
    <n v="2025"/>
    <s v="17/12/2025"/>
    <s v="RMC"/>
    <n v="6414"/>
    <x v="386"/>
    <s v="KIT REPAR RODAJAS Y RESORT FRENO KW ETN"/>
    <n v="2"/>
    <n v="60000"/>
    <s v="TRANSPORTES Y SERVICIOS TRANSER SAS"/>
    <s v="JONATHAN PAEZ PEDRAZA"/>
    <n v="12"/>
    <s v="DICIEMBRE"/>
  </r>
  <r>
    <n v="2025"/>
    <s v="17/12/2025"/>
    <s v="RMC"/>
    <n v="6414"/>
    <x v="154"/>
    <s v="KIT DE REP LEVA FREN TRAILER ROMARCO"/>
    <n v="1"/>
    <n v="188000"/>
    <s v="TRANSPORTES Y SERVICIOS TRANSER SAS"/>
    <s v="JONATHAN PAEZ PEDRAZA"/>
    <n v="12"/>
    <s v="DICIEMBRE"/>
  </r>
  <r>
    <n v="2025"/>
    <s v="17/12/2025"/>
    <s v="RMC"/>
    <n v="6414"/>
    <x v="291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7/12/2025"/>
    <s v="RMC"/>
    <n v="6414"/>
    <x v="304"/>
    <s v="ARANDELA TORNILLO PUNTA EJE MONO 918"/>
    <n v="1"/>
    <n v="56000"/>
    <s v="TRANSPORTES Y SERVICIOS TRANSER SAS"/>
    <s v="JONATHAN PAEZ PEDRAZA"/>
    <n v="12"/>
    <s v="DICIEMBRE"/>
  </r>
  <r>
    <n v="2025"/>
    <s v="17/12/2025"/>
    <s v="RMC"/>
    <n v="6414"/>
    <x v="308"/>
    <s v="TAPON IMAN LLENADO ACEITE 1 1/16&quot; CON OR"/>
    <n v="1"/>
    <n v="17500"/>
    <s v="TRANSPORTES Y SERVICIOS TRANSER SAS"/>
    <s v="JONATHAN PAEZ PEDRAZA"/>
    <n v="12"/>
    <s v="DICIEMBRE"/>
  </r>
  <r>
    <n v="2025"/>
    <s v="17/12/2025"/>
    <s v="RMC"/>
    <n v="6414"/>
    <x v="299"/>
    <s v="PIÑON EJE DE TOMA 16918"/>
    <n v="1"/>
    <n v="421000"/>
    <s v="TRANSPORTES Y SERVICIOS TRANSER SAS"/>
    <s v="JONATHAN PAEZ PEDRAZA"/>
    <n v="12"/>
    <s v="DICIEMBRE"/>
  </r>
  <r>
    <n v="2025"/>
    <s v="17/12/2025"/>
    <s v="RMC"/>
    <n v="6414"/>
    <x v="217"/>
    <s v="PIÑON 4TA CDIZO 16918"/>
    <n v="1"/>
    <n v="356000"/>
    <s v="TRANSPORTES Y SERVICIOS TRANSER SAS"/>
    <s v="JONATHAN PAEZ PEDRAZA"/>
    <n v="12"/>
    <s v="DICIEMBRE"/>
  </r>
  <r>
    <n v="2025"/>
    <s v="17/12/2025"/>
    <s v="RMC"/>
    <n v="6414"/>
    <x v="391"/>
    <s v="KIT RODAMIENTO 16918"/>
    <n v="1"/>
    <n v="2100000"/>
    <s v="TRANSPORTES Y SERVICIOS TRANSER SAS"/>
    <s v="JONATHAN PAEZ PEDRAZA"/>
    <n v="12"/>
    <s v="DICIEMBRE"/>
  </r>
  <r>
    <n v="2025"/>
    <s v="17/12/2025"/>
    <s v="RMC"/>
    <n v="6414"/>
    <x v="82"/>
    <s v="RODILLO TORRE MONO 918"/>
    <n v="1"/>
    <n v="105000"/>
    <s v="TRANSPORTES Y SERVICIOS TRANSER SAS"/>
    <s v="JONATHAN PAEZ PEDRAZA"/>
    <n v="12"/>
    <s v="DICIEMBRE"/>
  </r>
  <r>
    <n v="2025"/>
    <s v="17/12/2025"/>
    <s v="RMC"/>
    <n v="6414"/>
    <x v="254"/>
    <s v="PIÑÓN CENT 918"/>
    <n v="1"/>
    <n v="460000"/>
    <s v="TRANSPORTES Y SERVICIOS TRANSER SAS"/>
    <s v="JONATHAN PAEZ PEDRAZA"/>
    <n v="12"/>
    <s v="DICIEMBRE"/>
  </r>
  <r>
    <n v="2025"/>
    <s v="17/12/2025"/>
    <s v="RMC"/>
    <n v="6414"/>
    <x v="315"/>
    <s v="PIÑON 1RA CDIZO 918"/>
    <n v="1"/>
    <n v="245000"/>
    <s v="TRANSPORTES Y SERVICIOS TRANSER SAS"/>
    <s v="JONATHAN PAEZ PEDRAZA"/>
    <n v="12"/>
    <s v="DICIEMBRE"/>
  </r>
  <r>
    <n v="2025"/>
    <s v="17/12/2025"/>
    <s v="RMC"/>
    <n v="6414"/>
    <x v="285"/>
    <s v="PIÑÓN 2DA TREN FIJO 16918"/>
    <n v="2"/>
    <n v="310000"/>
    <s v="TRANSPORTES Y SERVICIOS TRANSER SAS"/>
    <s v="JONATHAN PAEZ PEDRAZA"/>
    <n v="12"/>
    <s v="DICIEMBRE"/>
  </r>
  <r>
    <n v="2025"/>
    <s v="17/12/2025"/>
    <s v="RMC"/>
    <n v="6414"/>
    <x v="316"/>
    <s v="ARANDELA EST INT CDIZO- BLANCA // 249MM"/>
    <n v="1"/>
    <n v="33000"/>
    <s v="TRANSPORTES Y SERVICIOS TRANSER SAS"/>
    <s v="JONATHAN PAEZ PEDRAZA"/>
    <n v="12"/>
    <s v="DICIEMBRE"/>
  </r>
  <r>
    <n v="2025"/>
    <s v="17/12/2025"/>
    <s v="RMC"/>
    <n v="6414"/>
    <x v="317"/>
    <s v="ARANDELA EST.INT CDIZO  14/16918"/>
    <n v="2"/>
    <n v="80000"/>
    <s v="TRANSPORTES Y SERVICIOS TRANSER SAS"/>
    <s v="JONATHAN PAEZ PEDRAZA"/>
    <n v="12"/>
    <s v="DICIEMBRE"/>
  </r>
  <r>
    <n v="2025"/>
    <s v="17/12/2025"/>
    <s v="RMC"/>
    <n v="6414"/>
    <x v="378"/>
    <s v="ARANDELA EST INT CDIZO RT/RTLO TODAS"/>
    <n v="4"/>
    <n v="124000"/>
    <s v="TRANSPORTES Y SERVICIOS TRANSER SAS"/>
    <s v="JONATHAN PAEZ PEDRAZA"/>
    <n v="12"/>
    <s v="DICIEMBRE"/>
  </r>
  <r>
    <n v="2025"/>
    <s v="17/12/2025"/>
    <s v="RMC"/>
    <n v="6414"/>
    <x v="173"/>
    <s v="PIÑON 2DA CDZO 14718/16918"/>
    <n v="1"/>
    <n v="395000"/>
    <s v="TRANSPORTES Y SERVICIOS TRANSER SAS"/>
    <s v="JONATHAN PAEZ PEDRAZA"/>
    <n v="12"/>
    <s v="DICIEMBRE"/>
  </r>
  <r>
    <n v="2025"/>
    <s v="17/12/2025"/>
    <s v="RMC"/>
    <n v="6414"/>
    <x v="216"/>
    <s v="SINCRONIZADOR (JGO X 5) TODAS PATA GRUES"/>
    <n v="1"/>
    <n v="348000"/>
    <s v="TRANSPORTES Y SERVICIOS TRANSER SAS"/>
    <s v="JONATHAN PAEZ PEDRAZA"/>
    <n v="12"/>
    <s v="DICIEMBRE"/>
  </r>
  <r>
    <n v="2025"/>
    <s v="17/12/2025"/>
    <s v="RMC"/>
    <n v="6414"/>
    <x v="441"/>
    <s v="PIÑON DEL BAJO 16918"/>
    <n v="1"/>
    <n v="380000"/>
    <s v="TRANSPORTES Y SERVICIOS TRANSER SAS"/>
    <s v="JONATHAN PAEZ PEDRAZA"/>
    <n v="12"/>
    <s v="DICIEMBRE"/>
  </r>
  <r>
    <n v="2025"/>
    <s v="17/12/2025"/>
    <s v="RMC"/>
    <n v="6414"/>
    <x v="302"/>
    <s v="PIÑA CDIZO 14/16"/>
    <n v="1"/>
    <n v="85000"/>
    <s v="TRANSPORTES Y SERVICIOS TRANSER SAS"/>
    <s v="JONATHAN PAEZ PEDRAZA"/>
    <n v="12"/>
    <s v="DICIEMBRE"/>
  </r>
  <r>
    <n v="2025"/>
    <s v="17/12/2025"/>
    <s v="RMC"/>
    <n v="6414"/>
    <x v="318"/>
    <s v="VARILLA CORREDIZO 16918"/>
    <n v="1"/>
    <n v="14500"/>
    <s v="TRANSPORTES Y SERVICIOS TRANSER SAS"/>
    <s v="JONATHAN PAEZ PEDRAZA"/>
    <n v="12"/>
    <s v="DICIEMBRE"/>
  </r>
  <r>
    <n v="2025"/>
    <s v="17/12/2025"/>
    <s v="RMC"/>
    <n v="6414"/>
    <x v="321"/>
    <s v="PIN PIÑONES CORREDIZO"/>
    <n v="1"/>
    <n v="3000"/>
    <s v="TRANSPORTES Y SERVICIOS TRANSER SAS"/>
    <s v="JONATHAN PAEZ PEDRAZA"/>
    <n v="12"/>
    <s v="DICIEMBRE"/>
  </r>
  <r>
    <n v="2025"/>
    <s v="17/12/2025"/>
    <s v="RMC"/>
    <n v="6414"/>
    <x v="12"/>
    <s v="TAPON IMANTADO TRANSMISION"/>
    <n v="1"/>
    <n v="7000"/>
    <s v="TRANSPORTES Y SERVICIOS TRANSER SAS"/>
    <s v="JONATHAN PAEZ PEDRAZA"/>
    <n v="12"/>
    <s v="DICIEMBRE"/>
  </r>
  <r>
    <n v="2025"/>
    <s v="17/12/2025"/>
    <s v="RMC"/>
    <n v="6414"/>
    <x v="442"/>
    <s v="SET ROD Y PISTA PLANA DEL/TRASER 46MLB"/>
    <n v="1"/>
    <n v="549000"/>
    <s v="TRANSPORTES Y SERVICIOS TRANSER SAS"/>
    <s v="JONATHAN PAEZ PEDRAZA"/>
    <n v="12"/>
    <s v="DICIEMBRE"/>
  </r>
  <r>
    <n v="2025"/>
    <s v="17/12/2025"/>
    <s v="RMC"/>
    <n v="6414"/>
    <x v="443"/>
    <s v="SET ROD Y PISTA 42381/584 LAT. 46.000 LB"/>
    <n v="1"/>
    <n v="411000"/>
    <s v="TRANSPORTES Y SERVICIOS TRANSER SAS"/>
    <s v="JONATHAN PAEZ PEDRAZA"/>
    <n v="12"/>
    <s v="DICIEMBRE"/>
  </r>
  <r>
    <n v="2025"/>
    <s v="17/12/2025"/>
    <s v="RMC"/>
    <n v="6414"/>
    <x v="444"/>
    <s v="ARANDELA SATÈLITE ESC 46 LBS PLANA"/>
    <n v="4"/>
    <n v="72000"/>
    <s v="TRANSPORTES Y SERVICIOS TRANSER SAS"/>
    <s v="JONATHAN PAEZ PEDRAZA"/>
    <n v="12"/>
    <s v="DICIEMBRE"/>
  </r>
  <r>
    <n v="2025"/>
    <s v="17/12/2025"/>
    <s v="RMC"/>
    <n v="6414"/>
    <x v="445"/>
    <s v="ARANDELA PLANETARIO DS 46 PLANA"/>
    <n v="2"/>
    <n v="50000"/>
    <s v="TRANSPORTES Y SERVICIOS TRANSER SAS"/>
    <s v="JONATHAN PAEZ PEDRAZA"/>
    <n v="12"/>
    <s v="DICIEMBRE"/>
  </r>
  <r>
    <n v="2025"/>
    <s v="17/12/2025"/>
    <s v="RMC"/>
    <n v="6414"/>
    <x v="446"/>
    <s v="RODILLO DEL SPEED DS/DP 46ML TIPO FIJO"/>
    <n v="1"/>
    <n v="391000"/>
    <s v="TRANSPORTES Y SERVICIOS TRANSER SAS"/>
    <s v="JONATHAN PAEZ PEDRAZA"/>
    <n v="12"/>
    <s v="DICIEMBRE"/>
  </r>
  <r>
    <n v="2025"/>
    <s v="17/12/2025"/>
    <s v="RMC"/>
    <n v="6414"/>
    <x v="447"/>
    <s v="SET EJE DIV PLANA/C BAJO (JM511946/JM51"/>
    <n v="1"/>
    <n v="160000"/>
    <s v="TRANSPORTES Y SERVICIOS TRANSER SAS"/>
    <s v="JONATHAN PAEZ PEDRAZA"/>
    <n v="12"/>
    <s v="DICIEMBRE"/>
  </r>
  <r>
    <n v="2025"/>
    <s v="17/12/2025"/>
    <s v="RMC"/>
    <n v="6414"/>
    <x v="402"/>
    <s v="RETEN EJE DE SALIDA DP46"/>
    <n v="1"/>
    <n v="128000"/>
    <s v="TRANSPORTES Y SERVICIOS TRANSER SAS"/>
    <s v="JONATHAN PAEZ PEDRAZA"/>
    <n v="12"/>
    <s v="DICIEMBRE"/>
  </r>
  <r>
    <n v="2025"/>
    <s v="17/12/2025"/>
    <s v="RMC"/>
    <n v="6414"/>
    <x v="403"/>
    <s v="RETEN EJE DIVISOR 46ML C/BAJO Y PLANO"/>
    <n v="3"/>
    <n v="465000"/>
    <s v="TRANSPORTES Y SERVICIOS TRANSER SAS"/>
    <s v="JONATHAN PAEZ PEDRAZA"/>
    <n v="12"/>
    <s v="DICIEMBRE"/>
  </r>
  <r>
    <n v="2025"/>
    <s v="17/12/2025"/>
    <s v="RMC"/>
    <n v="6414"/>
    <x v="448"/>
    <s v="BOLSA TRA10.62ANx7.75CEx19.25AL+7.88D+4T"/>
    <n v="2"/>
    <n v="966000"/>
    <s v="TRANSPORTES Y SERVICIOS TRANSER SAS"/>
    <s v="JONATHAN PAEZ PEDRAZA"/>
    <n v="12"/>
    <s v="DICIEMBRE"/>
  </r>
  <r>
    <n v="2025"/>
    <s v="17/12/2025"/>
    <s v="RMC"/>
    <n v="6414"/>
    <x v="294"/>
    <s v="HOJA ZETA 46 MLBS"/>
    <n v="1"/>
    <n v="1200000"/>
    <s v="TRANSPORTES Y SERVICIOS TRANSER SAS"/>
    <s v="JONATHAN PAEZ PEDRAZA"/>
    <n v="12"/>
    <s v="DICIEMBRE"/>
  </r>
  <r>
    <n v="2025"/>
    <s v="17/12/2025"/>
    <s v="RMC"/>
    <n v="6414"/>
    <x v="449"/>
    <s v="PASADOR LARGO EAGLE ESPECIAL"/>
    <n v="1"/>
    <n v="65000"/>
    <s v="TRANSPORTES Y SERVICIOS TRANSER SAS"/>
    <s v="JONATHAN PAEZ PEDRAZA"/>
    <n v="12"/>
    <s v="DICIEMBRE"/>
  </r>
  <r>
    <n v="2025"/>
    <s v="17/12/2025"/>
    <s v="RMC"/>
    <n v="6414"/>
    <x v="416"/>
    <s v="PASADOR CLUTCH CORTO KENWORTH"/>
    <n v="1"/>
    <n v="45000"/>
    <s v="TRANSPORTES Y SERVICIOS TRANSER SAS"/>
    <s v="JONATHAN PAEZ PEDRAZA"/>
    <n v="12"/>
    <s v="DICIEMBRE"/>
  </r>
  <r>
    <n v="2025"/>
    <s v="17/12/2025"/>
    <s v="RMC"/>
    <n v="6414"/>
    <x v="212"/>
    <s v="RACOR/CODO"/>
    <n v="3"/>
    <n v="63000"/>
    <s v="TRANSPORTES Y SERVICIOS TRANSER SAS"/>
    <s v="JONATHAN PAEZ PEDRAZA"/>
    <n v="12"/>
    <s v="DICIEMBRE"/>
  </r>
  <r>
    <n v="2025"/>
    <s v="17/12/2025"/>
    <s v="RMC"/>
    <n v="6414"/>
    <x v="343"/>
    <s v="O'RING EJE TOMA TODAS"/>
    <n v="1"/>
    <n v="5000"/>
    <s v="TRANSPORTES Y SERVICIOS TRANSER SAS"/>
    <s v="JONATHAN PAEZ PEDRAZA"/>
    <n v="12"/>
    <s v="DICIEMBRE"/>
  </r>
  <r>
    <n v="2025"/>
    <s v="17/12/2025"/>
    <s v="RMC"/>
    <n v="6414"/>
    <x v="450"/>
    <s v="KIT BOMBA ACEITE CAJA JGOX3 14718/918/16"/>
    <n v="1"/>
    <n v="422000"/>
    <s v="TRANSPORTES Y SERVICIOS TRANSER SAS"/>
    <s v="JONATHAN PAEZ PEDRAZA"/>
    <n v="12"/>
    <s v="DICIEMBRE"/>
  </r>
  <r>
    <n v="2025"/>
    <s v="17/12/2025"/>
    <s v="RMC"/>
    <n v="6414"/>
    <x v="301"/>
    <s v="TAPA CARCASA MONO 14718/918"/>
    <n v="1"/>
    <n v="240000"/>
    <s v="TRANSPORTES Y SERVICIOS TRANSER SAS"/>
    <s v="JONATHAN PAEZ PEDRAZA"/>
    <n v="12"/>
    <s v="DICIEMBRE"/>
  </r>
  <r>
    <n v="2025"/>
    <s v="17/12/2025"/>
    <s v="RMC"/>
    <n v="6414"/>
    <x v="115"/>
    <s v="PIÑA CDIZO"/>
    <n v="1"/>
    <n v="103000"/>
    <s v="TRANSPORTES Y SERVICIOS TRANSER SAS"/>
    <s v="JONATHAN PAEZ PEDRAZA"/>
    <n v="12"/>
    <s v="DICIEMBRE"/>
  </r>
  <r>
    <n v="2025"/>
    <s v="17/12/2025"/>
    <s v="RMC"/>
    <n v="6414"/>
    <x v="339"/>
    <s v="VALVULA REGULADORA 14715/18/915/918/16"/>
    <n v="1"/>
    <n v="260000"/>
    <s v="TRANSPORTES Y SERVICIOS TRANSER SAS"/>
    <s v="JONATHAN PAEZ PEDRAZA"/>
    <n v="12"/>
    <s v="DICIEMBRE"/>
  </r>
  <r>
    <n v="2025"/>
    <s v="17/12/2025"/>
    <s v="RMC"/>
    <n v="6414"/>
    <x v="451"/>
    <s v="KIT DE PIÑONES BOMBA DE ACEITE DP/DS 461"/>
    <n v="1"/>
    <n v="335000"/>
    <s v="TRANSPORTES Y SERVICIOS TRANSER SAS"/>
    <s v="JONATHAN PAEZ PEDRAZA"/>
    <n v="12"/>
    <s v="DICIEMBRE"/>
  </r>
  <r>
    <n v="2025"/>
    <s v="17/12/2025"/>
    <s v="RMC"/>
    <n v="6414"/>
    <x v="452"/>
    <s v="ARANDELA DIVI 44/46 MLB PLANA Y C/BAJO"/>
    <n v="1"/>
    <n v="92000"/>
    <s v="TRANSPORTES Y SERVICIOS TRANSER SAS"/>
    <s v="JONATHAN PAEZ PEDRAZA"/>
    <n v="12"/>
    <s v="DICIEMBRE"/>
  </r>
  <r>
    <n v="2025"/>
    <s v="17/12/2025"/>
    <s v="RMC"/>
    <n v="6414"/>
    <x v="453"/>
    <s v="ARANDELA SATELITE DIVI DS/DP 46 MLB PLNA"/>
    <n v="1"/>
    <n v="17000"/>
    <s v="TRANSPORTES Y SERVICIOS TRANSER SAS"/>
    <s v="JONATHAN PAEZ PEDRAZA"/>
    <n v="12"/>
    <s v="DICIEMBRE"/>
  </r>
  <r>
    <n v="2025"/>
    <s v="17/12/2025"/>
    <s v="RMC"/>
    <n v="6414"/>
    <x v="222"/>
    <s v="TAPA NEGRA DEFENDER PASTA 4 1/2 &quot; PEQUEÑ"/>
    <n v="1"/>
    <n v="66000"/>
    <s v="TRANSPORTES Y SERVICIOS TRANSER SAS"/>
    <s v="JONATHAN PAEZ PEDRAZA"/>
    <n v="12"/>
    <s v="DICIEMBRE"/>
  </r>
  <r>
    <n v="2025"/>
    <s v="04/09/2025"/>
    <s v="RMC"/>
    <n v="6238"/>
    <x v="352"/>
    <s v="RETENEDOR EJE DE TRAILER"/>
    <n v="3"/>
    <n v="211500"/>
    <s v="CEMEX COLOMBIA S.A."/>
    <s v="YASMID DEL PILAR URIBE DELGADO"/>
    <n v="9"/>
    <s v="SEPTIEMBRE"/>
  </r>
  <r>
    <n v="2025"/>
    <s v="04/09/2025"/>
    <s v="RMC"/>
    <n v="6238"/>
    <x v="216"/>
    <s v="SINCRONIZADOR (JGO X 5) TODAS PATA GRUES"/>
    <n v="1"/>
    <n v="340000"/>
    <s v="CEMEX COLOMBIA S.A."/>
    <s v="YASMID DEL PILAR URIBE DELGADO"/>
    <n v="9"/>
    <s v="SEPTIEMBRE"/>
  </r>
  <r>
    <n v="2025"/>
    <s v="10/10/2025"/>
    <s v="RMC"/>
    <n v="6307"/>
    <x v="202"/>
    <s v="FILTRO FLUIDOS, FLEETGUARD, HF6710, DONALDSON, P550388, PARKER, 2116110,BALDWIN, BT28710, GARDNER DENVER, 2116110, ACEITE, DIAMETRO 123 MM (CATERPILLAR)"/>
    <n v="2"/>
    <n v="118000"/>
    <s v="CEMEX COLOMBIA S.A."/>
    <s v="YASMID DEL PILAR URIBE DELGADO"/>
    <n v="10"/>
    <s v="OCTUBRE"/>
  </r>
  <r>
    <n v="2025"/>
    <s v="23/09/2025"/>
    <s v="RMC"/>
    <n v="6269"/>
    <x v="375"/>
    <s v="CAUCHO TAPA DIVISOR"/>
    <n v="2"/>
    <n v="17396"/>
    <s v="CEMEX COLOMBIA S.A."/>
    <s v="YASMID DEL PILAR URIBE DELGADO"/>
    <n v="9"/>
    <s v="SEPTIEMBRE"/>
  </r>
  <r>
    <n v="2025"/>
    <s v="23/09/2025"/>
    <s v="RMC"/>
    <n v="6269"/>
    <x v="288"/>
    <s v="RODILLO MONO RTLO 14915/918 PEST ANGOSTA"/>
    <n v="1"/>
    <n v="330000"/>
    <s v="CEMEX COLOMBIA S.A."/>
    <s v="YASMID DEL PILAR URIBE DELGADO"/>
    <n v="9"/>
    <s v="SEPTIEMBRE"/>
  </r>
  <r>
    <n v="2025"/>
    <s v="23/09/2025"/>
    <s v="RMC"/>
    <n v="6269"/>
    <x v="454"/>
    <s v="VALVULA SOLENOIDE O DE PARO MOTORES"/>
    <n v="2"/>
    <n v="262000"/>
    <s v="CEMEX COLOMBIA S.A."/>
    <s v="YASMID DEL PILAR URIBE DELGADO"/>
    <n v="9"/>
    <s v="SEPTIEMBRE"/>
  </r>
  <r>
    <n v="2025"/>
    <s v="23/09/2025"/>
    <s v="RMC"/>
    <n v="6269"/>
    <x v="338"/>
    <s v="RETENEDOR SPEED 46160"/>
    <n v="1"/>
    <n v="107800"/>
    <s v="CEMEX COLOMBIA S.A."/>
    <s v="YASMID DEL PILAR URIBE DELGADO"/>
    <n v="9"/>
    <s v="SEPTIEMBRE"/>
  </r>
  <r>
    <n v="2025"/>
    <s v="23/09/2025"/>
    <s v="RMC"/>
    <n v="6269"/>
    <x v="308"/>
    <s v="TAPON IMAN LLENADO ACEITE 1 1/16&quot; CON OR"/>
    <n v="1"/>
    <n v="14500"/>
    <s v="CEMEX COLOMBIA S.A."/>
    <s v="YASMID DEL PILAR URIBE DELGADO"/>
    <n v="9"/>
    <s v="SEPTIEMBRE"/>
  </r>
  <r>
    <n v="2025"/>
    <s v="23/09/2025"/>
    <s v="RMC"/>
    <n v="6269"/>
    <x v="345"/>
    <s v="FILTRO AIRE PRIMARIO EXTERNO PARA CUMMINS ISX"/>
    <n v="2"/>
    <n v="244000"/>
    <s v="CEMEX COLOMBIA S.A."/>
    <s v="YASMID DEL PILAR URIBE DELGADO"/>
    <n v="9"/>
    <s v="SEPTIEMBRE"/>
  </r>
  <r>
    <n v="2025"/>
    <s v="27/11/2025"/>
    <s v="RMC"/>
    <n v="6378"/>
    <x v="341"/>
    <s v="FILTRO DE AIRE SECUNDARIO PARA INT-WORKSTAR 7600 CON MOTOR CUMMINS ISM (CONICO) - FILTRO PRIMARIO AF26103"/>
    <n v="9"/>
    <n v="828000"/>
    <s v="CEMEX COLOMBIA S.A."/>
    <s v="YASMID DEL PILAR URIBE DELGADO"/>
    <n v="11"/>
    <s v="NOVIEMBRE"/>
  </r>
  <r>
    <n v="2025"/>
    <s v="27/11/2025"/>
    <s v="RMC"/>
    <n v="6378"/>
    <x v="348"/>
    <s v="FILTRO REFRIGERANTE DE AGUA PARA MOTOR CUMMINS ISX, X15"/>
    <n v="6"/>
    <n v="456534"/>
    <s v="CEMEX COLOMBIA S.A."/>
    <s v="YASMID DEL PILAR URIBE DELGADO"/>
    <n v="11"/>
    <s v="NOVIEMBRE"/>
  </r>
  <r>
    <n v="2025"/>
    <s v="27/11/2025"/>
    <s v="RMC"/>
    <n v="6378"/>
    <x v="296"/>
    <s v="VALVULA NIVELADORA CABINA EAGLE"/>
    <n v="3"/>
    <n v="611682"/>
    <s v="CEMEX COLOMBIA S.A."/>
    <s v="YASMID DEL PILAR URIBE DELGADO"/>
    <n v="11"/>
    <s v="NOVIEMBRE"/>
  </r>
  <r>
    <n v="2025"/>
    <s v="27/11/2025"/>
    <s v="RMC"/>
    <n v="6378"/>
    <x v="455"/>
    <s v="SET415 RODAMIENTO Y PISTA RUEDA HM518445"/>
    <n v="52"/>
    <n v="5091528"/>
    <s v="CEMEX COLOMBIA S.A."/>
    <s v="YASMID DEL PILAR URIBE DELGADO"/>
    <n v="11"/>
    <s v="NOVIEMBRE"/>
  </r>
  <r>
    <n v="2025"/>
    <s v="27/11/2025"/>
    <s v="RMC"/>
    <n v="6378"/>
    <x v="349"/>
    <s v="TAPON DESFOGUE TAPA FRONTAL EAGLE"/>
    <n v="2"/>
    <n v="96000"/>
    <s v="CEMEX COLOMBIA S.A."/>
    <s v="YASMID DEL PILAR URIBE DELGADO"/>
    <n v="11"/>
    <s v="NOVIEMBRE"/>
  </r>
  <r>
    <n v="2025"/>
    <s v="27/11/2025"/>
    <s v="RMC"/>
    <n v="6378"/>
    <x v="456"/>
    <s v="RETENEDOR DIVISOR 46160"/>
    <n v="2"/>
    <n v="196000"/>
    <s v="CEMEX COLOMBIA S.A."/>
    <s v="YASMID DEL PILAR URIBE DELGADO"/>
    <n v="11"/>
    <s v="NOVIEMBRE"/>
  </r>
  <r>
    <n v="2025"/>
    <s v="27/11/2025"/>
    <s v="RMC"/>
    <n v="6378"/>
    <x v="457"/>
    <s v="RETEN CON TUERCA EJE DIV Y SPEED (JGOX3)"/>
    <n v="3"/>
    <n v="540000"/>
    <s v="CEMEX COLOMBIA S.A."/>
    <s v="YASMID DEL PILAR URIBE DELGADO"/>
    <n v="11"/>
    <s v="NOVIEMBRE"/>
  </r>
  <r>
    <n v="2025"/>
    <s v="27/11/2025"/>
    <s v="RMC"/>
    <n v="6378"/>
    <x v="386"/>
    <s v="KIT REPAR RODAJAS Y RESORT FRENO KW ETN"/>
    <n v="4"/>
    <n v="132000"/>
    <s v="CEMEX COLOMBIA S.A."/>
    <s v="YASMID DEL PILAR URIBE DELGADO"/>
    <n v="11"/>
    <s v="NOVIEMBRE"/>
  </r>
  <r>
    <n v="2025"/>
    <s v="27/11/2025"/>
    <s v="RMC"/>
    <n v="6378"/>
    <x v="383"/>
    <s v="RETENEDOR EJE DELANTERO"/>
    <n v="16"/>
    <n v="929680"/>
    <s v="CEMEX COLOMBIA S.A."/>
    <s v="YASMID DEL PILAR URIBE DELGADO"/>
    <n v="11"/>
    <s v="NOVIEMBRE"/>
  </r>
  <r>
    <n v="2025"/>
    <s v="27/11/2025"/>
    <s v="RMC"/>
    <n v="6378"/>
    <x v="347"/>
    <s v="RETENEDOR TRASERO EJE MOTRIZ 38M LBS"/>
    <n v="21"/>
    <n v="1023267"/>
    <s v="CEMEX COLOMBIA S.A."/>
    <s v="YASMID DEL PILAR URIBE DELGADO"/>
    <n v="11"/>
    <s v="NOVIEMBRE"/>
  </r>
  <r>
    <n v="2025"/>
    <s v="27/11/2025"/>
    <s v="RMC"/>
    <n v="6378"/>
    <x v="376"/>
    <s v="SOPORTE CABINA DELAN CL120 ALTO"/>
    <n v="1"/>
    <n v="368000"/>
    <s v="CEMEX COLOMBIA S.A."/>
    <s v="YASMID DEL PILAR URIBE DELGADO"/>
    <n v="11"/>
    <s v="NOVIEMBRE"/>
  </r>
  <r>
    <n v="2025"/>
    <s v="27/11/2025"/>
    <s v="RMC"/>
    <n v="6378"/>
    <x v="458"/>
    <s v="VALVULA PURGA SECADOR ADIS"/>
    <n v="10"/>
    <n v="4580000"/>
    <s v="CEMEX COLOMBIA S.A."/>
    <s v="YASMID DEL PILAR URIBE DELGADO"/>
    <n v="11"/>
    <s v="NOVIEMBRE"/>
  </r>
  <r>
    <n v="2025"/>
    <s v="27/11/2025"/>
    <s v="RMC"/>
    <n v="6378"/>
    <x v="430"/>
    <s v="TAPA PUNTA RUEDA (1612) EN PLASTICO"/>
    <n v="20"/>
    <n v="1019740"/>
    <s v="CEMEX COLOMBIA S.A."/>
    <s v="YASMID DEL PILAR URIBE DELGADO"/>
    <n v="11"/>
    <s v="NOVIEMBRE"/>
  </r>
  <r>
    <n v="2025"/>
    <s v="27/11/2025"/>
    <s v="RMC"/>
    <n v="6378"/>
    <x v="459"/>
    <s v="BOLSA SUSPENSION RACOR HEMBRA KW"/>
    <n v="10"/>
    <n v="3900000"/>
    <s v="CEMEX COLOMBIA S.A."/>
    <s v="YASMID DEL PILAR URIBE DELGADO"/>
    <n v="11"/>
    <s v="NOVIEMBRE"/>
  </r>
  <r>
    <n v="2025"/>
    <s v="27/11/2025"/>
    <s v="RMC"/>
    <n v="6378"/>
    <x v="392"/>
    <s v="CÁMARA DE FRENO DE SERVICIO TIPO 24 CON CONJUNTO DE HORQUILLA"/>
    <n v="29"/>
    <n v="1740000"/>
    <s v="CEMEX COLOMBIA S.A."/>
    <s v="YASMID DEL PILAR URIBE DELGADO"/>
    <n v="11"/>
    <s v="NOVIEMBRE"/>
  </r>
  <r>
    <n v="2025"/>
    <s v="27/11/2025"/>
    <s v="RMC"/>
    <n v="6378"/>
    <x v="248"/>
    <s v="DISCO 15/2 7 RESORTES 4 TACOS"/>
    <n v="4"/>
    <n v="1960000"/>
    <s v="CEMEX COLOMBIA S.A."/>
    <s v="YASMID DEL PILAR URIBE DELGADO"/>
    <n v="11"/>
    <s v="NOVIEMBRE"/>
  </r>
  <r>
    <n v="2025"/>
    <s v="27/11/2025"/>
    <s v="RMC"/>
    <n v="6378"/>
    <x v="460"/>
    <s v="EMPAQUE PEQUEÑO SOBRE TAPA CAJA"/>
    <n v="5"/>
    <n v="110000"/>
    <s v="CEMEX COLOMBIA S.A."/>
    <s v="YASMID DEL PILAR URIBE DELGADO"/>
    <n v="11"/>
    <s v="NOVIEMBRE"/>
  </r>
  <r>
    <n v="2025"/>
    <s v="27/11/2025"/>
    <s v="RMC"/>
    <n v="6378"/>
    <x v="461"/>
    <s v="KIT REPARACION RODAJAS RESORTES TRAILER"/>
    <n v="181"/>
    <n v="6685597"/>
    <s v="CEMEX COLOMBIA S.A."/>
    <s v="YASMID DEL PILAR URIBE DELGADO"/>
    <n v="11"/>
    <s v="NOVIEMBRE"/>
  </r>
  <r>
    <n v="2025"/>
    <s v="27/11/2025"/>
    <s v="RMC"/>
    <n v="6378"/>
    <x v="302"/>
    <s v="PIÑA CDIZO 14/16"/>
    <n v="1"/>
    <n v="78000"/>
    <s v="CEMEX COLOMBIA S.A."/>
    <s v="YASMID DEL PILAR URIBE DELGADO"/>
    <n v="11"/>
    <s v="NOVIEMBRE"/>
  </r>
  <r>
    <n v="2025"/>
    <s v="27/11/2025"/>
    <s v="RMC"/>
    <n v="6378"/>
    <x v="398"/>
    <s v="TAPA NEGRA DEFENDER  PASTA 5 1/2&quot; GRANDE"/>
    <n v="6"/>
    <n v="324000"/>
    <s v="CEMEX COLOMBIA S.A."/>
    <s v="YASMID DEL PILAR URIBE DELGADO"/>
    <n v="11"/>
    <s v="NOVIEMBRE"/>
  </r>
  <r>
    <n v="2025"/>
    <s v="27/11/2025"/>
    <s v="RMC"/>
    <n v="6378"/>
    <x v="301"/>
    <s v="TAPA CARCASA MONO 14718/918"/>
    <n v="2"/>
    <n v="499550"/>
    <s v="CEMEX COLOMBIA S.A."/>
    <s v="YASMID DEL PILAR URIBE DELGADO"/>
    <n v="11"/>
    <s v="NOVIEMBRE"/>
  </r>
  <r>
    <n v="2025"/>
    <s v="27/11/2025"/>
    <s v="RMC"/>
    <n v="6378"/>
    <x v="216"/>
    <s v="SINCRONIZADOR (JGO X 5) TODAS PATA GRUES"/>
    <n v="3"/>
    <n v="1020000"/>
    <s v="CEMEX COLOMBIA S.A."/>
    <s v="YASMID DEL PILAR URIBE DELGADO"/>
    <n v="11"/>
    <s v="NOVIEMBRE"/>
  </r>
  <r>
    <n v="2025"/>
    <s v="27/11/2025"/>
    <s v="RMC"/>
    <n v="6378"/>
    <x v="318"/>
    <s v="VARILLA CORREDIZO 16918"/>
    <n v="4"/>
    <n v="56000"/>
    <s v="CEMEX COLOMBIA S.A."/>
    <s v="YASMID DEL PILAR URIBE DELGADO"/>
    <n v="11"/>
    <s v="NOVIEMBRE"/>
  </r>
  <r>
    <n v="2025"/>
    <s v="27/11/2025"/>
    <s v="RMC"/>
    <n v="6378"/>
    <x v="462"/>
    <s v="KIT DE REPARACIÓN GOBERNADOR EAGLE D-2"/>
    <n v="4"/>
    <n v="232000"/>
    <s v="CEMEX COLOMBIA S.A."/>
    <s v="YASMID DEL PILAR URIBE DELGADO"/>
    <n v="11"/>
    <s v="NOVIEMBRE"/>
  </r>
  <r>
    <n v="2025"/>
    <s v="27/11/2025"/>
    <s v="RMC"/>
    <n v="6378"/>
    <x v="463"/>
    <s v="RETENEDOR DEL CIGUEÑAL TRASERO DE MOTOR"/>
    <n v="4"/>
    <n v="665456"/>
    <s v="CEMEX COLOMBIA S.A."/>
    <s v="YASMID DEL PILAR URIBE DELGADO"/>
    <n v="11"/>
    <s v="NOVIEMBRE"/>
  </r>
  <r>
    <n v="2025"/>
    <s v="27/11/2025"/>
    <s v="RMC"/>
    <n v="6378"/>
    <x v="464"/>
    <s v="KIT EMBRAGUE  AUTO AJUSTABLE DISCO 7 RES"/>
    <n v="2"/>
    <n v="7600000"/>
    <s v="CEMEX COLOMBIA S.A."/>
    <s v="YASMID DEL PILAR URIBE DELGADO"/>
    <n v="11"/>
    <s v="NOVIEMBRE"/>
  </r>
  <r>
    <n v="2025"/>
    <s v="27/11/2025"/>
    <s v="RMC"/>
    <n v="6378"/>
    <x v="339"/>
    <s v="VALVULA REGULADORA 14715/18/915/918/16"/>
    <n v="3"/>
    <n v="780000"/>
    <s v="CEMEX COLOMBIA S.A."/>
    <s v="YASMID DEL PILAR URIBE DELGADO"/>
    <n v="11"/>
    <s v="NOVIEMBRE"/>
  </r>
  <r>
    <n v="2025"/>
    <s v="27/11/2025"/>
    <s v="RMC"/>
    <n v="6378"/>
    <x v="315"/>
    <s v="PIÑON 1RA CDIZO 918"/>
    <n v="2"/>
    <n v="526000"/>
    <s v="CEMEX COLOMBIA S.A."/>
    <s v="YASMID DEL PILAR URIBE DELGADO"/>
    <n v="11"/>
    <s v="NOVIEMBRE"/>
  </r>
  <r>
    <n v="2025"/>
    <s v="27/11/2025"/>
    <s v="RMC"/>
    <n v="6378"/>
    <x v="70"/>
    <s v="BUJE TRIFUNCIONAL KIT JGOx6"/>
    <n v="17"/>
    <n v="9660573"/>
    <s v="CEMEX COLOMBIA S.A."/>
    <s v="YASMID DEL PILAR URIBE DELGADO"/>
    <n v="11"/>
    <s v="NOVIEMBRE"/>
  </r>
  <r>
    <n v="2025"/>
    <s v="27/11/2025"/>
    <s v="RMC"/>
    <n v="6378"/>
    <x v="390"/>
    <s v="CRUCETA 19.5CM SERIE 1810"/>
    <n v="3"/>
    <n v="423000"/>
    <s v="CEMEX COLOMBIA S.A."/>
    <s v="YASMID DEL PILAR URIBE DELGADO"/>
    <n v="11"/>
    <s v="NOVIEMBRE"/>
  </r>
  <r>
    <n v="2025"/>
    <s v="27/11/2025"/>
    <s v="RMC"/>
    <n v="6378"/>
    <x v="249"/>
    <s v="YOKE DIV 46E S 5312 Q 2312 R3250 BAJO"/>
    <n v="1"/>
    <n v="650000"/>
    <s v="CEMEX COLOMBIA S.A."/>
    <s v="YASMID DEL PILAR URIBE DELGADO"/>
    <n v="11"/>
    <s v="NOVIEMBRE"/>
  </r>
  <r>
    <n v="2025"/>
    <s v="27/11/2025"/>
    <s v="RMC"/>
    <n v="6378"/>
    <x v="49"/>
    <s v="KIT BUJE Y PASADO (JGOX2)TODAS CON HUECO"/>
    <n v="4"/>
    <n v="140000"/>
    <s v="CEMEX COLOMBIA S.A."/>
    <s v="YASMID DEL PILAR URIBE DELGADO"/>
    <n v="11"/>
    <s v="NOVIEMBRE"/>
  </r>
  <r>
    <n v="2025"/>
    <s v="27/11/2025"/>
    <s v="RMC"/>
    <n v="6378"/>
    <x v="304"/>
    <s v="ARANDELA TORNILLO PUNTA EJE MONO 918"/>
    <n v="1"/>
    <n v="63000"/>
    <s v="CEMEX COLOMBIA S.A."/>
    <s v="YASMID DEL PILAR URIBE DELGADO"/>
    <n v="11"/>
    <s v="NOVIEMBRE"/>
  </r>
  <r>
    <n v="2025"/>
    <s v="27/11/2025"/>
    <s v="RMC"/>
    <n v="6378"/>
    <x v="302"/>
    <s v="PIÑA CDIZO 14/16"/>
    <n v="2"/>
    <n v="156000"/>
    <s v="CEMEX COLOMBIA S.A."/>
    <s v="YASMID DEL PILAR URIBE DELGADO"/>
    <n v="11"/>
    <s v="NOVIEMBRE"/>
  </r>
  <r>
    <n v="2025"/>
    <s v="27/11/2025"/>
    <s v="RMC"/>
    <n v="6378"/>
    <x v="465"/>
    <s v="KIT RODAMIENTO DELANTERO 160- DISPAR MER"/>
    <n v="6"/>
    <n v="6000000"/>
    <s v="CEMEX COLOMBIA S.A."/>
    <s v="YASMID DEL PILAR URIBE DELGADO"/>
    <n v="11"/>
    <s v="NOVIEMBRE"/>
  </r>
  <r>
    <n v="2025"/>
    <s v="27/11/2025"/>
    <s v="RMC"/>
    <n v="6378"/>
    <x v="338"/>
    <s v="RETENEDOR SPEED 46160"/>
    <n v="1"/>
    <n v="107800"/>
    <s v="CEMEX COLOMBIA S.A."/>
    <s v="YASMID DEL PILAR URIBE DELGADO"/>
    <n v="11"/>
    <s v="NOVIEMBRE"/>
  </r>
  <r>
    <n v="2025"/>
    <s v="27/11/2025"/>
    <s v="RMC"/>
    <n v="6378"/>
    <x v="130"/>
    <s v="PERA/SENSOR NIVEL REFRIG. EAGLE Y KW"/>
    <n v="2"/>
    <n v="790000"/>
    <s v="CEMEX COLOMBIA S.A."/>
    <s v="YASMID DEL PILAR URIBE DELGADO"/>
    <n v="11"/>
    <s v="NOVIEMBRE"/>
  </r>
  <r>
    <n v="2025"/>
    <s v="27/11/2025"/>
    <s v="RMC"/>
    <n v="6378"/>
    <x v="303"/>
    <s v="VALVULA SUSPENSION CABEZOTE EAGLE Y CL"/>
    <n v="3"/>
    <n v="840000"/>
    <s v="CEMEX COLOMBIA S.A."/>
    <s v="YASMID DEL PILAR URIBE DELGADO"/>
    <n v="11"/>
    <s v="NOVIEMBRE"/>
  </r>
  <r>
    <n v="2025"/>
    <s v="27/11/2025"/>
    <s v="RMC"/>
    <n v="6378"/>
    <x v="466"/>
    <s v="TAPA DIVISOR CON HORQUILLA/ COLLARIN 160"/>
    <n v="1"/>
    <n v="693288"/>
    <s v="CEMEX COLOMBIA S.A."/>
    <s v="YASMID DEL PILAR URIBE DELGADO"/>
    <n v="11"/>
    <s v="NOVIEMBRE"/>
  </r>
  <r>
    <n v="2025"/>
    <s v="27/11/2025"/>
    <s v="RMC"/>
    <n v="6378"/>
    <x v="312"/>
    <s v="CRUCETA 15 1/2&quot; MIXTA S1710 S/GRAPAS"/>
    <n v="1"/>
    <n v="285000"/>
    <s v="CEMEX COLOMBIA S.A."/>
    <s v="YASMID DEL PILAR URIBE DELGADO"/>
    <n v="11"/>
    <s v="NOVIEMBRE"/>
  </r>
  <r>
    <n v="2025"/>
    <s v="27/11/2025"/>
    <s v="RMC"/>
    <n v="6378"/>
    <x v="467"/>
    <s v="SET406 RODAMIENTO TRASERO TREN FIJO 6305"/>
    <n v="2"/>
    <n v="320850"/>
    <s v="CEMEX COLOMBIA S.A."/>
    <s v="YASMID DEL PILAR URIBE DELGADO"/>
    <n v="11"/>
    <s v="NOVIEMBRE"/>
  </r>
  <r>
    <n v="2025"/>
    <s v="27/11/2025"/>
    <s v="RMC"/>
    <n v="6378"/>
    <x v="468"/>
    <s v="KIT EMPAQUETADURA MODULO ROMARCO"/>
    <n v="2"/>
    <n v="182280"/>
    <s v="CEMEX COLOMBIA S.A."/>
    <s v="YASMID DEL PILAR URIBE DELGADO"/>
    <n v="11"/>
    <s v="NOVIEMBRE"/>
  </r>
  <r>
    <n v="2025"/>
    <s v="27/11/2025"/>
    <s v="RMC"/>
    <n v="6378"/>
    <x v="469"/>
    <s v="AMORTIGUAD KW TRASER SUSPEN NEUM EAGLE"/>
    <n v="6"/>
    <n v="1290000"/>
    <s v="CEMEX COLOMBIA S.A."/>
    <s v="YASMID DEL PILAR URIBE DELGADO"/>
    <n v="11"/>
    <s v="NOVIEMBRE"/>
  </r>
  <r>
    <n v="2025"/>
    <s v="11/07/2025"/>
    <s v="RMC"/>
    <n v="6154"/>
    <x v="398"/>
    <s v="TAPA NEGRA DEFENDER  PASTA 5 1/2&quot; GRANDE"/>
    <n v="4"/>
    <n v="216000"/>
    <s v="CEMEX COLOMBIA S.A."/>
    <s v="YASMID DEL PILAR URIBE DELGADO"/>
    <n v="7"/>
    <s v="JULIO"/>
  </r>
  <r>
    <n v="2025"/>
    <s v="04/09/2025"/>
    <s v="RMC"/>
    <n v="6238"/>
    <x v="79"/>
    <s v="KIT FAN CLUTCH TIPO KYSOR K32-S JGX7"/>
    <n v="1"/>
    <n v="383058"/>
    <s v="CEMEX COLOMBIA S.A."/>
    <s v="YASMID DEL PILAR URIBE DELGADO"/>
    <n v="9"/>
    <s v="SEPTIEMBRE"/>
  </r>
  <r>
    <n v="2025"/>
    <s v="06/10/2025"/>
    <s v="RMC"/>
    <n v="6290"/>
    <x v="315"/>
    <s v="PIÑON 1RA CDIZO 918"/>
    <n v="1"/>
    <n v="263000"/>
    <s v="CEMEX COLOMBIA S.A."/>
    <s v="YASMID DEL PILAR URIBE DELGADO"/>
    <n v="10"/>
    <s v="OCTUBRE"/>
  </r>
  <r>
    <n v="2025"/>
    <s v="06/10/2025"/>
    <s v="RMC"/>
    <n v="6290"/>
    <x v="391"/>
    <s v="KIT RODAMIENTO 16918"/>
    <n v="2"/>
    <n v="4214000"/>
    <s v="CEMEX COLOMBIA S.A."/>
    <s v="YASMID DEL PILAR URIBE DELGADO"/>
    <n v="10"/>
    <s v="OCTUBRE"/>
  </r>
  <r>
    <n v="2025"/>
    <s v="06/10/2025"/>
    <s v="RMC"/>
    <n v="6290"/>
    <x v="462"/>
    <s v="KIT DE REPARACIÓN GOBERNADOR EAGLE D-2"/>
    <n v="2"/>
    <n v="116000"/>
    <s v="CEMEX COLOMBIA S.A."/>
    <s v="YASMID DEL PILAR URIBE DELGADO"/>
    <n v="10"/>
    <s v="OCTUBRE"/>
  </r>
  <r>
    <n v="2025"/>
    <s v="06/10/2025"/>
    <s v="RMC"/>
    <n v="6290"/>
    <x v="344"/>
    <s v="TORRE MONO  14/1618/918"/>
    <n v="2"/>
    <n v="2487564"/>
    <s v="CEMEX COLOMBIA S.A."/>
    <s v="YASMID DEL PILAR URIBE DELGADO"/>
    <n v="10"/>
    <s v="OCTUBRE"/>
  </r>
  <r>
    <n v="2025"/>
    <s v="06/10/2025"/>
    <s v="RMC"/>
    <n v="6290"/>
    <x v="470"/>
    <s v="SENSOR TEMPERATURA AIRE ISX"/>
    <n v="2"/>
    <n v="1130000"/>
    <s v="CEMEX COLOMBIA S.A."/>
    <s v="YASMID DEL PILAR URIBE DELGADO"/>
    <n v="10"/>
    <s v="OCTUBRE"/>
  </r>
  <r>
    <n v="2025"/>
    <s v="06/10/2025"/>
    <s v="RMC"/>
    <n v="6290"/>
    <x v="115"/>
    <s v="PIÑA CDIZO"/>
    <n v="3"/>
    <n v="294000"/>
    <s v="CEMEX COLOMBIA S.A."/>
    <s v="YASMID DEL PILAR URIBE DELGADO"/>
    <n v="10"/>
    <s v="OCTUBRE"/>
  </r>
  <r>
    <n v="2025"/>
    <s v="06/10/2025"/>
    <s v="RMC"/>
    <n v="6290"/>
    <x v="87"/>
    <s v="KIT EMBRA. 15X2 PRENSA 9 RESORTES"/>
    <n v="3"/>
    <n v="7680000"/>
    <s v="CEMEX COLOMBIA S.A."/>
    <s v="YASMID DEL PILAR URIBE DELGADO"/>
    <n v="10"/>
    <s v="OCTUBRE"/>
  </r>
  <r>
    <n v="2025"/>
    <s v="06/10/2025"/>
    <s v="RMC"/>
    <n v="6290"/>
    <x v="316"/>
    <s v="ARANDELA EST INT CDIZO- BLANCA // 249MM"/>
    <n v="3"/>
    <n v="105000"/>
    <s v="CEMEX COLOMBIA S.A."/>
    <s v="YASMID DEL PILAR URIBE DELGADO"/>
    <n v="10"/>
    <s v="OCTUBRE"/>
  </r>
  <r>
    <n v="2025"/>
    <s v="16/10/2025"/>
    <s v="RMC"/>
    <n v="6317"/>
    <x v="328"/>
    <s v="CRUCETA 6,417 (6&quot;13/32 APROX)DADO 2362&quot;"/>
    <n v="7"/>
    <n v="3504865"/>
    <s v="CEMEX COLOMBIA S.A."/>
    <s v="YASMID DEL PILAR URIBE DELGADO"/>
    <n v="10"/>
    <s v="OCTUBRE"/>
  </r>
  <r>
    <n v="2025"/>
    <s v="16/10/2025"/>
    <s v="RMC"/>
    <n v="6317"/>
    <x v="70"/>
    <s v="BUJE TRIFUNCIONAL KIT JGOx6"/>
    <n v="7"/>
    <n v="3977883"/>
    <s v="CEMEX COLOMBIA S.A."/>
    <s v="YASMID DEL PILAR URIBE DELGADO"/>
    <n v="10"/>
    <s v="OCTUBRE"/>
  </r>
  <r>
    <n v="2025"/>
    <s v="16/10/2025"/>
    <s v="RMC"/>
    <n v="6317"/>
    <x v="82"/>
    <s v="RODILLO TORRE MONO 918"/>
    <n v="4"/>
    <n v="440000"/>
    <s v="CEMEX COLOMBIA S.A."/>
    <s v="YASMID DEL PILAR URIBE DELGADO"/>
    <n v="10"/>
    <s v="OCTUBRE"/>
  </r>
  <r>
    <n v="2025"/>
    <s v="16/10/2025"/>
    <s v="RMC"/>
    <n v="6317"/>
    <x v="360"/>
    <s v="RODILLO DOBLE PIÑON DEL BAJO 14718"/>
    <n v="1"/>
    <n v="322000"/>
    <s v="CEMEX COLOMBIA S.A."/>
    <s v="YASMID DEL PILAR URIBE DELGADO"/>
    <n v="10"/>
    <s v="OCTUBRE"/>
  </r>
  <r>
    <n v="2025"/>
    <s v="16/10/2025"/>
    <s v="RMC"/>
    <n v="6317"/>
    <x v="119"/>
    <s v="PIN ESPIRAL PIÑON 4303422"/>
    <n v="1"/>
    <n v="19000"/>
    <s v="CEMEX COLOMBIA S.A."/>
    <s v="YASMID DEL PILAR URIBE DELGADO"/>
    <n v="10"/>
    <s v="OCTUBRE"/>
  </r>
  <r>
    <n v="2025"/>
    <s v="16/10/2025"/>
    <s v="RMC"/>
    <n v="6317"/>
    <x v="300"/>
    <s v="TUERCA EJE MONO 14915/16915/11210BYC/169"/>
    <n v="3"/>
    <n v="234000"/>
    <s v="CEMEX COLOMBIA S.A."/>
    <s v="YASMID DEL PILAR URIBE DELGADO"/>
    <n v="10"/>
    <s v="OCTUBRE"/>
  </r>
  <r>
    <n v="2025"/>
    <s v="16/10/2025"/>
    <s v="RMC"/>
    <n v="6317"/>
    <x v="264"/>
    <s v="VENTILADOR 32X2.5X11"/>
    <n v="1"/>
    <n v="550000"/>
    <s v="CEMEX COLOMBIA S.A."/>
    <s v="YASMID DEL PILAR URIBE DELGADO"/>
    <n v="10"/>
    <s v="OCTUBRE"/>
  </r>
  <r>
    <n v="2025"/>
    <s v="16/10/2025"/>
    <s v="RMC"/>
    <n v="6317"/>
    <x v="243"/>
    <s v="KIT EMPAQUES MONO 14918/16"/>
    <n v="2"/>
    <n v="110000"/>
    <s v="CEMEX COLOMBIA S.A."/>
    <s v="YASMID DEL PILAR URIBE DELGADO"/>
    <n v="10"/>
    <s v="OCTUBRE"/>
  </r>
  <r>
    <n v="2025"/>
    <s v="16/10/2025"/>
    <s v="RMC"/>
    <n v="6317"/>
    <x v="49"/>
    <s v="KIT BUJE Y PASADO (JGOX2)TODAS CON HUECO"/>
    <n v="4"/>
    <n v="140000"/>
    <s v="CEMEX COLOMBIA S.A."/>
    <s v="YASMID DEL PILAR URIBE DELGADO"/>
    <n v="10"/>
    <s v="OCTUBRE"/>
  </r>
  <r>
    <n v="2025"/>
    <s v="16/10/2025"/>
    <s v="RMC"/>
    <n v="6317"/>
    <x v="266"/>
    <s v="KIT REPARAC VALV FRENO SEGURIDAD EAGLE"/>
    <n v="2"/>
    <n v="147000"/>
    <s v="CEMEX COLOMBIA S.A."/>
    <s v="YASMID DEL PILAR URIBE DELGADO"/>
    <n v="10"/>
    <s v="OCTUBRE"/>
  </r>
  <r>
    <n v="2025"/>
    <s v="30/10/2025"/>
    <s v="RMC"/>
    <n v="6338"/>
    <x v="293"/>
    <s v="CORBATIN SUSPENSION NEUMATICA KENWORTH"/>
    <n v="6"/>
    <n v="750000"/>
    <s v="CEMEX COLOMBIA S.A."/>
    <s v="YASMID DEL PILAR URIBE DELGADO"/>
    <n v="10"/>
    <s v="OCTUBRE"/>
  </r>
  <r>
    <n v="2025"/>
    <s v="30/10/2025"/>
    <s v="RMC"/>
    <n v="6338"/>
    <x v="389"/>
    <s v="HORQUILLA BAJO 16918"/>
    <n v="2"/>
    <n v="530000"/>
    <s v="CEMEX COLOMBIA S.A."/>
    <s v="YASMID DEL PILAR URIBE DELGADO"/>
    <n v="10"/>
    <s v="OCTUBRE"/>
  </r>
  <r>
    <n v="2025"/>
    <s v="30/10/2025"/>
    <s v="RMC"/>
    <n v="6338"/>
    <x v="212"/>
    <s v="RACOR/CODO"/>
    <n v="10"/>
    <n v="181070"/>
    <s v="CEMEX COLOMBIA S.A."/>
    <s v="YASMID DEL PILAR URIBE DELGADO"/>
    <n v="10"/>
    <s v="OCTUBRE"/>
  </r>
  <r>
    <n v="2025"/>
    <s v="30/10/2025"/>
    <s v="RMC"/>
    <n v="6338"/>
    <x v="471"/>
    <s v="PERA/SENSOR TEMPERATURA DIFEREN COLUMBIA"/>
    <n v="1"/>
    <n v="42000"/>
    <s v="CEMEX COLOMBIA S.A."/>
    <s v="YASMID DEL PILAR URIBE DELGADO"/>
    <n v="10"/>
    <s v="OCTUBRE"/>
  </r>
  <r>
    <n v="2025"/>
    <s v="30/10/2025"/>
    <s v="RMC"/>
    <n v="6338"/>
    <x v="388"/>
    <s v="CORREA ACANAL P/ALTERN POLY-V. MACK2005,KENWORTH2003MOTOR CUMMINS T800MOTOR ROJO"/>
    <n v="1"/>
    <n v="60000"/>
    <s v="CEMEX COLOMBIA S.A."/>
    <s v="YASMID DEL PILAR URIBE DELGADO"/>
    <n v="10"/>
    <s v="OCTUBRE"/>
  </r>
  <r>
    <n v="2025"/>
    <s v="30/10/2025"/>
    <s v="RMC"/>
    <n v="6338"/>
    <x v="338"/>
    <s v="RETENEDOR SPEED 46160"/>
    <n v="1"/>
    <n v="107800"/>
    <s v="CEMEX COLOMBIA S.A."/>
    <s v="YASMID DEL PILAR URIBE DELGADO"/>
    <n v="10"/>
    <s v="OCTUBRE"/>
  </r>
  <r>
    <n v="2025"/>
    <s v="30/10/2025"/>
    <s v="RMC"/>
    <n v="6338"/>
    <x v="13"/>
    <s v="CRUCETA CARDAN 19 1/2&quot; MIXTA C/GRAPAS"/>
    <n v="2"/>
    <n v="644810"/>
    <s v="CEMEX COLOMBIA S.A."/>
    <s v="YASMID DEL PILAR URIBE DELGADO"/>
    <n v="10"/>
    <s v="OCTUBRE"/>
  </r>
  <r>
    <n v="2025"/>
    <s v="30/10/2025"/>
    <s v="RMC"/>
    <n v="6338"/>
    <x v="263"/>
    <s v="EMPAQUE CARTER ISX"/>
    <n v="1"/>
    <n v="358000"/>
    <s v="CEMEX COLOMBIA S.A."/>
    <s v="YASMID DEL PILAR URIBE DELGADO"/>
    <n v="10"/>
    <s v="OCTUBRE"/>
  </r>
  <r>
    <n v="2025"/>
    <s v="30/10/2025"/>
    <s v="RMC"/>
    <n v="6338"/>
    <x v="387"/>
    <s v="KIT REPARACIÓN VALVULA FRENO AD-IS"/>
    <n v="3"/>
    <n v="195000"/>
    <s v="CEMEX COLOMBIA S.A."/>
    <s v="YASMID DEL PILAR URIBE DELGADO"/>
    <n v="10"/>
    <s v="OCTUBRE"/>
  </r>
  <r>
    <n v="2025"/>
    <s v="30/10/2025"/>
    <s v="RMC"/>
    <n v="6338"/>
    <x v="16"/>
    <s v="JUEGO CHAPETA CRUCETA 15 1/2&quot; 17 1/2&quot;"/>
    <n v="6"/>
    <n v="144000"/>
    <s v="CEMEX COLOMBIA S.A."/>
    <s v="YASMID DEL PILAR URIBE DELGADO"/>
    <n v="10"/>
    <s v="OCTUBRE"/>
  </r>
  <r>
    <n v="2025"/>
    <s v="13/11/2025"/>
    <s v="RMC"/>
    <n v="6360"/>
    <x v="268"/>
    <s v="RETEN CIGUEÑAL DELANTERO ISX"/>
    <n v="1"/>
    <n v="190519"/>
    <s v="CEMEX COLOMBIA S.A."/>
    <s v="YASMID DEL PILAR URIBE DELGADO"/>
    <n v="11"/>
    <s v="NOVIEMBRE"/>
  </r>
  <r>
    <n v="2025"/>
    <s v="13/11/2025"/>
    <s v="RMC"/>
    <n v="6360"/>
    <x v="346"/>
    <s v="SET403 RODAMIENTO (594A/592)"/>
    <n v="4"/>
    <n v="405676"/>
    <s v="CEMEX COLOMBIA S.A."/>
    <s v="YASMID DEL PILAR URIBE DELGADO"/>
    <n v="11"/>
    <s v="NOVIEMBRE"/>
  </r>
  <r>
    <n v="2025"/>
    <s v="13/11/2025"/>
    <s v="RMC"/>
    <n v="6360"/>
    <x v="472"/>
    <s v="CILINDRO PRINCIPAL PEDAL DEL EMBRAGUE PR"/>
    <n v="1"/>
    <n v="290000"/>
    <s v="CEMEX COLOMBIA S.A."/>
    <s v="YASMID DEL PILAR URIBE DELGADO"/>
    <n v="11"/>
    <s v="NOVIEMBRE"/>
  </r>
  <r>
    <n v="2025"/>
    <s v="20/11/2025"/>
    <s v="RMC"/>
    <n v="6368"/>
    <x v="317"/>
    <s v="ARANDELA EST.INT CDIZO  14/16918"/>
    <n v="3"/>
    <n v="129000"/>
    <s v="CEMEX COLOMBIA S.A."/>
    <s v="YASMID DEL PILAR URIBE DELGADO"/>
    <n v="11"/>
    <s v="NOVIEMBRE"/>
  </r>
  <r>
    <n v="2025"/>
    <s v="20/11/2025"/>
    <s v="RMC"/>
    <n v="6368"/>
    <x v="351"/>
    <s v="CRUCETA 6,456 DADO 2165 (2 5/32&quot; APROX)"/>
    <n v="7"/>
    <n v="3486000"/>
    <s v="CEMEX COLOMBIA S.A."/>
    <s v="YASMID DEL PILAR URIBE DELGADO"/>
    <n v="11"/>
    <s v="NOVIEMBRE"/>
  </r>
  <r>
    <n v="2025"/>
    <s v="20/11/2025"/>
    <s v="RMC"/>
    <n v="6368"/>
    <x v="212"/>
    <s v="RACOR/CODO"/>
    <n v="30"/>
    <n v="543210"/>
    <s v="CEMEX COLOMBIA S.A."/>
    <s v="YASMID DEL PILAR URIBE DELGADO"/>
    <n v="11"/>
    <s v="NOVIEMBRE"/>
  </r>
  <r>
    <n v="2025"/>
    <s v="20/11/2025"/>
    <s v="RMC"/>
    <n v="6368"/>
    <x v="301"/>
    <s v="TAPA CARCASA MONO 14718/918"/>
    <n v="3"/>
    <n v="749325"/>
    <s v="CEMEX COLOMBIA S.A."/>
    <s v="YASMID DEL PILAR URIBE DELGADO"/>
    <n v="11"/>
    <s v="NOVIEMBRE"/>
  </r>
  <r>
    <n v="2025"/>
    <s v="20/11/2025"/>
    <s v="RMC"/>
    <n v="6368"/>
    <x v="216"/>
    <s v="SINCRONIZADOR (JGO X 5) TODAS PATA GRUES"/>
    <n v="3"/>
    <n v="1020000"/>
    <s v="CEMEX COLOMBIA S.A."/>
    <s v="YASMID DEL PILAR URIBE DELGADO"/>
    <n v="11"/>
    <s v="NOVIEMBRE"/>
  </r>
  <r>
    <n v="2025"/>
    <s v="20/11/2025"/>
    <s v="RMC"/>
    <n v="6368"/>
    <x v="318"/>
    <s v="VARILLA CORREDIZO 16918"/>
    <n v="3"/>
    <n v="42000"/>
    <s v="CEMEX COLOMBIA S.A."/>
    <s v="YASMID DEL PILAR URIBE DELGADO"/>
    <n v="11"/>
    <s v="NOVIEMBRE"/>
  </r>
  <r>
    <n v="2025"/>
    <s v="20/11/2025"/>
    <s v="RMC"/>
    <n v="6368"/>
    <x v="412"/>
    <s v="AMORTIGUADOR DELANTERO EAGLE  WORK STAR"/>
    <n v="16"/>
    <n v="3520000"/>
    <s v="CEMEX COLOMBIA S.A."/>
    <s v="YASMID DEL PILAR URIBE DELGADO"/>
    <n v="11"/>
    <s v="NOVIEMBRE"/>
  </r>
  <r>
    <n v="2025"/>
    <s v="20/11/2025"/>
    <s v="RMC"/>
    <n v="6368"/>
    <x v="343"/>
    <s v="O'RING EJE TOMA TODAS"/>
    <n v="3"/>
    <n v="13524"/>
    <s v="CEMEX COLOMBIA S.A."/>
    <s v="YASMID DEL PILAR URIBE DELGADO"/>
    <n v="11"/>
    <s v="NOVIEMBRE"/>
  </r>
  <r>
    <n v="2025"/>
    <s v="20/11/2025"/>
    <s v="RMC"/>
    <n v="6368"/>
    <x v="285"/>
    <s v="PIÑÓN 2DA TREN FIJO 16918"/>
    <n v="5"/>
    <n v="875000"/>
    <s v="CEMEX COLOMBIA S.A."/>
    <s v="YASMID DEL PILAR URIBE DELGADO"/>
    <n v="11"/>
    <s v="NOVIEMBRE"/>
  </r>
  <r>
    <n v="2025"/>
    <s v="18/11/2025"/>
    <s v="RMC"/>
    <n v="6364"/>
    <x v="195"/>
    <s v="PERNO TRAILER HIDROAMERICA M22 X 4 1/2"/>
    <n v="32"/>
    <n v="1033600"/>
    <s v="TRANSPORTES Y SERVICIOS TRANSER SAS"/>
    <s v="JONATHAN PAEZ PEDRAZA"/>
    <n v="11"/>
    <s v="NOVIEMBRE"/>
  </r>
  <r>
    <n v="2025"/>
    <s v="18/11/2025"/>
    <s v="RMC"/>
    <n v="6364"/>
    <x v="197"/>
    <s v="PERNO TRAILER HIDROAMERICA M22 X 4-7/8"/>
    <n v="15"/>
    <n v="570000"/>
    <s v="TRANSPORTES Y SERVICIOS TRANSER SAS"/>
    <s v="JONATHAN PAEZ PEDRAZA"/>
    <n v="11"/>
    <s v="NOVIEMBRE"/>
  </r>
  <r>
    <n v="2025"/>
    <s v="18/11/2025"/>
    <s v="RMC"/>
    <n v="6364"/>
    <x v="68"/>
    <s v="PERA/SENSOR TEMPER. Y DIFEREN. TRANSM."/>
    <n v="2"/>
    <n v="90000"/>
    <s v="TRANSPORTES Y SERVICIOS TRANSER SAS"/>
    <s v="JONATHAN PAEZ PEDRAZA"/>
    <n v="11"/>
    <s v="NOVIEMBRE"/>
  </r>
  <r>
    <n v="2025"/>
    <s v="18/11/2025"/>
    <s v="RMC"/>
    <n v="6364"/>
    <x v="280"/>
    <s v="ELECTRO VALVULA FAN CABLE  NEGRO-ROJO"/>
    <n v="1"/>
    <n v="605000"/>
    <s v="TRANSPORTES Y SERVICIOS TRANSER SAS"/>
    <s v="JONATHAN PAEZ PEDRAZA"/>
    <n v="11"/>
    <s v="NOVIEMBRE"/>
  </r>
  <r>
    <n v="2025"/>
    <s v="18/11/2025"/>
    <s v="RMC"/>
    <n v="6364"/>
    <x v="283"/>
    <s v="BOLSA TAN 10.12ANx6.20CCx22AL+1T"/>
    <n v="2"/>
    <n v="920000"/>
    <s v="TRANSPORTES Y SERVICIOS TRANSER SAS"/>
    <s v="JONATHAN PAEZ PEDRAZA"/>
    <n v="11"/>
    <s v="NOVIEMBRE"/>
  </r>
  <r>
    <n v="2025"/>
    <s v="18/11/2025"/>
    <s v="RMC"/>
    <n v="6364"/>
    <x v="293"/>
    <s v="CORBATIN SUSPENSION NEUMATICA KENWORTH"/>
    <n v="2"/>
    <n v="240000"/>
    <s v="TRANSPORTES Y SERVICIOS TRANSER SAS"/>
    <s v="JONATHAN PAEZ PEDRAZA"/>
    <n v="11"/>
    <s v="NOVIEMBRE"/>
  </r>
  <r>
    <n v="2025"/>
    <s v="18/11/2025"/>
    <s v="RMC"/>
    <n v="6364"/>
    <x v="331"/>
    <s v="CORBATIN  HENDRICKSON"/>
    <n v="3"/>
    <n v="186000"/>
    <s v="TRANSPORTES Y SERVICIOS TRANSER SAS"/>
    <s v="JONATHAN PAEZ PEDRAZA"/>
    <n v="11"/>
    <s v="NOVIEMBRE"/>
  </r>
  <r>
    <n v="2025"/>
    <s v="18/11/2025"/>
    <s v="RMC"/>
    <n v="6364"/>
    <x v="294"/>
    <s v="HOJA ZETA 46 MLBS"/>
    <n v="1"/>
    <n v="1200000"/>
    <s v="TRANSPORTES Y SERVICIOS TRANSER SAS"/>
    <s v="JONATHAN PAEZ PEDRAZA"/>
    <n v="11"/>
    <s v="NOVIEMBRE"/>
  </r>
  <r>
    <n v="2025"/>
    <s v="18/11/2025"/>
    <s v="RMC"/>
    <n v="6364"/>
    <x v="16"/>
    <s v="JUEGO CHAPETA CRUCETA 15 1/2&quot; 17 1/2&quot;"/>
    <n v="1"/>
    <n v="23000"/>
    <s v="TRANSPORTES Y SERVICIOS TRANSER SAS"/>
    <s v="JONATHAN PAEZ PEDRAZA"/>
    <n v="11"/>
    <s v="NOVIEMBRE"/>
  </r>
  <r>
    <n v="2025"/>
    <s v="18/11/2025"/>
    <s v="RMC"/>
    <n v="6364"/>
    <x v="232"/>
    <s v="PIN TORNILLOS CRUCETA"/>
    <n v="6"/>
    <n v="7200"/>
    <s v="TRANSPORTES Y SERVICIOS TRANSER SAS"/>
    <s v="JONATHAN PAEZ PEDRAZA"/>
    <n v="11"/>
    <s v="NOVIEMBRE"/>
  </r>
  <r>
    <n v="2025"/>
    <s v="18/11/2025"/>
    <s v="RMC"/>
    <n v="6364"/>
    <x v="312"/>
    <s v="CRUCETA 15 1/2&quot; MIXTA S1710 S/GRAPAS"/>
    <n v="1"/>
    <n v="295000"/>
    <s v="TRANSPORTES Y SERVICIOS TRANSER SAS"/>
    <s v="JONATHAN PAEZ PEDRAZA"/>
    <n v="11"/>
    <s v="NOVIEMBRE"/>
  </r>
  <r>
    <n v="2025"/>
    <s v="18/11/2025"/>
    <s v="RMC"/>
    <n v="6364"/>
    <x v="287"/>
    <s v="CRUCETA 19 1/2&quot; MIXTA S/GRAPAS"/>
    <n v="1"/>
    <n v="335000"/>
    <s v="TRANSPORTES Y SERVICIOS TRANSER SAS"/>
    <s v="JONATHAN PAEZ PEDRAZA"/>
    <n v="11"/>
    <s v="NOVIEMBRE"/>
  </r>
  <r>
    <n v="2025"/>
    <s v="18/11/2025"/>
    <s v="RMC"/>
    <n v="6364"/>
    <x v="361"/>
    <s v="TUERCA EJE DIVISOR  46 LB"/>
    <n v="1"/>
    <n v="130752"/>
    <s v="TRANSPORTES Y SERVICIOS TRANSER SAS"/>
    <s v="JONATHAN PAEZ PEDRAZA"/>
    <n v="11"/>
    <s v="NOVIEMBRE"/>
  </r>
  <r>
    <n v="2025"/>
    <s v="18/11/2025"/>
    <s v="RMC"/>
    <n v="6364"/>
    <x v="439"/>
    <s v="CAUCHO EJE SALIDA 44/46 MLB"/>
    <n v="2"/>
    <n v="5000"/>
    <s v="TRANSPORTES Y SERVICIOS TRANSER SAS"/>
    <s v="JONATHAN PAEZ PEDRAZA"/>
    <n v="11"/>
    <s v="NOVIEMBRE"/>
  </r>
  <r>
    <n v="2025"/>
    <s v="18/11/2025"/>
    <s v="RMC"/>
    <n v="6364"/>
    <x v="332"/>
    <s v="TUERCA EJE DELANTERO KW FINA 18 HILOS"/>
    <n v="1"/>
    <n v="163000"/>
    <s v="TRANSPORTES Y SERVICIOS TRANSER SAS"/>
    <s v="JONATHAN PAEZ PEDRAZA"/>
    <n v="11"/>
    <s v="NOVIEMBRE"/>
  </r>
  <r>
    <n v="2025"/>
    <s v="18/11/2025"/>
    <s v="RMC"/>
    <n v="6364"/>
    <x v="222"/>
    <s v="TAPA NEGRA DEFENDER PASTA 4 1/2 &quot; PEQUEÑ"/>
    <n v="1"/>
    <n v="66000"/>
    <s v="TRANSPORTES Y SERVICIOS TRANSER SAS"/>
    <s v="JONATHAN PAEZ PEDRAZA"/>
    <n v="11"/>
    <s v="NOVIEMBRE"/>
  </r>
  <r>
    <n v="2025"/>
    <s v="18/11/2025"/>
    <s v="RMC"/>
    <n v="6364"/>
    <x v="424"/>
    <s v="JGO SPLINDER E1460L 9,06&quot;x1,87&quot; TEFLON"/>
    <n v="1"/>
    <n v="870000"/>
    <s v="TRANSPORTES Y SERVICIOS TRANSER SAS"/>
    <s v="JONATHAN PAEZ PEDRAZA"/>
    <n v="11"/>
    <s v="NOVIEMBRE"/>
  </r>
  <r>
    <n v="2025"/>
    <s v="26/06/2025"/>
    <s v="RMC"/>
    <n v="6123"/>
    <x v="45"/>
    <s v="RETENEDOR SPEED 46160"/>
    <n v="1"/>
    <n v="148635"/>
    <s v="TRANSPORTES Y SERVICIOS TRANSER SAS"/>
    <s v="JONATHAN PAEZ PEDRAZA"/>
    <n v="6"/>
    <s v="JUNIO"/>
  </r>
  <r>
    <n v="2025"/>
    <s v="26/06/2025"/>
    <s v="RMC"/>
    <n v="6123"/>
    <x v="194"/>
    <s v="PIN PUNTA CDIZO 16918"/>
    <n v="1"/>
    <n v="3300"/>
    <s v="TRANSPORTES Y SERVICIOS TRANSER SAS"/>
    <s v="JONATHAN PAEZ PEDRAZA"/>
    <n v="6"/>
    <s v="JUNIO"/>
  </r>
  <r>
    <n v="2025"/>
    <s v="26/06/2025"/>
    <s v="RMC"/>
    <n v="6123"/>
    <x v="119"/>
    <s v="PIN ESPIRAL PIÑON 4303422"/>
    <n v="1"/>
    <n v="19000"/>
    <s v="TRANSPORTES Y SERVICIOS TRANSER SAS"/>
    <s v="JONATHAN PAEZ PEDRAZA"/>
    <n v="6"/>
    <s v="JUNIO"/>
  </r>
  <r>
    <n v="2025"/>
    <s v="06/11/2025"/>
    <s v="RMC"/>
    <n v="6350"/>
    <x v="384"/>
    <s v="KIT DE REPARACIÓN VALVULA RELAY R12 y R14"/>
    <n v="5"/>
    <n v="465000"/>
    <s v="CEMEX COLOMBIA S.A."/>
    <s v="YASMID DEL PILAR URIBE DELGADO"/>
    <n v="11"/>
    <s v="NOVIEMBRE"/>
  </r>
  <r>
    <n v="2025"/>
    <s v="06/11/2025"/>
    <s v="RMC"/>
    <n v="6350"/>
    <x v="224"/>
    <s v="JUEGO CHAPETA (JGOX2) SPL170"/>
    <n v="7"/>
    <n v="429611"/>
    <s v="CEMEX COLOMBIA S.A."/>
    <s v="YASMID DEL PILAR URIBE DELGADO"/>
    <n v="11"/>
    <s v="NOVIEMBRE"/>
  </r>
  <r>
    <n v="2025"/>
    <s v="06/11/2025"/>
    <s v="RMC"/>
    <n v="6350"/>
    <x v="167"/>
    <s v="CONO DE 5/8&quot; CERRADO"/>
    <n v="50"/>
    <n v="249900"/>
    <s v="CEMEX COLOMBIA S.A."/>
    <s v="YASMID DEL PILAR URIBE DELGADO"/>
    <n v="11"/>
    <s v="NOVIEMBRE"/>
  </r>
  <r>
    <n v="2025"/>
    <s v="06/11/2025"/>
    <s v="RMC"/>
    <n v="6350"/>
    <x v="385"/>
    <s v="KIT REPARACION RODAJAS Y RESORTE FRE DEL"/>
    <n v="11"/>
    <n v="715000"/>
    <s v="CEMEX COLOMBIA S.A."/>
    <s v="YASMID DEL PILAR URIBE DELGADO"/>
    <n v="11"/>
    <s v="NOVIEMBRE"/>
  </r>
  <r>
    <n v="2025"/>
    <s v="06/11/2025"/>
    <s v="RMC"/>
    <n v="6350"/>
    <x v="459"/>
    <s v="BOLSA SUSPENSION RACOR HEMBRA KW"/>
    <n v="3"/>
    <n v="1170000"/>
    <s v="CEMEX COLOMBIA S.A."/>
    <s v="YASMID DEL PILAR URIBE DELGADO"/>
    <n v="11"/>
    <s v="NOVIEMBRE"/>
  </r>
  <r>
    <n v="2025"/>
    <s v="06/11/2025"/>
    <s v="RMC"/>
    <n v="6350"/>
    <x v="392"/>
    <s v="CÁMARA DE FRENO DE SERVICIO TIPO 24 CON CONJUNTO DE HORQUILLA"/>
    <n v="3"/>
    <n v="180000"/>
    <s v="CEMEX COLOMBIA S.A."/>
    <s v="YASMID DEL PILAR URIBE DELGADO"/>
    <n v="11"/>
    <s v="NOVIEMBRE"/>
  </r>
  <r>
    <n v="2025"/>
    <s v="06/11/2025"/>
    <s v="RMC"/>
    <n v="6350"/>
    <x v="353"/>
    <s v="KIT DE REPARACION VÁLVULA DE PURGA PARA SECADOR DE AIRE AD-9"/>
    <n v="1"/>
    <n v="174432"/>
    <s v="CEMEX COLOMBIA S.A."/>
    <s v="YASMID DEL PILAR URIBE DELGADO"/>
    <n v="11"/>
    <s v="NOVIEMBRE"/>
  </r>
  <r>
    <n v="2025"/>
    <s v="06/11/2025"/>
    <s v="RMC"/>
    <n v="6350"/>
    <x v="460"/>
    <s v="EMPAQUE PEQUEÑO SOBRE TAPA CAJA"/>
    <n v="1"/>
    <n v="22000"/>
    <s v="CEMEX COLOMBIA S.A."/>
    <s v="YASMID DEL PILAR URIBE DELGADO"/>
    <n v="11"/>
    <s v="NOVIEMBRE"/>
  </r>
  <r>
    <n v="2025"/>
    <s v="06/11/2025"/>
    <s v="RMC"/>
    <n v="6350"/>
    <x v="125"/>
    <s v="SPLINDER BRONCE 2 CUÑ. 90,06&quot; X 1,87&quot;"/>
    <n v="1"/>
    <n v="1120000"/>
    <s v="CEMEX COLOMBIA S.A."/>
    <s v="YASMID DEL PILAR URIBE DELGADO"/>
    <n v="11"/>
    <s v="NOVIEMBRE"/>
  </r>
  <r>
    <n v="2025"/>
    <s v="06/11/2025"/>
    <s v="RMC"/>
    <n v="6350"/>
    <x v="469"/>
    <s v="AMORTIGUAD KW TRASER SUSPEN NEUM EAGLE"/>
    <n v="2"/>
    <n v="430000"/>
    <s v="CEMEX COLOMBIA S.A."/>
    <s v="YASMID DEL PILAR URIBE DELGADO"/>
    <n v="11"/>
    <s v="NOVIEMBRE"/>
  </r>
  <r>
    <n v="2025"/>
    <s v="06/11/2025"/>
    <s v="RMC"/>
    <n v="6350"/>
    <x v="461"/>
    <s v="KIT REPARACION RODAJAS RESORTES TRAILER"/>
    <n v="53"/>
    <n v="1957661"/>
    <s v="CEMEX COLOMBIA S.A."/>
    <s v="YASMID DEL PILAR URIBE DELGADO"/>
    <n v="11"/>
    <s v="NOVIEMBRE"/>
  </r>
  <r>
    <n v="2025"/>
    <s v="06/11/2025"/>
    <s v="RMC"/>
    <n v="6350"/>
    <x v="430"/>
    <s v="TAPA PUNTA RUEDA (1612) EN PLASTICO"/>
    <n v="2"/>
    <n v="101974"/>
    <s v="CEMEX COLOMBIA S.A."/>
    <s v="YASMID DEL PILAR URIBE DELGADO"/>
    <n v="11"/>
    <s v="NOVIEMBRE"/>
  </r>
  <r>
    <n v="2025"/>
    <s v="06/11/2025"/>
    <s v="RMC"/>
    <n v="6350"/>
    <x v="473"/>
    <s v="RODAMIENTO"/>
    <n v="2"/>
    <n v="30772"/>
    <s v="CEMEX COLOMBIA S.A."/>
    <s v="YASMID DEL PILAR URIBE DELGADO"/>
    <n v="11"/>
    <s v="NOVIEMBRE"/>
  </r>
  <r>
    <n v="2025"/>
    <s v="06/11/2025"/>
    <s v="RMC"/>
    <n v="6350"/>
    <x v="372"/>
    <s v="BOLSA LEVANTA EJE  SELLO MATI"/>
    <n v="1"/>
    <n v="280000"/>
    <s v="CEMEX COLOMBIA S.A."/>
    <s v="YASMID DEL PILAR URIBE DELGADO"/>
    <n v="11"/>
    <s v="NOVIEMBRE"/>
  </r>
  <r>
    <n v="2025"/>
    <s v="06/11/2025"/>
    <s v="RMC"/>
    <n v="6350"/>
    <x v="337"/>
    <s v="EMPAQUE MONTAJE TURBO EAGLE"/>
    <n v="4"/>
    <n v="254000"/>
    <s v="CEMEX COLOMBIA S.A."/>
    <s v="YASMID DEL PILAR URIBE DELGADO"/>
    <n v="11"/>
    <s v="NOVIEMBRE"/>
  </r>
  <r>
    <n v="2025"/>
    <s v="06/11/2025"/>
    <s v="RMC"/>
    <n v="6350"/>
    <x v="36"/>
    <s v="VALVULA REG DE SILLA BOTON ROJA"/>
    <n v="2"/>
    <n v="72520"/>
    <s v="CEMEX COLOMBIA S.A."/>
    <s v="YASMID DEL PILAR URIBE DELGADO"/>
    <n v="11"/>
    <s v="NOVIEMBRE"/>
  </r>
  <r>
    <n v="2025"/>
    <s v="06/11/2025"/>
    <s v="RMC"/>
    <n v="6350"/>
    <x v="474"/>
    <s v="BOLSA SUSPENSION CABINA FREIGTHLINER"/>
    <n v="2"/>
    <n v="290000"/>
    <s v="CEMEX COLOMBIA S.A."/>
    <s v="YASMID DEL PILAR URIBE DELGADO"/>
    <n v="11"/>
    <s v="NOVIEMBRE"/>
  </r>
  <r>
    <n v="2025"/>
    <s v="06/11/2025"/>
    <s v="RMC"/>
    <n v="6350"/>
    <x v="312"/>
    <s v="CRUCETA 15 1/2&quot; MIXTA S1710 S/GRAPAS"/>
    <n v="3"/>
    <n v="855000"/>
    <s v="CEMEX COLOMBIA S.A."/>
    <s v="YASMID DEL PILAR URIBE DELGADO"/>
    <n v="11"/>
    <s v="NOVIEMBRE"/>
  </r>
  <r>
    <n v="2025"/>
    <s v="06/11/2025"/>
    <s v="RMC"/>
    <n v="6350"/>
    <x v="373"/>
    <s v="INYECTOR ISX"/>
    <n v="3"/>
    <n v="6360984"/>
    <s v="CEMEX COLOMBIA S.A."/>
    <s v="YASMID DEL PILAR URIBE DELGADO"/>
    <n v="11"/>
    <s v="NOVIEMBRE"/>
  </r>
  <r>
    <n v="2025"/>
    <s v="06/11/2025"/>
    <s v="RMC"/>
    <n v="6350"/>
    <x v="304"/>
    <s v="ARANDELA TORNILLO PUNTA EJE MONO 918"/>
    <n v="2"/>
    <n v="126000"/>
    <s v="CEMEX COLOMBIA S.A."/>
    <s v="YASMID DEL PILAR URIBE DELGADO"/>
    <n v="11"/>
    <s v="NOVIEMBRE"/>
  </r>
  <r>
    <n v="2025"/>
    <s v="06/11/2025"/>
    <s v="RMC"/>
    <n v="6350"/>
    <x v="243"/>
    <s v="KIT EMPAQUES MONO 14918/16"/>
    <n v="2"/>
    <n v="110000"/>
    <s v="CEMEX COLOMBIA S.A."/>
    <s v="YASMID DEL PILAR URIBE DELGADO"/>
    <n v="11"/>
    <s v="NOVIEMBRE"/>
  </r>
  <r>
    <n v="2025"/>
    <s v="06/11/2025"/>
    <s v="RMC"/>
    <n v="6350"/>
    <x v="437"/>
    <s v="VALVULA DOBLE BOTON GRIS 18 CAMBIOS"/>
    <n v="2"/>
    <n v="570000"/>
    <s v="CEMEX COLOMBIA S.A."/>
    <s v="YASMID DEL PILAR URIBE DELGADO"/>
    <n v="11"/>
    <s v="NOVIEMBRE"/>
  </r>
  <r>
    <n v="2025"/>
    <s v="06/11/2025"/>
    <s v="RMC"/>
    <n v="6350"/>
    <x v="305"/>
    <s v="TERMOSTATO ENFRIADOR DE ACEITE 215° F =102 °GRADOS CENTIGRADOS PARA ISX, ISM Y L10"/>
    <n v="1"/>
    <n v="191702"/>
    <s v="CEMEX COLOMBIA S.A."/>
    <s v="YASMID DEL PILAR URIBE DELGADO"/>
    <n v="11"/>
    <s v="NOVIEMBRE"/>
  </r>
  <r>
    <n v="2025"/>
    <s v="10/12/2025"/>
    <s v="RMC"/>
    <n v="6399"/>
    <x v="475"/>
    <s v="SET ROD Y PISTA HM218248/HM218210 INTERN"/>
    <n v="1"/>
    <n v="220424"/>
    <s v="CENTRO AUTOMOTOR DIESEL S.A CENTRODIESEL"/>
    <s v="DANIELA ALEJANDRA LEON VARGAS"/>
    <n v="12"/>
    <s v="DICIEMBRE"/>
  </r>
  <r>
    <n v="2025"/>
    <s v="10/12/2025"/>
    <s v="RMC"/>
    <n v="6399"/>
    <x v="476"/>
    <s v="BALINERA VOLANTE KW"/>
    <n v="5"/>
    <n v="326930"/>
    <s v="CENTRO AUTOMOTOR DIESEL S.A CENTRODIESEL"/>
    <s v="DANIELA ALEJANDRA LEON VARGAS"/>
    <n v="12"/>
    <s v="DICIEMBRE"/>
  </r>
  <r>
    <n v="2025"/>
    <s v="10/12/2025"/>
    <s v="RMC"/>
    <n v="6400"/>
    <x v="87"/>
    <s v="KIT EMBRA. 15X2 PRENSA 9 RESORTES"/>
    <n v="1"/>
    <n v="2500000"/>
    <s v="CENTRO AUTOMOTOR DIESEL S.A CENTRODIESEL"/>
    <s v="DANIELA ALEJANDRA LEON VARGAS"/>
    <n v="12"/>
    <s v="DICIEMBRE"/>
  </r>
  <r>
    <n v="2025"/>
    <s v="10/12/2025"/>
    <s v="RMC"/>
    <n v="6400"/>
    <x v="477"/>
    <s v="SET ROD Y PISTA TRAILER 518445/518410"/>
    <n v="1"/>
    <n v="258108"/>
    <s v="CENTRO AUTOMOTOR DIESEL S.A CENTRODIESEL"/>
    <s v="DANIELA ALEJANDRA LEON VARGAS"/>
    <n v="12"/>
    <s v="DICIEMBRE"/>
  </r>
  <r>
    <n v="2025"/>
    <s v="10/12/2025"/>
    <s v="RMC"/>
    <n v="6400"/>
    <x v="425"/>
    <s v="SET ROD Y PIST EXT DEL HM807040/HM80701"/>
    <n v="4"/>
    <n v="1052060"/>
    <s v="CENTRO AUTOMOTOR DIESEL S.A CENTRODIESEL"/>
    <s v="DANIELA ALEJANDRA LEON VARGAS"/>
    <n v="12"/>
    <s v="DICIEMBRE"/>
  </r>
  <r>
    <n v="2025"/>
    <s v="10/12/2025"/>
    <s v="RMC"/>
    <n v="6400"/>
    <x v="426"/>
    <s v="SET ROD Y PISTA INT. HM212049/HM212011"/>
    <n v="5"/>
    <n v="802555"/>
    <s v="CENTRO AUTOMOTOR DIESEL S.A CENTRODIESEL"/>
    <s v="DANIELA ALEJANDRA LEON VARGAS"/>
    <n v="12"/>
    <s v="DICIEMBRE"/>
  </r>
  <r>
    <n v="2025"/>
    <s v="10/12/2025"/>
    <s v="RMC"/>
    <n v="6400"/>
    <x v="357"/>
    <s v="JUEGO SPLINDER 10,39&quot; x 1,79&quot;"/>
    <n v="3"/>
    <n v="1943349"/>
    <s v="CENTRO AUTOMOTOR DIESEL S.A CENTRODIESEL"/>
    <s v="DANIELA ALEJANDRA LEON VARGAS"/>
    <n v="12"/>
    <s v="DICIEMBRE"/>
  </r>
  <r>
    <n v="2025"/>
    <s v="10/12/2025"/>
    <s v="RMC"/>
    <n v="6400"/>
    <x v="301"/>
    <s v="TAPA CARCASA MONO 14718/918"/>
    <n v="1"/>
    <n v="255377"/>
    <s v="CENTRO AUTOMOTOR DIESEL S.A CENTRODIESEL"/>
    <s v="DANIELA ALEJANDRA LEON VARGAS"/>
    <n v="12"/>
    <s v="DICIEMBRE"/>
  </r>
  <r>
    <n v="2025"/>
    <s v="10/10/2025"/>
    <s v="RMC"/>
    <n v="6300"/>
    <x v="216"/>
    <s v="SINCRONIZADOR (JGO X 5) TODAS PATA GRUES"/>
    <n v="1"/>
    <n v="348000"/>
    <s v="TRANSPORTES Y SERVICIOS TRANSER SAS"/>
    <s v="JONATHAN PAEZ PEDRAZA"/>
    <n v="10"/>
    <s v="OCTUBRE"/>
  </r>
  <r>
    <n v="2025"/>
    <s v="10/10/2025"/>
    <s v="RMC"/>
    <n v="6300"/>
    <x v="302"/>
    <s v="PIÑA CDIZO 14/16"/>
    <n v="1"/>
    <n v="85000"/>
    <s v="TRANSPORTES Y SERVICIOS TRANSER SAS"/>
    <s v="JONATHAN PAEZ PEDRAZA"/>
    <n v="10"/>
    <s v="OCTUBRE"/>
  </r>
  <r>
    <n v="2025"/>
    <s v="10/10/2025"/>
    <s v="RMC"/>
    <n v="6300"/>
    <x v="318"/>
    <s v="VARILLA CORREDIZO 16918"/>
    <n v="1"/>
    <n v="14500"/>
    <s v="TRANSPORTES Y SERVICIOS TRANSER SAS"/>
    <s v="JONATHAN PAEZ PEDRAZA"/>
    <n v="10"/>
    <s v="OCTUBRE"/>
  </r>
  <r>
    <n v="2025"/>
    <s v="10/10/2025"/>
    <s v="RMC"/>
    <n v="6300"/>
    <x v="478"/>
    <s v="RETEN SPEED 46.000 LBS C/ Y SIN BAJO"/>
    <n v="1"/>
    <n v="132000"/>
    <s v="TRANSPORTES Y SERVICIOS TRANSER SAS"/>
    <s v="JONATHAN PAEZ PEDRAZA"/>
    <n v="10"/>
    <s v="OCTUBRE"/>
  </r>
  <r>
    <n v="2025"/>
    <s v="10/10/2025"/>
    <s v="RMC"/>
    <n v="6300"/>
    <x v="361"/>
    <s v="TUERCA EJE DIVISOR  46 LB"/>
    <n v="1"/>
    <n v="130752"/>
    <s v="TRANSPORTES Y SERVICIOS TRANSER SAS"/>
    <s v="JONATHAN PAEZ PEDRAZA"/>
    <n v="10"/>
    <s v="OCTUBRE"/>
  </r>
  <r>
    <n v="2025"/>
    <s v="10/10/2025"/>
    <s v="RMC"/>
    <n v="6300"/>
    <x v="357"/>
    <s v="JUEGO SPLINDER 10,39&quot; x 1,79&quot;"/>
    <n v="1"/>
    <n v="650000"/>
    <s v="TRANSPORTES Y SERVICIOS TRANSER SAS"/>
    <s v="JONATHAN PAEZ PEDRAZA"/>
    <n v="10"/>
    <s v="OCTUBRE"/>
  </r>
  <r>
    <n v="2025"/>
    <s v="10/12/2025"/>
    <s v="RMC"/>
    <n v="6401"/>
    <x v="419"/>
    <s v="BOLSA SUSPENSION TRAILER ROMARKO"/>
    <n v="2"/>
    <n v="1070000"/>
    <s v="EMPRESA DE DISTRIBUCIONES INDUSTRIALES S.A.S."/>
    <s v="WILLIAM DUVAN REYES DIAZ"/>
    <n v="12"/>
    <s v="DICIEMBRE"/>
  </r>
  <r>
    <n v="2025"/>
    <s v="19/12/2025"/>
    <s v="RMC"/>
    <n v="6416"/>
    <x v="475"/>
    <s v="SET ROD Y PISTA HM218248/HM218210 INTERN"/>
    <n v="2"/>
    <n v="440848"/>
    <s v="CENTRO AUTOMOTOR DIESEL S.A CENTRODIESEL"/>
    <s v="DANIELA ALEJANDRA LEON VARGAS"/>
    <n v="12"/>
    <s v="DICIEMBRE"/>
  </r>
  <r>
    <n v="2025"/>
    <s v="19/12/2025"/>
    <s v="RMC"/>
    <n v="6416"/>
    <x v="356"/>
    <s v="SET ROD Y PISTA 594A/592A TIMKEN"/>
    <n v="2"/>
    <n v="450400"/>
    <s v="CENTRO AUTOMOTOR DIESEL S.A CENTRODIESEL"/>
    <s v="DANIELA ALEJANDRA LEON VARGAS"/>
    <n v="12"/>
    <s v="DICIEMBRE"/>
  </r>
  <r>
    <n v="2025"/>
    <s v="19/12/2025"/>
    <s v="RMC"/>
    <n v="6416"/>
    <x v="427"/>
    <s v="SET ROD Y PISTA 580/572"/>
    <n v="1"/>
    <n v="184500"/>
    <s v="CENTRO AUTOMOTOR DIESEL S.A CENTRODIESEL"/>
    <s v="DANIELA ALEJANDRA LEON VARGAS"/>
    <n v="12"/>
    <s v="DICIEMBRE"/>
  </r>
  <r>
    <n v="2025"/>
    <s v="19/12/2025"/>
    <s v="RMC"/>
    <n v="6416"/>
    <x v="154"/>
    <s v="KIT DE REP LEVA FREN TRAILER ROMARCO"/>
    <n v="1"/>
    <n v="196683"/>
    <s v="CENTRO AUTOMOTOR DIESEL S.A CENTRODIESEL"/>
    <s v="DANIELA ALEJANDRA LEON VARGAS"/>
    <n v="12"/>
    <s v="DICIEMBRE"/>
  </r>
  <r>
    <n v="2025"/>
    <s v="19/12/2025"/>
    <s v="RMC"/>
    <n v="6416"/>
    <x v="208"/>
    <s v="RACHE AUTO CH CC 5 1/2&quot; TP1 1-1/2&quot;28E"/>
    <n v="1"/>
    <n v="354700"/>
    <s v="CENTRO AUTOMOTOR DIESEL S.A CENTRODIESEL"/>
    <s v="DANIELA ALEJANDRA LEON VARGAS"/>
    <n v="12"/>
    <s v="DICIEMBRE"/>
  </r>
  <r>
    <n v="2025"/>
    <s v="19/12/2025"/>
    <s v="RMC"/>
    <n v="6416"/>
    <x v="167"/>
    <s v="CONO DE 5/8&quot; CERRADO"/>
    <n v="1"/>
    <n v="5500"/>
    <s v="CENTRO AUTOMOTOR DIESEL S.A CENTRODIESEL"/>
    <s v="DANIELA ALEJANDRA LEON VARGAS"/>
    <n v="12"/>
    <s v="DICIEMBRE"/>
  </r>
  <r>
    <n v="2025"/>
    <s v="19/12/2025"/>
    <s v="RMC"/>
    <n v="6416"/>
    <x v="344"/>
    <s v="TORRE MONO  14/1618/918"/>
    <n v="2"/>
    <n v="2195652"/>
    <s v="CENTRO AUTOMOTOR DIESEL S.A CENTRODIESEL"/>
    <s v="DANIELA ALEJANDRA LEON VARGAS"/>
    <n v="12"/>
    <s v="DICIEMBRE"/>
  </r>
  <r>
    <n v="2025"/>
    <s v="19/12/2025"/>
    <s v="RMC"/>
    <n v="6416"/>
    <x v="437"/>
    <s v="VALVULA DOBLE BOTON GRIS 18 CAMBIOS"/>
    <n v="2"/>
    <n v="530600"/>
    <s v="CENTRO AUTOMOTOR DIESEL S.A CENTRODIESEL"/>
    <s v="DANIELA ALEJANDRA LEON VARGAS"/>
    <n v="12"/>
    <s v="DICIEMBRE"/>
  </r>
  <r>
    <n v="2025"/>
    <s v="19/12/2025"/>
    <s v="RMC"/>
    <n v="6416"/>
    <x v="188"/>
    <s v="AMORT KW T800 DELT. MD 2006 Y SIGUIENTES"/>
    <n v="3"/>
    <n v="597321"/>
    <s v="CENTRO AUTOMOTOR DIESEL S.A CENTRODIESEL"/>
    <s v="DANIELA ALEJANDRA LEON VARGAS"/>
    <n v="12"/>
    <s v="DICIEMBRE"/>
  </r>
  <r>
    <n v="2025"/>
    <s v="19/12/2025"/>
    <s v="RMC"/>
    <n v="6416"/>
    <x v="187"/>
    <s v="BALINERA VOLANTE"/>
    <n v="7"/>
    <n v="210427"/>
    <s v="CENTRO AUTOMOTOR DIESEL S.A CENTRODIESEL"/>
    <s v="DANIELA ALEJANDRA LEON VARGAS"/>
    <n v="12"/>
    <s v="DICIEMBRE"/>
  </r>
  <r>
    <n v="2025"/>
    <s v="19/12/2025"/>
    <s v="RMC"/>
    <n v="6416"/>
    <x v="157"/>
    <s v="BALINERA FAN CLUTCH"/>
    <n v="4"/>
    <n v="126848"/>
    <s v="CENTRO AUTOMOTOR DIESEL S.A CENTRODIESEL"/>
    <s v="DANIELA ALEJANDRA LEON VARGAS"/>
    <n v="12"/>
    <s v="DICIEMBRE"/>
  </r>
  <r>
    <n v="2025"/>
    <s v="19/12/2025"/>
    <s v="RMC"/>
    <n v="6416"/>
    <x v="375"/>
    <s v="CAUCHO TAPA DIVISOR"/>
    <n v="2"/>
    <n v="17400"/>
    <s v="CENTRO AUTOMOTOR DIESEL S.A CENTRODIESEL"/>
    <s v="DANIELA ALEJANDRA LEON VARGAS"/>
    <n v="12"/>
    <s v="DICIEMBRE"/>
  </r>
  <r>
    <n v="2025"/>
    <s v="19/12/2025"/>
    <s v="RMC"/>
    <n v="6416"/>
    <x v="318"/>
    <s v="VARILLA CORREDIZO 16918"/>
    <n v="1"/>
    <n v="12600"/>
    <s v="CENTRO AUTOMOTOR DIESEL S.A CENTRODIESEL"/>
    <s v="DANIELA ALEJANDRA LEON VARGAS"/>
    <n v="12"/>
    <s v="DICIEMBRE"/>
  </r>
  <r>
    <n v="2025"/>
    <s v="19/12/2025"/>
    <s v="RMC"/>
    <n v="6416"/>
    <x v="299"/>
    <s v="PIÑON EJE DE TOMA 16918"/>
    <n v="1"/>
    <n v="432300"/>
    <s v="CENTRO AUTOMOTOR DIESEL S.A CENTRODIESEL"/>
    <s v="DANIELA ALEJANDRA LEON VARGAS"/>
    <n v="12"/>
    <s v="DICIEMBRE"/>
  </r>
  <r>
    <n v="2025"/>
    <s v="06/11/2025"/>
    <s v="RMC"/>
    <n v="6345"/>
    <x v="293"/>
    <s v="CORBATIN SUSPENSION NEUMATICA KENWORTH"/>
    <n v="2"/>
    <n v="240000"/>
    <s v="TRANSPORTES Y SERVICIOS TRANSER SAS"/>
    <s v="JONATHAN PAEZ PEDRAZA"/>
    <n v="11"/>
    <s v="NOVIEMBRE"/>
  </r>
  <r>
    <n v="2025"/>
    <s v="06/11/2025"/>
    <s v="RMC"/>
    <n v="6345"/>
    <x v="164"/>
    <s v="SPLINDER 14600 LB BUJE PLAS 9,06&quot; x 1,87"/>
    <n v="1"/>
    <n v="890000"/>
    <s v="TRANSPORTES Y SERVICIOS TRANSER SAS"/>
    <s v="JONATHAN PAEZ PEDRAZA"/>
    <n v="11"/>
    <s v="NOVIEMBRE"/>
  </r>
  <r>
    <n v="2025"/>
    <s v="06/11/2025"/>
    <s v="RMC"/>
    <n v="6345"/>
    <x v="321"/>
    <s v="PIN PIÑONES CORREDIZO"/>
    <n v="1"/>
    <n v="3000"/>
    <s v="TRANSPORTES Y SERVICIOS TRANSER SAS"/>
    <s v="JONATHAN PAEZ PEDRAZA"/>
    <n v="11"/>
    <s v="NOVIEMBRE"/>
  </r>
  <r>
    <n v="2025"/>
    <s v="06/11/2025"/>
    <s v="RMC"/>
    <n v="6345"/>
    <x v="320"/>
    <s v="TUERCA EJE MONO 14915/16915/FR/FRO"/>
    <n v="1"/>
    <n v="65000"/>
    <s v="TRANSPORTES Y SERVICIOS TRANSER SAS"/>
    <s v="JONATHAN PAEZ PEDRAZA"/>
    <n v="11"/>
    <s v="NOVIEMBRE"/>
  </r>
  <r>
    <n v="2025"/>
    <s v="06/11/2025"/>
    <s v="RMC"/>
    <n v="6345"/>
    <x v="319"/>
    <s v="PIÑA BAJO  918B"/>
    <n v="1"/>
    <n v="128000"/>
    <s v="TRANSPORTES Y SERVICIOS TRANSER SAS"/>
    <s v="JONATHAN PAEZ PEDRAZA"/>
    <n v="11"/>
    <s v="NOVIEMBRE"/>
  </r>
  <r>
    <n v="2025"/>
    <s v="06/11/2025"/>
    <s v="RMC"/>
    <n v="6345"/>
    <x v="318"/>
    <s v="VARILLA CORREDIZO 16918"/>
    <n v="1"/>
    <n v="14500"/>
    <s v="TRANSPORTES Y SERVICIOS TRANSER SAS"/>
    <s v="JONATHAN PAEZ PEDRAZA"/>
    <n v="11"/>
    <s v="NOVIEMBRE"/>
  </r>
  <r>
    <n v="2025"/>
    <s v="06/11/2025"/>
    <s v="RMC"/>
    <n v="6345"/>
    <x v="302"/>
    <s v="PIÑA CDIZO 14/16"/>
    <n v="1"/>
    <n v="85000"/>
    <s v="TRANSPORTES Y SERVICIOS TRANSER SAS"/>
    <s v="JONATHAN PAEZ PEDRAZA"/>
    <n v="11"/>
    <s v="NOVIEMBRE"/>
  </r>
  <r>
    <n v="2025"/>
    <s v="06/11/2025"/>
    <s v="RMC"/>
    <n v="6345"/>
    <x v="216"/>
    <s v="SINCRONIZADOR (JGO X 5) TODAS PATA GRUES"/>
    <n v="1"/>
    <n v="348000"/>
    <s v="TRANSPORTES Y SERVICIOS TRANSER SAS"/>
    <s v="JONATHAN PAEZ PEDRAZA"/>
    <n v="11"/>
    <s v="NOVIEMBRE"/>
  </r>
  <r>
    <n v="2025"/>
    <s v="06/11/2025"/>
    <s v="RMC"/>
    <n v="6345"/>
    <x v="378"/>
    <s v="ARANDELA EST INT CDIZO RT/RTLO TODAS"/>
    <n v="4"/>
    <n v="124000"/>
    <s v="TRANSPORTES Y SERVICIOS TRANSER SAS"/>
    <s v="JONATHAN PAEZ PEDRAZA"/>
    <n v="11"/>
    <s v="NOVIEMBRE"/>
  </r>
  <r>
    <n v="2025"/>
    <s v="06/11/2025"/>
    <s v="RMC"/>
    <n v="6345"/>
    <x v="317"/>
    <s v="ARANDELA EST.INT CDIZO  14/16918"/>
    <n v="2"/>
    <n v="80000"/>
    <s v="TRANSPORTES Y SERVICIOS TRANSER SAS"/>
    <s v="JONATHAN PAEZ PEDRAZA"/>
    <n v="11"/>
    <s v="NOVIEMBRE"/>
  </r>
  <r>
    <n v="2025"/>
    <s v="06/11/2025"/>
    <s v="RMC"/>
    <n v="6345"/>
    <x v="316"/>
    <s v="ARANDELA EST INT CDIZO- BLANCA // 249MM"/>
    <n v="1"/>
    <n v="33000"/>
    <s v="TRANSPORTES Y SERVICIOS TRANSER SAS"/>
    <s v="JONATHAN PAEZ PEDRAZA"/>
    <n v="11"/>
    <s v="NOVIEMBRE"/>
  </r>
  <r>
    <n v="2025"/>
    <s v="06/11/2025"/>
    <s v="RMC"/>
    <n v="6345"/>
    <x v="315"/>
    <s v="PIÑON 1RA CDIZO 918"/>
    <n v="1"/>
    <n v="245000"/>
    <s v="TRANSPORTES Y SERVICIOS TRANSER SAS"/>
    <s v="JONATHAN PAEZ PEDRAZA"/>
    <n v="11"/>
    <s v="NOVIEMBRE"/>
  </r>
  <r>
    <n v="2025"/>
    <s v="06/11/2025"/>
    <s v="RMC"/>
    <n v="6345"/>
    <x v="235"/>
    <s v="PIN ESPIRAL REVSO - TODAS"/>
    <n v="2"/>
    <n v="14000"/>
    <s v="TRANSPORTES Y SERVICIOS TRANSER SAS"/>
    <s v="JONATHAN PAEZ PEDRAZA"/>
    <n v="11"/>
    <s v="NOVIEMBRE"/>
  </r>
  <r>
    <n v="2025"/>
    <s v="06/11/2025"/>
    <s v="RMC"/>
    <n v="6345"/>
    <x v="217"/>
    <s v="PIÑON 4TA CDIZO 16918"/>
    <n v="1"/>
    <n v="356000"/>
    <s v="TRANSPORTES Y SERVICIOS TRANSER SAS"/>
    <s v="JONATHAN PAEZ PEDRAZA"/>
    <n v="11"/>
    <s v="NOVIEMBRE"/>
  </r>
  <r>
    <n v="2025"/>
    <s v="06/11/2025"/>
    <s v="RMC"/>
    <n v="6345"/>
    <x v="299"/>
    <s v="PIÑON EJE DE TOMA 16918"/>
    <n v="1"/>
    <n v="421000"/>
    <s v="TRANSPORTES Y SERVICIOS TRANSER SAS"/>
    <s v="JONATHAN PAEZ PEDRAZA"/>
    <n v="11"/>
    <s v="NOVIEMBRE"/>
  </r>
  <r>
    <n v="2025"/>
    <s v="06/11/2025"/>
    <s v="RMC"/>
    <n v="6345"/>
    <x v="304"/>
    <s v="ARANDELA TORNILLO PUNTA EJE MONO 918"/>
    <n v="1"/>
    <n v="56000"/>
    <s v="TRANSPORTES Y SERVICIOS TRANSER SAS"/>
    <s v="JONATHAN PAEZ PEDRAZA"/>
    <n v="11"/>
    <s v="NOVIEMBRE"/>
  </r>
  <r>
    <n v="2025"/>
    <s v="06/11/2025"/>
    <s v="RMC"/>
    <n v="6345"/>
    <x v="115"/>
    <s v="PIÑA CDIZO"/>
    <n v="1"/>
    <n v="103000"/>
    <s v="TRANSPORTES Y SERVICIOS TRANSER SAS"/>
    <s v="JONATHAN PAEZ PEDRAZA"/>
    <n v="11"/>
    <s v="NOVIEMBRE"/>
  </r>
  <r>
    <n v="2025"/>
    <s v="06/11/2025"/>
    <s v="RMC"/>
    <n v="6345"/>
    <x v="450"/>
    <s v="KIT BOMBA ACEITE CAJA JGOX3 14718/918/16"/>
    <n v="1"/>
    <n v="422000"/>
    <s v="TRANSPORTES Y SERVICIOS TRANSER SAS"/>
    <s v="JONATHAN PAEZ PEDRAZA"/>
    <n v="11"/>
    <s v="NOVIEMBRE"/>
  </r>
  <r>
    <n v="2025"/>
    <s v="06/11/2025"/>
    <s v="RMC"/>
    <n v="6345"/>
    <x v="343"/>
    <s v="O'RING EJE TOMA TODAS"/>
    <n v="1"/>
    <n v="5000"/>
    <s v="TRANSPORTES Y SERVICIOS TRANSER SAS"/>
    <s v="JONATHAN PAEZ PEDRAZA"/>
    <n v="11"/>
    <s v="NOVIEMBRE"/>
  </r>
  <r>
    <n v="2025"/>
    <s v="06/11/2025"/>
    <s v="RMC"/>
    <n v="6345"/>
    <x v="416"/>
    <s v="PASADOR CLUTCH CORTO KENWORTH"/>
    <n v="1"/>
    <n v="45000"/>
    <s v="TRANSPORTES Y SERVICIOS TRANSER SAS"/>
    <s v="JONATHAN PAEZ PEDRAZA"/>
    <n v="11"/>
    <s v="NOVIEMBRE"/>
  </r>
  <r>
    <n v="2025"/>
    <s v="06/11/2025"/>
    <s v="RMC"/>
    <n v="6345"/>
    <x v="479"/>
    <s v="YOKE DIV 46E S 5438 Q 2 5/8&quot; R 3 1/4&quot;"/>
    <n v="1"/>
    <n v="540000"/>
    <s v="TRANSPORTES Y SERVICIOS TRANSER SAS"/>
    <s v="JONATHAN PAEZ PEDRAZA"/>
    <n v="11"/>
    <s v="NOVIEMBRE"/>
  </r>
  <r>
    <n v="2025"/>
    <s v="06/11/2025"/>
    <s v="RMC"/>
    <n v="6345"/>
    <x v="16"/>
    <s v="JUEGO CHAPETA CRUCETA 15 1/2&quot; 17 1/2&quot;"/>
    <n v="1"/>
    <n v="23000"/>
    <s v="TRANSPORTES Y SERVICIOS TRANSER SAS"/>
    <s v="JONATHAN PAEZ PEDRAZA"/>
    <n v="11"/>
    <s v="NOVIEMBRE"/>
  </r>
  <r>
    <n v="2025"/>
    <s v="06/11/2025"/>
    <s v="RMC"/>
    <n v="6345"/>
    <x v="355"/>
    <s v="AMORTIGUA TRAILE HT300(9122)REFORZ=85000"/>
    <n v="2"/>
    <n v="482000"/>
    <s v="TRANSPORTES Y SERVICIOS TRANSER SAS"/>
    <s v="JONATHAN PAEZ PEDRAZA"/>
    <n v="11"/>
    <s v="NOVIEMBRE"/>
  </r>
  <r>
    <n v="2025"/>
    <s v="06/11/2025"/>
    <s v="RMC"/>
    <n v="6345"/>
    <x v="283"/>
    <s v="BOLSA TAN 10.12ANx6.20CCx22AL+1T"/>
    <n v="1"/>
    <n v="460000"/>
    <s v="TRANSPORTES Y SERVICIOS TRANSER SAS"/>
    <s v="JONATHAN PAEZ PEDRAZA"/>
    <n v="11"/>
    <s v="NOVIEMBRE"/>
  </r>
  <r>
    <n v="2025"/>
    <s v="06/11/2025"/>
    <s v="RMC"/>
    <n v="6345"/>
    <x v="110"/>
    <s v="SOPORTE TRASERO MOTOR HI"/>
    <n v="2"/>
    <n v="142000"/>
    <s v="TRANSPORTES Y SERVICIOS TRANSER SAS"/>
    <s v="JONATHAN PAEZ PEDRAZA"/>
    <n v="11"/>
    <s v="NOVIEMBRE"/>
  </r>
  <r>
    <n v="2025"/>
    <s v="06/11/2025"/>
    <s v="RMC"/>
    <n v="6345"/>
    <x v="238"/>
    <s v="VENTILADOR 32x2,5 x 11"/>
    <n v="1"/>
    <n v="440000"/>
    <s v="TRANSPORTES Y SERVICIOS TRANSER SAS"/>
    <s v="JONATHAN PAEZ PEDRAZA"/>
    <n v="11"/>
    <s v="NOVIEMBRE"/>
  </r>
  <r>
    <n v="2025"/>
    <s v="06/11/2025"/>
    <s v="RMC"/>
    <n v="6345"/>
    <x v="480"/>
    <s v="RACHE AUTO CH CC 5 1/2&quot; TP3 1-1/2&quot;28E"/>
    <n v="1"/>
    <n v="300000"/>
    <s v="TRANSPORTES Y SERVICIOS TRANSER SAS"/>
    <s v="JONATHAN PAEZ PEDRAZA"/>
    <n v="11"/>
    <s v="NOVIEMBRE"/>
  </r>
  <r>
    <n v="2025"/>
    <s v="26/11/2025"/>
    <s v="RMC"/>
    <n v="6373"/>
    <x v="468"/>
    <s v="KIT EMPAQUETADURA MODULO ROMARCO"/>
    <n v="10"/>
    <n v="860000"/>
    <s v="TRANSPORTES Y SERVICIOS TRANSER SAS"/>
    <s v="JONATHAN PAEZ PEDRAZA"/>
    <n v="11"/>
    <s v="NOVIEMBRE"/>
  </r>
  <r>
    <n v="2025"/>
    <s v="26/11/2025"/>
    <s v="RMC"/>
    <n v="6374"/>
    <x v="161"/>
    <s v="ARANDELA EXCENTRICA ALINEACION BRONCE"/>
    <n v="2"/>
    <n v="152232"/>
    <s v="EMPRESA DE DISTRIBUCIONES INDUSTRIALES S.A.S."/>
    <s v="WILLIAM DUVAN REYES DIAZ"/>
    <n v="11"/>
    <s v="NOVIEMBRE"/>
  </r>
  <r>
    <n v="2025"/>
    <s v="26/11/2025"/>
    <s v="RMC"/>
    <n v="6374"/>
    <x v="406"/>
    <s v="SINCRO REVSA Y 1RA FS6305 MIXTO A/B"/>
    <n v="2"/>
    <n v="1486464"/>
    <s v="EMPRESA DE DISTRIBUCIONES INDUSTRIALES S.A.S."/>
    <s v="WILLIAM DUVAN REYES DIAZ"/>
    <n v="11"/>
    <s v="NOVIEMBRE"/>
  </r>
  <r>
    <n v="2025"/>
    <s v="09/06/2025"/>
    <s v="RMC"/>
    <n v="6096"/>
    <x v="481"/>
    <s v="DESFOGUE TAPA 16915-16918"/>
    <n v="1"/>
    <n v="23000"/>
    <s v="TRANSPORTES Y SERVICIOS TRANSER SAS"/>
    <s v="JONATHAN PAEZ PEDRAZA"/>
    <n v="6"/>
    <s v="JUNIO"/>
  </r>
  <r>
    <n v="2025"/>
    <s v="26/09/2025"/>
    <s v="RMC"/>
    <n v="6272"/>
    <x v="320"/>
    <s v="TUERCA EJE MONO 14915/16915/FR/FRO"/>
    <n v="1"/>
    <n v="65000"/>
    <s v="TRANSPORTES Y SERVICIOS TRANSER SAS"/>
    <s v="JONATHAN PAEZ PEDRAZA"/>
    <n v="9"/>
    <s v="SEPTIEMBRE"/>
  </r>
  <r>
    <n v="2025"/>
    <s v="26/09/2025"/>
    <s v="RMC"/>
    <n v="6272"/>
    <x v="318"/>
    <s v="VARILLA CORREDIZO 16918"/>
    <n v="1"/>
    <n v="14500"/>
    <s v="TRANSPORTES Y SERVICIOS TRANSER SAS"/>
    <s v="JONATHAN PAEZ PEDRAZA"/>
    <n v="9"/>
    <s v="SEPTIEMBRE"/>
  </r>
  <r>
    <n v="2025"/>
    <s v="26/09/2025"/>
    <s v="RMC"/>
    <n v="6272"/>
    <x v="302"/>
    <s v="PIÑA CDIZO 14/16"/>
    <n v="1"/>
    <n v="85000"/>
    <s v="TRANSPORTES Y SERVICIOS TRANSER SAS"/>
    <s v="JONATHAN PAEZ PEDRAZA"/>
    <n v="9"/>
    <s v="SEPTIEMBRE"/>
  </r>
  <r>
    <n v="2025"/>
    <s v="26/09/2025"/>
    <s v="RMC"/>
    <n v="6272"/>
    <x v="299"/>
    <s v="PIÑON EJE DE TOMA 16918"/>
    <n v="1"/>
    <n v="421000"/>
    <s v="TRANSPORTES Y SERVICIOS TRANSER SAS"/>
    <s v="JONATHAN PAEZ PEDRAZA"/>
    <n v="9"/>
    <s v="SEPTIEMBRE"/>
  </r>
  <r>
    <n v="2025"/>
    <s v="26/09/2025"/>
    <s v="RMC"/>
    <n v="6272"/>
    <x v="437"/>
    <s v="VALVULA DOBLE BOTON GRIS 18 CAMBIOS"/>
    <n v="1"/>
    <n v="280000"/>
    <s v="TRANSPORTES Y SERVICIOS TRANSER SAS"/>
    <s v="JONATHAN PAEZ PEDRAZA"/>
    <n v="9"/>
    <s v="SEPTIEMBRE"/>
  </r>
  <r>
    <n v="2025"/>
    <s v="26/09/2025"/>
    <s v="RMC"/>
    <n v="6272"/>
    <x v="224"/>
    <s v="JUEGO CHAPETA (JGOX2) SPL170"/>
    <n v="1"/>
    <n v="65000"/>
    <s v="TRANSPORTES Y SERVICIOS TRANSER SAS"/>
    <s v="JONATHAN PAEZ PEDRAZA"/>
    <n v="9"/>
    <s v="SEPTIEMBRE"/>
  </r>
  <r>
    <n v="2025"/>
    <s v="30/07/2025"/>
    <s v="RMC"/>
    <n v="6192"/>
    <x v="111"/>
    <s v="TAPA EJE DE TOMA 2&quot;"/>
    <n v="1"/>
    <n v="90000"/>
    <s v="TRANSPORTES Y SERVICIOS TRANSER SAS"/>
    <s v="JONATHAN PAEZ PEDRAZA"/>
    <n v="7"/>
    <s v="JULIO"/>
  </r>
  <r>
    <n v="2025"/>
    <s v="30/07/2025"/>
    <s v="RMC"/>
    <n v="6192"/>
    <x v="232"/>
    <s v="PIN TORNILLOS CRUCETA"/>
    <n v="2"/>
    <n v="2400"/>
    <s v="TRANSPORTES Y SERVICIOS TRANSER SAS"/>
    <s v="JONATHAN PAEZ PEDRAZA"/>
    <n v="7"/>
    <s v="JULIO"/>
  </r>
  <r>
    <n v="2025"/>
    <s v="06/06/2025"/>
    <s v="RMC"/>
    <n v="6095"/>
    <x v="82"/>
    <s v="RODILLO TORRE MONO 918"/>
    <n v="2"/>
    <n v="210000"/>
    <s v="TRANSPORTES Y SERVICIOS TRANSER SAS"/>
    <s v="JONATHAN PAEZ PEDRAZA"/>
    <n v="6"/>
    <s v="JUNIO"/>
  </r>
  <r>
    <n v="2025"/>
    <s v="06/06/2025"/>
    <s v="RMC"/>
    <n v="6095"/>
    <x v="360"/>
    <s v="RODILLO DOBLE PIÑON DEL BAJO 14718"/>
    <n v="1"/>
    <n v="300000"/>
    <s v="TRANSPORTES Y SERVICIOS TRANSER SAS"/>
    <s v="JONATHAN PAEZ PEDRAZA"/>
    <n v="6"/>
    <s v="JUNIO"/>
  </r>
  <r>
    <n v="2025"/>
    <s v="26/11/2025"/>
    <s v="RMC"/>
    <n v="6372"/>
    <x v="482"/>
    <s v="HUBODOMETRO"/>
    <n v="1"/>
    <n v="325000"/>
    <s v="EMPRESA DE DISTRIBUCIONES INDUSTRIALES S.A.S."/>
    <s v="WILLIAM DUVAN REYES DIAZ"/>
    <n v="11"/>
    <s v="NOVIEMBRE"/>
  </r>
  <r>
    <n v="2025"/>
    <s v="07/01/2025"/>
    <s v="RMC"/>
    <n v="5766"/>
    <x v="118"/>
    <s v="ARANDELA CONCENTRICA ALINEACION BRONCE"/>
    <n v="2"/>
    <n v="160330"/>
    <s v="TRANSPORTES Y SERVICIOS TRANSER SAS"/>
    <s v="JONATHAN PAEZ PEDRAZA"/>
    <n v="1"/>
    <s v="ENERO"/>
  </r>
  <r>
    <n v="2025"/>
    <s v="25/07/2025"/>
    <s v="RMC"/>
    <n v="6186"/>
    <x v="248"/>
    <s v="DISCO 15/2 7 RESORTES 4 TACOS"/>
    <n v="4"/>
    <n v="1920000"/>
    <s v="TRANSPORTES Y SERVICIOS TRANSER SAS"/>
    <s v="JONATHAN PAEZ PEDRAZA"/>
    <n v="7"/>
    <s v="JULIO"/>
  </r>
  <r>
    <n v="2025"/>
    <s v="25/07/2025"/>
    <s v="RMC"/>
    <n v="6186"/>
    <x v="483"/>
    <s v="CILINDRO ESCLAVO HIDRO-NEUMATICO PROSTAR"/>
    <n v="1"/>
    <n v="1085000"/>
    <s v="TRANSPORTES Y SERVICIOS TRANSER SAS"/>
    <s v="JONATHAN PAEZ PEDRAZA"/>
    <n v="7"/>
    <s v="JULIO"/>
  </r>
  <r>
    <n v="2025"/>
    <s v="25/07/2025"/>
    <s v="RMC"/>
    <n v="6186"/>
    <x v="259"/>
    <s v="JUEGO CHAPETA SPL250 (JGOX6)"/>
    <n v="1"/>
    <n v="63000"/>
    <s v="TRANSPORTES Y SERVICIOS TRANSER SAS"/>
    <s v="JONATHAN PAEZ PEDRAZA"/>
    <n v="7"/>
    <s v="JULIO"/>
  </r>
  <r>
    <n v="2025"/>
    <s v="25/07/2025"/>
    <s v="RMC"/>
    <n v="6186"/>
    <x v="16"/>
    <s v="JUEGO CHAPETA CRUCETA 15 1/2&quot; 17 1/2&quot;"/>
    <n v="1"/>
    <n v="23000"/>
    <s v="TRANSPORTES Y SERVICIOS TRANSER SAS"/>
    <s v="JONATHAN PAEZ PEDRAZA"/>
    <n v="7"/>
    <s v="JULIO"/>
  </r>
  <r>
    <n v="2025"/>
    <s v="25/07/2025"/>
    <s v="RMC"/>
    <n v="6186"/>
    <x v="484"/>
    <s v="SOPORTE INF. DERECHO HAS 460"/>
    <n v="1"/>
    <n v="232000"/>
    <s v="TRANSPORTES Y SERVICIOS TRANSER SAS"/>
    <s v="JONATHAN PAEZ PEDRAZA"/>
    <n v="7"/>
    <s v="JULIO"/>
  </r>
  <r>
    <n v="2025"/>
    <s v="25/07/2025"/>
    <s v="RMC"/>
    <n v="6186"/>
    <x v="89"/>
    <s v="SILLIN P/HAS 460 DELANTERO RYL 3,0°"/>
    <n v="2"/>
    <n v="1018000"/>
    <s v="TRANSPORTES Y SERVICIOS TRANSER SAS"/>
    <s v="JONATHAN PAEZ PEDRAZA"/>
    <n v="7"/>
    <s v="JULIO"/>
  </r>
  <r>
    <n v="2025"/>
    <s v="25/07/2025"/>
    <s v="RMC"/>
    <n v="6186"/>
    <x v="18"/>
    <s v="RACHE AUT CONT RAP SH CC 5&quot;Y 6&quot; 28 E"/>
    <n v="1"/>
    <n v="350000"/>
    <s v="TRANSPORTES Y SERVICIOS TRANSER SAS"/>
    <s v="JONATHAN PAEZ PEDRAZA"/>
    <n v="7"/>
    <s v="JULIO"/>
  </r>
  <r>
    <n v="2025"/>
    <s v="25/07/2025"/>
    <s v="RMC"/>
    <n v="6186"/>
    <x v="241"/>
    <s v="TENSOR CORREA (ALTERNADOR)"/>
    <n v="1"/>
    <n v="304000"/>
    <s v="TRANSPORTES Y SERVICIOS TRANSER SAS"/>
    <s v="JONATHAN PAEZ PEDRAZA"/>
    <n v="7"/>
    <s v="JULIO"/>
  </r>
  <r>
    <n v="2025"/>
    <s v="25/07/2025"/>
    <s v="RMC"/>
    <n v="6186"/>
    <x v="418"/>
    <s v="VALVULA DESFOGUE TANQUE COMBUSTIBLE"/>
    <n v="1"/>
    <n v="47000"/>
    <s v="TRANSPORTES Y SERVICIOS TRANSER SAS"/>
    <s v="JONATHAN PAEZ PEDRAZA"/>
    <n v="7"/>
    <s v="JULIO"/>
  </r>
  <r>
    <n v="2025"/>
    <s v="20/10/2025"/>
    <s v="RMC"/>
    <n v="6321"/>
    <x v="412"/>
    <s v="AMORTIGUADOR DELANTERO EAGLE  WORK STAR"/>
    <n v="1"/>
    <n v="215000"/>
    <s v="TRANSPORTES Y SERVICIOS TRANSER SAS"/>
    <s v="JONATHAN PAEZ PEDRAZA"/>
    <n v="10"/>
    <s v="OCTUBRE"/>
  </r>
  <r>
    <n v="2025"/>
    <s v="27/08/2025"/>
    <s v="RMC"/>
    <n v="6231"/>
    <x v="256"/>
    <s v="TUERCA HAUSING EAGLE"/>
    <n v="1"/>
    <n v="99000"/>
    <s v="TRANSPORTES Y SERVICIOS TRANSER SAS"/>
    <s v="JONATHAN PAEZ PEDRAZA"/>
    <n v="8"/>
    <s v="AGOSTO"/>
  </r>
  <r>
    <n v="2025"/>
    <s v="27/08/2025"/>
    <s v="RMC"/>
    <n v="6231"/>
    <x v="242"/>
    <s v="RETEN CIGU DETR S 60 VERD CON CAMIS FIJA"/>
    <n v="1"/>
    <n v="290000"/>
    <s v="TRANSPORTES Y SERVICIOS TRANSER SAS"/>
    <s v="JONATHAN PAEZ PEDRAZA"/>
    <n v="8"/>
    <s v="AGOSTO"/>
  </r>
  <r>
    <n v="2025"/>
    <s v="01/08/2025"/>
    <s v="RMC"/>
    <n v="6196"/>
    <x v="483"/>
    <s v="CILINDRO ESCLAVO HIDRO-NEUMATICO PROSTAR"/>
    <n v="1"/>
    <n v="1085000"/>
    <s v="TRANSPORTES Y SERVICIOS TRANSER SAS"/>
    <s v="JONATHAN PAEZ PEDRAZA"/>
    <n v="8"/>
    <s v="AGOSTO"/>
  </r>
  <r>
    <n v="2025"/>
    <s v="14/05/2025"/>
    <s v="RMC"/>
    <n v="6053"/>
    <x v="16"/>
    <s v="JUEGO CHAPETA CRUCETA 15 1/2&quot; 17 1/2&quot;"/>
    <n v="1"/>
    <n v="22049"/>
    <s v="TRANSPORTES Y SERVICIOS TRANSER SAS"/>
    <s v="JONATHAN PAEZ PEDRAZA"/>
    <n v="5"/>
    <s v="MAYO"/>
  </r>
  <r>
    <n v="2025"/>
    <s v="15/08/2025"/>
    <s v="RMC"/>
    <n v="6217"/>
    <x v="322"/>
    <s v="CAUCHO TAPA DIVISOR"/>
    <n v="2"/>
    <n v="34000"/>
    <s v="TRANSPORTES Y SERVICIOS TRANSER SAS"/>
    <s v="JONATHAN PAEZ PEDRAZA"/>
    <n v="8"/>
    <s v="AGOSTO"/>
  </r>
  <r>
    <n v="2025"/>
    <s v="15/08/2025"/>
    <s v="RMC"/>
    <n v="6217"/>
    <x v="485"/>
    <s v="RACOR"/>
    <n v="1"/>
    <n v="20000"/>
    <s v="TRANSPORTES Y SERVICIOS TRANSER SAS"/>
    <s v="JONATHAN PAEZ PEDRAZA"/>
    <n v="8"/>
    <s v="AGOSTO"/>
  </r>
  <r>
    <n v="2025"/>
    <s v="15/08/2025"/>
    <s v="RMC"/>
    <n v="6217"/>
    <x v="244"/>
    <s v="RACH AUT CONT RAPI SH CC 6&quot; 28E REC TRAY"/>
    <n v="1"/>
    <n v="277163"/>
    <s v="TRANSPORTES Y SERVICIOS TRANSER SAS"/>
    <s v="JONATHAN PAEZ PEDRAZA"/>
    <n v="8"/>
    <s v="AGOSTO"/>
  </r>
  <r>
    <n v="2025"/>
    <s v="15/08/2025"/>
    <s v="RMC"/>
    <n v="6217"/>
    <x v="395"/>
    <s v="BOLSA CABINA PROSTAR"/>
    <n v="1"/>
    <n v="155000"/>
    <s v="TRANSPORTES Y SERVICIOS TRANSER SAS"/>
    <s v="JONATHAN PAEZ PEDRAZA"/>
    <n v="8"/>
    <s v="AGOSTO"/>
  </r>
  <r>
    <n v="2025"/>
    <s v="01/12/2025"/>
    <s v="RMC"/>
    <n v="6386"/>
    <x v="482"/>
    <s v="HUBODOMETRO"/>
    <n v="1"/>
    <n v="325000"/>
    <s v="EMPRESA DE DISTRIBUCIONES INDUSTRIALES S.A.S."/>
    <s v="WILLIAM DUVAN REYES DIAZ"/>
    <n v="12"/>
    <s v="DICIEMBRE"/>
  </r>
  <r>
    <n v="2025"/>
    <s v="16/07/2025"/>
    <s v="RMC"/>
    <n v="6163"/>
    <x v="365"/>
    <s v="PASADOR LARGO DEL CLUTCH KENWORTH"/>
    <n v="1"/>
    <n v="66000"/>
    <s v="TRANSPORTES Y SERVICIOS TRANSER SAS"/>
    <s v="JONATHAN PAEZ PEDRAZA"/>
    <n v="7"/>
    <s v="JULIO"/>
  </r>
  <r>
    <n v="2025"/>
    <s v="16/07/2025"/>
    <s v="RMC"/>
    <n v="6163"/>
    <x v="259"/>
    <s v="JUEGO CHAPETA SPL250 (JGOX6)"/>
    <n v="1"/>
    <n v="55000"/>
    <s v="TRANSPORTES Y SERVICIOS TRANSER SAS"/>
    <s v="JONATHAN PAEZ PEDRAZA"/>
    <n v="7"/>
    <s v="JULIO"/>
  </r>
  <r>
    <n v="2025"/>
    <s v="15/09/2025"/>
    <s v="RMC"/>
    <n v="6250"/>
    <x v="17"/>
    <s v="BOLSA SUSPENSION CABINA EAGLE"/>
    <n v="1"/>
    <n v="134000"/>
    <s v="TRANSPORTES Y SERVICIOS TRANSER SAS"/>
    <s v="JONATHAN PAEZ PEDRAZA"/>
    <n v="9"/>
    <s v="SEPTIEMBRE"/>
  </r>
  <r>
    <n v="2025"/>
    <s v="15/09/2025"/>
    <s v="RMC"/>
    <n v="6250"/>
    <x v="322"/>
    <s v="CAUCHO TAPA DIVISOR"/>
    <n v="2"/>
    <n v="34000"/>
    <s v="TRANSPORTES Y SERVICIOS TRANSER SAS"/>
    <s v="JONATHAN PAEZ PEDRAZA"/>
    <n v="9"/>
    <s v="SEPTIEMBRE"/>
  </r>
  <r>
    <n v="2025"/>
    <s v="15/09/2025"/>
    <s v="RMC"/>
    <n v="6250"/>
    <x v="481"/>
    <s v="DESFOGUE TAPA 16915-16918"/>
    <n v="1"/>
    <n v="24000"/>
    <s v="TRANSPORTES Y SERVICIOS TRANSER SAS"/>
    <s v="JONATHAN PAEZ PEDRAZA"/>
    <n v="9"/>
    <s v="SEPTIEMBRE"/>
  </r>
  <r>
    <n v="2025"/>
    <s v="22/09/2025"/>
    <s v="RMC"/>
    <n v="6264"/>
    <x v="322"/>
    <s v="CAUCHO TAPA DIVISOR"/>
    <n v="2"/>
    <n v="34000"/>
    <s v="TRANSPORTES Y SERVICIOS TRANSER SAS"/>
    <s v="JONATHAN PAEZ PEDRAZA"/>
    <n v="9"/>
    <s v="SEPTIEMBRE"/>
  </r>
  <r>
    <n v="2025"/>
    <s v="22/09/2025"/>
    <s v="RMC"/>
    <n v="6264"/>
    <x v="287"/>
    <s v="CRUCETA 19 1/2&quot; MIXTA S/GRAPAS"/>
    <n v="1"/>
    <n v="335000"/>
    <s v="TRANSPORTES Y SERVICIOS TRANSER SAS"/>
    <s v="JONATHAN PAEZ PEDRAZA"/>
    <n v="9"/>
    <s v="SEPTIEMBRE"/>
  </r>
  <r>
    <n v="2025"/>
    <s v="22/09/2025"/>
    <s v="RMC"/>
    <n v="6264"/>
    <x v="232"/>
    <s v="PIN TORNILLOS CRUCETA"/>
    <n v="2"/>
    <n v="2400"/>
    <s v="TRANSPORTES Y SERVICIOS TRANSER SAS"/>
    <s v="JONATHAN PAEZ PEDRAZA"/>
    <n v="9"/>
    <s v="SEPTIEMBRE"/>
  </r>
  <r>
    <n v="2025"/>
    <s v="22/09/2025"/>
    <s v="RMC"/>
    <n v="6264"/>
    <x v="16"/>
    <s v="JUEGO CHAPETA CRUCETA 15 1/2&quot; 17 1/2&quot;"/>
    <n v="1"/>
    <n v="23000"/>
    <s v="TRANSPORTES Y SERVICIOS TRANSER SAS"/>
    <s v="JONATHAN PAEZ PEDRAZA"/>
    <n v="9"/>
    <s v="SEPTIEMBRE"/>
  </r>
  <r>
    <n v="2025"/>
    <s v="06/08/2025"/>
    <s v="RMC"/>
    <n v="6204"/>
    <x v="256"/>
    <s v="TUERCA HAUSING EAGLE"/>
    <n v="2"/>
    <n v="198000"/>
    <s v="TRANSPORTES Y SERVICIOS TRANSER SAS"/>
    <s v="JONATHAN PAEZ PEDRAZA"/>
    <n v="8"/>
    <s v="AGOSTO"/>
  </r>
  <r>
    <n v="2025"/>
    <s v="06/08/2025"/>
    <s v="RMC"/>
    <n v="6204"/>
    <x v="232"/>
    <s v="PIN TORNILLOS CRUCETA"/>
    <n v="2"/>
    <n v="2400"/>
    <s v="TRANSPORTES Y SERVICIOS TRANSER SAS"/>
    <s v="JONATHAN PAEZ PEDRAZA"/>
    <n v="8"/>
    <s v="AGOSTO"/>
  </r>
  <r>
    <n v="2025"/>
    <s v="26/11/2025"/>
    <s v="RMC"/>
    <n v="6376"/>
    <x v="223"/>
    <s v="SINCRONIZADOR 3RA Y 4TA FS 6305 EN PAÑO"/>
    <n v="1"/>
    <n v="811440"/>
    <s v="EMPRESA DE DISTRIBUCIONES INDUSTRIALES S.A.S."/>
    <s v="WILLIAM DUVAN REYES DIAZ"/>
    <n v="11"/>
    <s v="NOVIEMBRE"/>
  </r>
  <r>
    <n v="2025"/>
    <s v="26/11/2025"/>
    <s v="RMC"/>
    <n v="6376"/>
    <x v="118"/>
    <s v="ARANDELA CONCENTRICA ALINEACION BRONCE"/>
    <n v="4"/>
    <n v="304464"/>
    <s v="EMPRESA DE DISTRIBUCIONES INDUSTRIALES S.A.S."/>
    <s v="WILLIAM DUVAN REYES DIAZ"/>
    <n v="11"/>
    <s v="NOVIEMBRE"/>
  </r>
  <r>
    <n v="2025"/>
    <s v="10/12/2025"/>
    <s v="RMC"/>
    <n v="6403"/>
    <x v="253"/>
    <s v="AMORTIGUADOR CABINA PROSTAR"/>
    <n v="2"/>
    <n v="408000"/>
    <s v="EMPRESA DE DISTRIBUCIONES INDUSTRIALES S.A.S."/>
    <s v="WILLIAM DUVAN REYES DIAZ"/>
    <n v="12"/>
    <s v="DICIEMBRE"/>
  </r>
  <r>
    <n v="2025"/>
    <s v="10/12/2025"/>
    <s v="RMC"/>
    <n v="6403"/>
    <x v="259"/>
    <s v="JUEGO CHAPETA SPL250 (JGOX6)"/>
    <n v="3"/>
    <n v="197922"/>
    <s v="EMPRESA DE DISTRIBUCIONES INDUSTRIALES S.A.S."/>
    <s v="WILLIAM DUVAN REYES DIAZ"/>
    <n v="12"/>
    <s v="DICIEMBRE"/>
  </r>
  <r>
    <n v="2025"/>
    <s v="13/06/2025"/>
    <s v="RMC"/>
    <n v="6108"/>
    <x v="162"/>
    <s v="KIT EMPAQUES 14715/915/16915/8709B/8908"/>
    <n v="1"/>
    <n v="152000"/>
    <s v="TRANSPORTES Y SERVICIOS TRANSER SAS"/>
    <s v="JONATHAN PAEZ PEDRAZA"/>
    <n v="6"/>
    <s v="JUNIO"/>
  </r>
  <r>
    <n v="2025"/>
    <s v="13/06/2025"/>
    <s v="RMC"/>
    <n v="6108"/>
    <x v="486"/>
    <s v="PIN PUNTA CDIZO 14715"/>
    <n v="1"/>
    <n v="2400"/>
    <s v="TRANSPORTES Y SERVICIOS TRANSER SAS"/>
    <s v="JONATHAN PAEZ PEDRAZA"/>
    <n v="6"/>
    <s v="JUNIO"/>
  </r>
  <r>
    <n v="2025"/>
    <s v="13/06/2025"/>
    <s v="RMC"/>
    <n v="6108"/>
    <x v="487"/>
    <s v="PIN TREN FIJO TRAS (14366 TODAS)"/>
    <n v="2"/>
    <n v="4300"/>
    <s v="TRANSPORTES Y SERVICIOS TRANSER SAS"/>
    <s v="JONATHAN PAEZ PEDRAZA"/>
    <n v="6"/>
    <s v="JUNIO"/>
  </r>
  <r>
    <n v="2025"/>
    <s v="13/06/2025"/>
    <s v="RMC"/>
    <n v="6108"/>
    <x v="179"/>
    <s v="SOPORTE SUPERIOR GRAPA HAS 460"/>
    <n v="2"/>
    <n v="370000"/>
    <s v="TRANSPORTES Y SERVICIOS TRANSER SAS"/>
    <s v="JONATHAN PAEZ PEDRAZA"/>
    <n v="6"/>
    <s v="JUNIO"/>
  </r>
  <r>
    <n v="2025"/>
    <s v="13/06/2025"/>
    <s v="RMC"/>
    <n v="6108"/>
    <x v="274"/>
    <s v="KIT DE RESORTE JGO X 3 EAGLE DELAN/FTL"/>
    <n v="1"/>
    <n v="43949"/>
    <s v="TRANSPORTES Y SERVICIOS TRANSER SAS"/>
    <s v="JONATHAN PAEZ PEDRAZA"/>
    <n v="6"/>
    <s v="JUNIO"/>
  </r>
  <r>
    <n v="2025"/>
    <s v="13/06/2025"/>
    <s v="RMC"/>
    <n v="6108"/>
    <x v="242"/>
    <s v="RETEN CIGU DETR S 60 VERD CON CAMIS FIJA"/>
    <n v="1"/>
    <n v="240000"/>
    <s v="TRANSPORTES Y SERVICIOS TRANSER SAS"/>
    <s v="JONATHAN PAEZ PEDRAZA"/>
    <n v="6"/>
    <s v="JUNIO"/>
  </r>
  <r>
    <n v="2025"/>
    <s v="03/07/2025"/>
    <s v="RMC"/>
    <n v="6138"/>
    <x v="362"/>
    <s v="PIN EJE DE SALIDA 34/38/44/46 LB"/>
    <n v="1"/>
    <n v="4800"/>
    <s v="TRANSPORTES Y SERVICIOS TRANSER SAS"/>
    <s v="JONATHAN PAEZ PEDRAZA"/>
    <n v="7"/>
    <s v="JULIO"/>
  </r>
  <r>
    <n v="2025"/>
    <s v="10/10/2025"/>
    <s v="RMC"/>
    <n v="6303"/>
    <x v="196"/>
    <s v="PERNO TRAILER HIDROAMERICA M22X4''"/>
    <n v="28"/>
    <n v="812000"/>
    <s v="TRANSPORTES Y SERVICIOS TRANSER SAS"/>
    <s v="JONATHAN PAEZ PEDRAZA"/>
    <n v="10"/>
    <s v="OCTUBRE"/>
  </r>
  <r>
    <n v="2025"/>
    <s v="04/08/2025"/>
    <s v="RMC"/>
    <n v="6199"/>
    <x v="298"/>
    <s v="LEVA DE FRENO 28E  1 1/2&quot; TRAILER ROMARC"/>
    <n v="2"/>
    <n v="276000"/>
    <s v="TRANSPORTES Y SERVICIOS TRANSER SAS"/>
    <s v="JONATHAN PAEZ PEDRAZA"/>
    <n v="8"/>
    <s v="AGOSTO"/>
  </r>
  <r>
    <n v="2025"/>
    <s v="04/08/2025"/>
    <s v="RMC"/>
    <n v="6199"/>
    <x v="418"/>
    <s v="VALVULA DESFOGUE TANQUE COMBUSTIBLE"/>
    <n v="1"/>
    <n v="47000"/>
    <s v="TRANSPORTES Y SERVICIOS TRANSER SAS"/>
    <s v="JONATHAN PAEZ PEDRAZA"/>
    <n v="8"/>
    <s v="AGOSTO"/>
  </r>
  <r>
    <n v="2025"/>
    <s v="04/08/2025"/>
    <s v="RMC"/>
    <n v="6199"/>
    <x v="397"/>
    <s v="LEVA DE FRENO 28E DE 1 1/2&quot; PARA TRAILER"/>
    <n v="1"/>
    <n v="138000"/>
    <s v="TRANSPORTES Y SERVICIOS TRANSER SAS"/>
    <s v="JONATHAN PAEZ PEDRAZA"/>
    <n v="8"/>
    <s v="AGOSTO"/>
  </r>
  <r>
    <n v="2025"/>
    <s v="04/08/2025"/>
    <s v="RMC"/>
    <n v="6199"/>
    <x v="366"/>
    <s v="BOLSA SUSPENSION TANDEM"/>
    <n v="1"/>
    <n v="722000"/>
    <s v="TRANSPORTES Y SERVICIOS TRANSER SAS"/>
    <s v="JONATHAN PAEZ PEDRAZA"/>
    <n v="8"/>
    <s v="AGOSTO"/>
  </r>
  <r>
    <n v="2025"/>
    <s v="04/08/2025"/>
    <s v="RMC"/>
    <n v="6199"/>
    <x v="484"/>
    <s v="SOPORTE INF. DERECHO HAS 460"/>
    <n v="1"/>
    <n v="232000"/>
    <s v="TRANSPORTES Y SERVICIOS TRANSER SAS"/>
    <s v="JONATHAN PAEZ PEDRAZA"/>
    <n v="8"/>
    <s v="AGOSTO"/>
  </r>
  <r>
    <n v="2025"/>
    <s v="14/10/2025"/>
    <s v="RMC"/>
    <n v="6313"/>
    <x v="412"/>
    <s v="AMORTIGUADOR DELANTERO EAGLE  WORK STAR"/>
    <n v="2"/>
    <n v="430000"/>
    <s v="TRANSPORTES Y SERVICIOS TRANSER SAS"/>
    <s v="JONATHAN PAEZ PEDRAZA"/>
    <n v="10"/>
    <s v="OCTUBRE"/>
  </r>
  <r>
    <n v="2025"/>
    <s v="10/10/2025"/>
    <s v="RMC"/>
    <n v="6303"/>
    <x v="115"/>
    <s v="PIÑA CDIZO"/>
    <n v="1"/>
    <n v="103000"/>
    <s v="TRANSPORTES Y SERVICIOS TRANSER SAS"/>
    <s v="JONATHAN PAEZ PEDRAZA"/>
    <n v="10"/>
    <s v="OCTUBRE"/>
  </r>
  <r>
    <n v="2025"/>
    <s v="14/10/2025"/>
    <s v="RMC"/>
    <n v="6313"/>
    <x v="303"/>
    <s v="VALVULA SUSPENSION CABEZOTE EAGLE Y CL"/>
    <n v="1"/>
    <n v="287000"/>
    <s v="TRANSPORTES Y SERVICIOS TRANSER SAS"/>
    <s v="JONATHAN PAEZ PEDRAZA"/>
    <n v="10"/>
    <s v="OCTUBRE"/>
  </r>
  <r>
    <n v="2025"/>
    <s v="14/10/2025"/>
    <s v="RMC"/>
    <n v="6313"/>
    <x v="259"/>
    <s v="JUEGO CHAPETA SPL250 (JGOX6)"/>
    <n v="1"/>
    <n v="63000"/>
    <s v="TRANSPORTES Y SERVICIOS TRANSER SAS"/>
    <s v="JONATHAN PAEZ PEDRAZA"/>
    <n v="10"/>
    <s v="OCTUBRE"/>
  </r>
  <r>
    <n v="2025"/>
    <s v="14/10/2025"/>
    <s v="RMC"/>
    <n v="6313"/>
    <x v="328"/>
    <s v="CRUCETA 6,417 (6&quot;13/32 APROX)DADO 2362&quot;"/>
    <n v="1"/>
    <n v="530000"/>
    <s v="TRANSPORTES Y SERVICIOS TRANSER SAS"/>
    <s v="JONATHAN PAEZ PEDRAZA"/>
    <n v="10"/>
    <s v="OCTUBRE"/>
  </r>
  <r>
    <n v="2025"/>
    <s v="14/10/2025"/>
    <s v="RMC"/>
    <n v="6313"/>
    <x v="224"/>
    <s v="JUEGO CHAPETA (JGOX2) SPL170"/>
    <n v="1"/>
    <n v="65000"/>
    <s v="TRANSPORTES Y SERVICIOS TRANSER SAS"/>
    <s v="JONATHAN PAEZ PEDRAZA"/>
    <n v="10"/>
    <s v="OCTUBRE"/>
  </r>
  <r>
    <n v="2025"/>
    <s v="14/10/2025"/>
    <s v="RMC"/>
    <n v="6313"/>
    <x v="351"/>
    <s v="CRUCETA 6,456 DADO 2165 (2 5/32&quot; APROX)"/>
    <n v="1"/>
    <n v="460000"/>
    <s v="TRANSPORTES Y SERVICIOS TRANSER SAS"/>
    <s v="JONATHAN PAEZ PEDRAZA"/>
    <n v="10"/>
    <s v="OCTUBRE"/>
  </r>
  <r>
    <n v="2025"/>
    <s v="14/10/2025"/>
    <s v="RMC"/>
    <n v="6313"/>
    <x v="322"/>
    <s v="CAUCHO TAPA DIVISOR"/>
    <n v="2"/>
    <n v="34000"/>
    <s v="TRANSPORTES Y SERVICIOS TRANSER SAS"/>
    <s v="JONATHAN PAEZ PEDRAZA"/>
    <n v="10"/>
    <s v="OCTUBRE"/>
  </r>
  <r>
    <n v="2025"/>
    <s v="20/11/2025"/>
    <s v="RMC"/>
    <n v="6367"/>
    <x v="442"/>
    <s v="SET ROD Y PISTA PLANA DEL/TRASER 46MLB"/>
    <n v="1"/>
    <n v="549000"/>
    <s v="TRANSPORTES Y SERVICIOS TRANSER SAS"/>
    <s v="JONATHAN PAEZ PEDRAZA"/>
    <n v="11"/>
    <s v="NOVIEMBRE"/>
  </r>
  <r>
    <n v="2025"/>
    <s v="20/11/2025"/>
    <s v="RMC"/>
    <n v="6367"/>
    <x v="443"/>
    <s v="SET ROD Y PISTA 42381/584 LAT. 46.000 LB"/>
    <n v="1"/>
    <n v="411000"/>
    <s v="TRANSPORTES Y SERVICIOS TRANSER SAS"/>
    <s v="JONATHAN PAEZ PEDRAZA"/>
    <n v="11"/>
    <s v="NOVIEMBRE"/>
  </r>
  <r>
    <n v="2025"/>
    <s v="20/11/2025"/>
    <s v="RMC"/>
    <n v="6367"/>
    <x v="445"/>
    <s v="ARANDELA PLANETARIO DS 46 PLANA"/>
    <n v="2"/>
    <n v="50000"/>
    <s v="TRANSPORTES Y SERVICIOS TRANSER SAS"/>
    <s v="JONATHAN PAEZ PEDRAZA"/>
    <n v="11"/>
    <s v="NOVIEMBRE"/>
  </r>
  <r>
    <n v="2025"/>
    <s v="14/10/2025"/>
    <s v="RMC"/>
    <n v="6313"/>
    <x v="437"/>
    <s v="VALVULA DOBLE BOTON GRIS 18 CAMBIOS"/>
    <n v="1"/>
    <n v="280000"/>
    <s v="TRANSPORTES Y SERVICIOS TRANSER SAS"/>
    <s v="JONATHAN PAEZ PEDRAZA"/>
    <n v="10"/>
    <s v="OCTUBRE"/>
  </r>
  <r>
    <n v="2025"/>
    <s v="01/10/2025"/>
    <s v="RMC"/>
    <n v="6280"/>
    <x v="282"/>
    <s v="BOLSA SUSPENSION TANDEM PARA SITRAK  C7H Y FAW"/>
    <n v="1"/>
    <n v="270000"/>
    <s v="TRANSPORTES Y SERVICIOS TRANSER SAS"/>
    <s v="JONATHAN PAEZ PEDRAZA"/>
    <n v="10"/>
    <s v="OCTUBRE"/>
  </r>
  <r>
    <n v="2025"/>
    <s v="01/10/2025"/>
    <s v="RMC"/>
    <n v="6280"/>
    <x v="236"/>
    <s v="REGISTRO PASO COMBUSTIBLE CUMMINS 350/40"/>
    <n v="1"/>
    <n v="49000"/>
    <s v="TRANSPORTES Y SERVICIOS TRANSER SAS"/>
    <s v="JONATHAN PAEZ PEDRAZA"/>
    <n v="10"/>
    <s v="OCTUBRE"/>
  </r>
  <r>
    <n v="2025"/>
    <s v="20/11/2025"/>
    <s v="RMC"/>
    <n v="6367"/>
    <x v="453"/>
    <s v="ARANDELA SATELITE DIVI DS/DP 46 MLB PLNA"/>
    <n v="3"/>
    <n v="51000"/>
    <s v="TRANSPORTES Y SERVICIOS TRANSER SAS"/>
    <s v="JONATHAN PAEZ PEDRAZA"/>
    <n v="11"/>
    <s v="NOVIEMBRE"/>
  </r>
  <r>
    <n v="2025"/>
    <s v="20/11/2025"/>
    <s v="RMC"/>
    <n v="6367"/>
    <x v="400"/>
    <s v="BOLSA TAN 9.12ANxA1E1&quot;5/16x11.80AL+1T BR"/>
    <n v="2"/>
    <n v="890000"/>
    <s v="TRANSPORTES Y SERVICIOS TRANSER SAS"/>
    <s v="JONATHAN PAEZ PEDRAZA"/>
    <n v="11"/>
    <s v="NOVIEMBRE"/>
  </r>
  <r>
    <n v="2025"/>
    <s v="20/11/2025"/>
    <s v="RMC"/>
    <n v="6367"/>
    <x v="291"/>
    <s v="CORREA ACANAL P/ALTERN. KENWORTH T600 - T800 MOTOR CUMMINS ISX MOD.03"/>
    <n v="1"/>
    <n v="53260"/>
    <s v="TRANSPORTES Y SERVICIOS TRANSER SAS"/>
    <s v="JONATHAN PAEZ PEDRAZA"/>
    <n v="11"/>
    <s v="NOVIEMBRE"/>
  </r>
  <r>
    <n v="2025"/>
    <s v="20/11/2025"/>
    <s v="RMC"/>
    <n v="6367"/>
    <x v="79"/>
    <s v="KIT FAN CLUTCH TIPO KYSOR K32-S JGX7"/>
    <n v="1"/>
    <n v="447000"/>
    <s v="TRANSPORTES Y SERVICIOS TRANSER SAS"/>
    <s v="JONATHAN PAEZ PEDRAZA"/>
    <n v="11"/>
    <s v="NOVIEMBRE"/>
  </r>
  <r>
    <n v="2025"/>
    <s v="20/11/2025"/>
    <s v="RMC"/>
    <n v="6367"/>
    <x v="293"/>
    <s v="CORBATIN SUSPENSION NEUMATICA KENWORTH"/>
    <n v="6"/>
    <n v="720000"/>
    <s v="TRANSPORTES Y SERVICIOS TRANSER SAS"/>
    <s v="JONATHAN PAEZ PEDRAZA"/>
    <n v="11"/>
    <s v="NOVIEMBRE"/>
  </r>
  <r>
    <n v="2025"/>
    <s v="20/11/2025"/>
    <s v="RMC"/>
    <n v="6367"/>
    <x v="232"/>
    <s v="PIN TORNILLOS CRUCETA"/>
    <n v="2"/>
    <n v="2400"/>
    <s v="TRANSPORTES Y SERVICIOS TRANSER SAS"/>
    <s v="JONATHAN PAEZ PEDRAZA"/>
    <n v="11"/>
    <s v="NOVIEMBRE"/>
  </r>
  <r>
    <n v="2025"/>
    <s v="20/11/2025"/>
    <s v="RMC"/>
    <n v="6367"/>
    <x v="488"/>
    <s v="SET ROD Y PISTA 78215C/551SPEEDTRAS.46LB"/>
    <n v="1"/>
    <n v="483000"/>
    <s v="TRANSPORTES Y SERVICIOS TRANSER SAS"/>
    <s v="JONATHAN PAEZ PEDRAZA"/>
    <n v="11"/>
    <s v="NOVIEMBRE"/>
  </r>
  <r>
    <n v="2025"/>
    <s v="20/11/2025"/>
    <s v="RMC"/>
    <n v="6367"/>
    <x v="478"/>
    <s v="RETEN SPEED 46.000 LBS C/ Y SIN BAJO"/>
    <n v="1"/>
    <n v="132000"/>
    <s v="TRANSPORTES Y SERVICIOS TRANSER SAS"/>
    <s v="JONATHAN PAEZ PEDRAZA"/>
    <n v="11"/>
    <s v="NOVIEMBRE"/>
  </r>
  <r>
    <n v="2025"/>
    <s v="20/11/2025"/>
    <s v="RMC"/>
    <n v="6367"/>
    <x v="402"/>
    <s v="RETEN EJE DE SALIDA DP46"/>
    <n v="1"/>
    <n v="128000"/>
    <s v="TRANSPORTES Y SERVICIOS TRANSER SAS"/>
    <s v="JONATHAN PAEZ PEDRAZA"/>
    <n v="11"/>
    <s v="NOVIEMBRE"/>
  </r>
  <r>
    <n v="2025"/>
    <s v="20/11/2025"/>
    <s v="RMC"/>
    <n v="6367"/>
    <x v="403"/>
    <s v="RETEN EJE DIVISOR 46ML C/BAJO Y PLANO"/>
    <n v="2"/>
    <n v="310000"/>
    <s v="TRANSPORTES Y SERVICIOS TRANSER SAS"/>
    <s v="JONATHAN PAEZ PEDRAZA"/>
    <n v="11"/>
    <s v="NOVIEMBRE"/>
  </r>
  <r>
    <n v="2025"/>
    <s v="20/11/2025"/>
    <s v="RMC"/>
    <n v="6367"/>
    <x v="457"/>
    <s v="RETEN CON TUERCA EJE DIV Y SPEED (JGOX3)"/>
    <n v="1"/>
    <n v="167000"/>
    <s v="TRANSPORTES Y SERVICIOS TRANSER SAS"/>
    <s v="JONATHAN PAEZ PEDRAZA"/>
    <n v="11"/>
    <s v="NOVIEMBRE"/>
  </r>
  <r>
    <n v="2025"/>
    <s v="20/11/2025"/>
    <s v="RMC"/>
    <n v="6367"/>
    <x v="489"/>
    <s v="ARANDELA DIVI 44/46 MLB PLANA Y C/BAJO"/>
    <n v="1"/>
    <n v="78000"/>
    <s v="TRANSPORTES Y SERVICIOS TRANSER SAS"/>
    <s v="JONATHAN PAEZ PEDRAZA"/>
    <n v="11"/>
    <s v="NOVIEMBRE"/>
  </r>
  <r>
    <n v="2025"/>
    <s v="20/11/2025"/>
    <s v="RMC"/>
    <n v="6367"/>
    <x v="490"/>
    <s v="TERMINAL 2090 ARM: R230072(1) R230073(1)"/>
    <n v="3"/>
    <n v="870000"/>
    <s v="TRANSPORTES Y SERVICIOS TRANSER SAS"/>
    <s v="JONATHAN PAEZ PEDRAZA"/>
    <n v="11"/>
    <s v="NOVIEMBRE"/>
  </r>
  <r>
    <n v="2025"/>
    <s v="01/10/2025"/>
    <s v="RMC"/>
    <n v="6280"/>
    <x v="361"/>
    <s v="TUERCA EJE DIVISOR  46 LB"/>
    <n v="1"/>
    <n v="130752"/>
    <s v="TRANSPORTES Y SERVICIOS TRANSER SAS"/>
    <s v="JONATHAN PAEZ PEDRAZA"/>
    <n v="10"/>
    <s v="OCTUBRE"/>
  </r>
  <r>
    <n v="2025"/>
    <s v="10/10/2025"/>
    <s v="RMC"/>
    <n v="6303"/>
    <x v="316"/>
    <s v="ARANDELA EST INT CDIZO- BLANCA // 249MM"/>
    <n v="1"/>
    <n v="33000"/>
    <s v="TRANSPORTES Y SERVICIOS TRANSER SAS"/>
    <s v="JONATHAN PAEZ PEDRAZA"/>
    <n v="10"/>
    <s v="OCTUBRE"/>
  </r>
  <r>
    <n v="2025"/>
    <s v="10/10/2025"/>
    <s v="RMC"/>
    <n v="6303"/>
    <x v="265"/>
    <s v="MANGUERA TRM36&quot; 92CM DI 2&quot;1/2 3 LON AZUL"/>
    <n v="92"/>
    <n v="220800"/>
    <s v="TRANSPORTES Y SERVICIOS TRANSER SAS"/>
    <s v="JONATHAN PAEZ PEDRAZA"/>
    <n v="10"/>
    <s v="OCTUBRE"/>
  </r>
  <r>
    <n v="2025"/>
    <s v="10/10/2025"/>
    <s v="RMC"/>
    <n v="6303"/>
    <x v="480"/>
    <s v="RACHE AUTO CH CC 5 1/2&quot; TP3 1-1/2&quot;28E"/>
    <n v="1"/>
    <n v="300000"/>
    <s v="TRANSPORTES Y SERVICIOS TRANSER SAS"/>
    <s v="JONATHAN PAEZ PEDRAZA"/>
    <n v="10"/>
    <s v="OCTUBRE"/>
  </r>
  <r>
    <n v="2025"/>
    <s v="10/10/2025"/>
    <s v="RMC"/>
    <n v="6303"/>
    <x v="110"/>
    <s v="SOPORTE TRASERO MOTOR HI"/>
    <n v="1"/>
    <n v="71000"/>
    <s v="TRANSPORTES Y SERVICIOS TRANSER SAS"/>
    <s v="JONATHAN PAEZ PEDRAZA"/>
    <n v="10"/>
    <s v="OCTUBRE"/>
  </r>
  <r>
    <n v="2025"/>
    <s v="10/10/2025"/>
    <s v="RMC"/>
    <n v="6303"/>
    <x v="330"/>
    <s v="BOLSA TRA 10.62ANx6.25Cx27.30AL+7.88D+4T"/>
    <n v="2"/>
    <n v="1100000"/>
    <s v="TRANSPORTES Y SERVICIOS TRANSER SAS"/>
    <s v="JONATHAN PAEZ PEDRAZA"/>
    <n v="10"/>
    <s v="OCTUBRE"/>
  </r>
  <r>
    <n v="2025"/>
    <s v="10/10/2025"/>
    <s v="RMC"/>
    <n v="6303"/>
    <x v="491"/>
    <s v="BOLSA TRA10.62ANx5.50CCx27.30AL+7.88D+4T"/>
    <n v="1"/>
    <n v="660000"/>
    <s v="TRANSPORTES Y SERVICIOS TRANSER SAS"/>
    <s v="JONATHAN PAEZ PEDRAZA"/>
    <n v="10"/>
    <s v="OCTUBRE"/>
  </r>
  <r>
    <n v="2025"/>
    <s v="17/02/2025"/>
    <s v="RMC"/>
    <n v="5870"/>
    <x v="408"/>
    <s v="PERA SENSOR TRASM. Y DIFERENCIAL 7600"/>
    <n v="4"/>
    <n v="180000"/>
    <s v="IMPOCOMA S.A.S"/>
    <s v="FABIO DAVID FORERO RUIZ"/>
    <n v="2"/>
    <s v="FEBRERO"/>
  </r>
  <r>
    <n v="2025"/>
    <s v="10/10/2025"/>
    <s v="RMC"/>
    <n v="6303"/>
    <x v="49"/>
    <s v="KIT BUJE Y PASADO (JGOX2)TODAS CON HUECO"/>
    <n v="1"/>
    <n v="34000"/>
    <s v="TRANSPORTES Y SERVICIOS TRANSER SAS"/>
    <s v="JONATHAN PAEZ PEDRAZA"/>
    <n v="10"/>
    <s v="OCTUBRE"/>
  </r>
  <r>
    <n v="2025"/>
    <s v="10/10/2025"/>
    <s v="RMC"/>
    <n v="6303"/>
    <x v="212"/>
    <s v="RACOR/CODO"/>
    <n v="2"/>
    <n v="42000"/>
    <s v="TRANSPORTES Y SERVICIOS TRANSER SAS"/>
    <s v="JONATHAN PAEZ PEDRAZA"/>
    <n v="10"/>
    <s v="OCTUBRE"/>
  </r>
  <r>
    <n v="2025"/>
    <s v="10/10/2025"/>
    <s v="RMC"/>
    <n v="6303"/>
    <x v="299"/>
    <s v="PIÑON EJE DE TOMA 16918"/>
    <n v="1"/>
    <n v="421000"/>
    <s v="TRANSPORTES Y SERVICIOS TRANSER SAS"/>
    <s v="JONATHAN PAEZ PEDRAZA"/>
    <n v="10"/>
    <s v="OCTUBRE"/>
  </r>
  <r>
    <n v="2025"/>
    <s v="10/10/2025"/>
    <s v="RMC"/>
    <n v="6303"/>
    <x v="217"/>
    <s v="PIÑON 4TA CDIZO 16918"/>
    <n v="1"/>
    <n v="356000"/>
    <s v="TRANSPORTES Y SERVICIOS TRANSER SAS"/>
    <s v="JONATHAN PAEZ PEDRAZA"/>
    <n v="10"/>
    <s v="OCTUBRE"/>
  </r>
  <r>
    <n v="2025"/>
    <s v="10/10/2025"/>
    <s v="RMC"/>
    <n v="6303"/>
    <x v="315"/>
    <s v="PIÑON 1RA CDIZO 918"/>
    <n v="1"/>
    <n v="245000"/>
    <s v="TRANSPORTES Y SERVICIOS TRANSER SAS"/>
    <s v="JONATHAN PAEZ PEDRAZA"/>
    <n v="10"/>
    <s v="OCTUBRE"/>
  </r>
  <r>
    <n v="2025"/>
    <s v="02/01/2025"/>
    <s v="RMC"/>
    <n v="5757"/>
    <x v="68"/>
    <s v="PERA/SENSOR TEMPER. Y DIFEREN. TRANSM."/>
    <n v="6"/>
    <n v="270000"/>
    <s v="IMPOCOMA S.A.S"/>
    <s v="FABIO DAVID FORERO RUIZ"/>
    <n v="1"/>
    <s v="ENERO"/>
  </r>
  <r>
    <n v="2025"/>
    <s v="12/08/2025"/>
    <s v="RMC"/>
    <n v="6214"/>
    <x v="154"/>
    <s v="KIT DE REP LEVA FREN TRAILER ROMARCO"/>
    <n v="2"/>
    <n v="330600"/>
    <s v="CENTRO AUTOMOTOR DIESEL S.A CENTRODIESEL"/>
    <s v="JHIRA ALEXANDRA ARANGO RIVERA"/>
    <n v="8"/>
    <s v="AGOSTO"/>
  </r>
  <r>
    <n v="2025"/>
    <s v="12/08/2025"/>
    <s v="RMC"/>
    <n v="6214"/>
    <x v="482"/>
    <s v="HUBODOMETRO"/>
    <n v="1"/>
    <n v="309800"/>
    <s v="CENTRO AUTOMOTOR DIESEL S.A CENTRODIESEL"/>
    <s v="JHIRA ALEXANDRA ARANGO RIVERA"/>
    <n v="8"/>
    <s v="AGOSTO"/>
  </r>
  <r>
    <n v="2025"/>
    <s v="22/07/2025"/>
    <s v="RMC"/>
    <n v="6178"/>
    <x v="430"/>
    <s v="TAPA PUNTA RUEDA (1612) EN PLASTICO"/>
    <n v="1"/>
    <n v="63100"/>
    <s v="CENTRO AUTOMOTOR DIESEL S.A CENTRODIESEL"/>
    <s v="JHIRA ALEXANDRA ARANGO RIVERA"/>
    <n v="7"/>
    <s v="JULIO"/>
  </r>
  <r>
    <n v="2025"/>
    <s v="22/07/2025"/>
    <s v="RMC"/>
    <n v="6178"/>
    <x v="221"/>
    <s v="PERA/SENSOR REVERSO TODAS"/>
    <n v="1"/>
    <n v="49000"/>
    <s v="CENTRO AUTOMOTOR DIESEL S.A CENTRODIESEL"/>
    <s v="JHIRA ALEXANDRA ARANGO RIVERA"/>
    <n v="7"/>
    <s v="JULIO"/>
  </r>
  <r>
    <n v="2025"/>
    <s v="22/07/2025"/>
    <s v="RMC"/>
    <n v="6178"/>
    <x v="83"/>
    <s v="RACHE AUTO CH CC 5 1/2&quot; TP2 1-1/2&quot;28E"/>
    <n v="2"/>
    <n v="634800"/>
    <s v="CENTRO AUTOMOTOR DIESEL S.A CENTRODIESEL"/>
    <s v="JHIRA ALEXANDRA ARANGO RIVERA"/>
    <n v="7"/>
    <s v="JULIO"/>
  </r>
  <r>
    <n v="2025"/>
    <s v="30/05/2025"/>
    <s v="RMC"/>
    <n v="6089"/>
    <x v="265"/>
    <s v="MANGUERA TRM36&quot; 92CM DI 2&quot;1/2 3 LON AZUL"/>
    <n v="2"/>
    <n v="4298"/>
    <s v="TRANSPORTES Y SERVICIOS TRANSER SAS"/>
    <s v="JONATHAN PAEZ PEDRAZA"/>
    <n v="5"/>
    <s v="MAYO"/>
  </r>
  <r>
    <n v="2025"/>
    <s v="30/05/2025"/>
    <s v="RMC"/>
    <n v="6089"/>
    <x v="274"/>
    <s v="KIT DE RESORTE JGO X 3 EAGLE DELAN/FTL"/>
    <n v="1"/>
    <n v="43949"/>
    <s v="TRANSPORTES Y SERVICIOS TRANSER SAS"/>
    <s v="JONATHAN PAEZ PEDRAZA"/>
    <n v="5"/>
    <s v="MAYO"/>
  </r>
  <r>
    <n v="2025"/>
    <s v="20/06/2025"/>
    <s v="RMC"/>
    <n v="6119"/>
    <x v="231"/>
    <s v="PIN TUERCA"/>
    <n v="1"/>
    <n v="27800"/>
    <s v="TRANSPORTES Y SERVICIOS TRANSER SAS"/>
    <s v="JONATHAN PAEZ PEDRAZA"/>
    <n v="6"/>
    <s v="JUNIO"/>
  </r>
  <r>
    <n v="2025"/>
    <s v="20/06/2025"/>
    <s v="RMC"/>
    <n v="6119"/>
    <x v="179"/>
    <s v="SOPORTE SUPERIOR GRAPA HAS 460"/>
    <n v="1"/>
    <n v="185000"/>
    <s v="TRANSPORTES Y SERVICIOS TRANSER SAS"/>
    <s v="JONATHAN PAEZ PEDRAZA"/>
    <n v="6"/>
    <s v="JUNIO"/>
  </r>
  <r>
    <n v="2025"/>
    <s v="20/06/2025"/>
    <s v="RMC"/>
    <n v="6119"/>
    <x v="366"/>
    <s v="BOLSA SUSPENSION TANDEM"/>
    <n v="1"/>
    <n v="722443"/>
    <s v="TRANSPORTES Y SERVICIOS TRANSER SAS"/>
    <s v="JONATHAN PAEZ PEDRAZA"/>
    <n v="6"/>
    <s v="JUNIO"/>
  </r>
  <r>
    <n v="2025"/>
    <s v="02/12/2025"/>
    <s v="RMC"/>
    <n v="6387"/>
    <x v="492"/>
    <s v="ARANDELA CONCENTRICA  PRIMAAX"/>
    <n v="5"/>
    <n v="420000"/>
    <s v="IMPOCOMA S.A.S"/>
    <s v="FABIO DAVID FORERO RUIZ"/>
    <n v="12"/>
    <s v="DICIEMBRE"/>
  </r>
  <r>
    <n v="2025"/>
    <s v="02/12/2025"/>
    <s v="RMC"/>
    <n v="6387"/>
    <x v="493"/>
    <s v="ARANDELA EXCENTRICA PRIMAAX"/>
    <n v="5"/>
    <n v="420000"/>
    <s v="IMPOCOMA S.A.S"/>
    <s v="FABIO DAVID FORERO RUIZ"/>
    <n v="12"/>
    <s v="DICIEMBRE"/>
  </r>
  <r>
    <n v="2025"/>
    <s v="02/12/2025"/>
    <s v="RMC"/>
    <n v="6387"/>
    <x v="256"/>
    <s v="TUERCA HAUSING EAGLE"/>
    <n v="5"/>
    <n v="600000"/>
    <s v="IMPOCOMA S.A.S"/>
    <s v="FABIO DAVID FORERO RUIZ"/>
    <n v="12"/>
    <s v="DICIEMBRE"/>
  </r>
  <r>
    <n v="2025"/>
    <s v="05/09/2025"/>
    <s v="RMC"/>
    <n v="6242"/>
    <x v="157"/>
    <s v="BALINERA FAN CLUTCH"/>
    <n v="8"/>
    <n v="260320"/>
    <s v="CENTRO AUTOMOTOR DIESEL S.A CENTRODIESEL"/>
    <s v="JHIRA ALEXANDRA ARANGO RIVERA"/>
    <n v="9"/>
    <s v="SEPTIEMBRE"/>
  </r>
  <r>
    <n v="2025"/>
    <s v="05/09/2025"/>
    <s v="RMC"/>
    <n v="6242"/>
    <x v="494"/>
    <s v="ARANDELA BRONCE 46160"/>
    <n v="1"/>
    <n v="89130"/>
    <s v="CENTRO AUTOMOTOR DIESEL S.A CENTRODIESEL"/>
    <s v="JHIRA ALEXANDRA ARANGO RIVERA"/>
    <n v="9"/>
    <s v="SEPTIEMBRE"/>
  </r>
  <r>
    <n v="2025"/>
    <s v="05/09/2025"/>
    <s v="RMC"/>
    <n v="6242"/>
    <x v="88"/>
    <s v="TAPA GRASERA.EJE DELANTERO EN PLASTICO"/>
    <n v="1"/>
    <n v="75758"/>
    <s v="CENTRO AUTOMOTOR DIESEL S.A CENTRODIESEL"/>
    <s v="JHIRA ALEXANDRA ARANGO RIVERA"/>
    <n v="9"/>
    <s v="SEPTIEMBRE"/>
  </r>
  <r>
    <n v="2025"/>
    <s v="05/09/2025"/>
    <s v="RMC"/>
    <n v="6242"/>
    <x v="482"/>
    <s v="HUBODOMETRO"/>
    <n v="1"/>
    <n v="316090"/>
    <s v="CENTRO AUTOMOTOR DIESEL S.A CENTRODIESEL"/>
    <s v="JHIRA ALEXANDRA ARANGO RIVERA"/>
    <n v="9"/>
    <s v="SEPTIEMBRE"/>
  </r>
  <r>
    <n v="2025"/>
    <s v="05/09/2025"/>
    <s v="RMC"/>
    <n v="6242"/>
    <x v="83"/>
    <s v="RACHE AUTO CH CC 5 1/2&quot; TP2 1-1/2&quot;28E"/>
    <n v="1"/>
    <n v="300979"/>
    <s v="CENTRO AUTOMOTOR DIESEL S.A CENTRODIESEL"/>
    <s v="JHIRA ALEXANDRA ARANGO RIVERA"/>
    <n v="9"/>
    <s v="SEPTIEMBRE"/>
  </r>
  <r>
    <n v="2025"/>
    <s v="05/09/2025"/>
    <s v="RMC"/>
    <n v="6242"/>
    <x v="243"/>
    <s v="KIT EMPAQUES MONO 14918/16"/>
    <n v="1"/>
    <n v="59178"/>
    <s v="CENTRO AUTOMOTOR DIESEL S.A CENTRODIESEL"/>
    <s v="JHIRA ALEXANDRA ARANGO RIVERA"/>
    <n v="9"/>
    <s v="SEPTIEMBRE"/>
  </r>
  <r>
    <n v="2025"/>
    <s v="05/09/2025"/>
    <s v="RMC"/>
    <n v="6242"/>
    <x v="495"/>
    <s v="KIT BUJES RETENES LEVA FRENO CABEZO COMP"/>
    <n v="2"/>
    <n v="104500"/>
    <s v="CENTRO AUTOMOTOR DIESEL S.A CENTRODIESEL"/>
    <s v="JHIRA ALEXANDRA ARANGO RIVERA"/>
    <n v="9"/>
    <s v="SEPTIEMBRE"/>
  </r>
  <r>
    <n v="2025"/>
    <s v="20/06/2025"/>
    <s v="RMC"/>
    <n v="6119"/>
    <x v="232"/>
    <s v="PIN TORNILLOS CRUCETA"/>
    <n v="8"/>
    <n v="9600"/>
    <s v="TRANSPORTES Y SERVICIOS TRANSER SAS"/>
    <s v="JONATHAN PAEZ PEDRAZA"/>
    <n v="6"/>
    <s v="JUNIO"/>
  </r>
  <r>
    <n v="2025"/>
    <s v="26/09/2025"/>
    <s v="RMC"/>
    <n v="6274"/>
    <x v="358"/>
    <s v="SET401 RODAMIENTO (580/572)"/>
    <n v="1"/>
    <n v="111989"/>
    <s v="CENTRO AUTOMOTOR DIESEL S.A CENTRODIESEL"/>
    <s v="JHIRA ALEXANDRA ARANGO RIVERA"/>
    <n v="9"/>
    <s v="SEPTIEMBRE"/>
  </r>
  <r>
    <n v="2025"/>
    <s v="26/09/2025"/>
    <s v="RMC"/>
    <n v="6274"/>
    <x v="496"/>
    <s v="PERA/SENSOR TEMPERATURA CJA Y TRANSM KW"/>
    <n v="1"/>
    <n v="35685"/>
    <s v="CENTRO AUTOMOTOR DIESEL S.A CENTRODIESEL"/>
    <s v="JHIRA ALEXANDRA ARANGO RIVERA"/>
    <n v="9"/>
    <s v="SEPTIEMBRE"/>
  </r>
  <r>
    <n v="2025"/>
    <s v="26/09/2025"/>
    <s v="RMC"/>
    <n v="6274"/>
    <x v="225"/>
    <s v="KIT DE REPARACION MENOR DRIVE MASTER"/>
    <n v="1"/>
    <n v="413100"/>
    <s v="CENTRO AUTOMOTOR DIESEL S.A CENTRODIESEL"/>
    <s v="JHIRA ALEXANDRA ARANGO RIVERA"/>
    <n v="9"/>
    <s v="SEPTIEMBRE"/>
  </r>
  <r>
    <n v="2025"/>
    <s v="26/09/2025"/>
    <s v="RMC"/>
    <n v="6274"/>
    <x v="357"/>
    <s v="JUEGO SPLINDER 10,39&quot; x 1,79&quot;"/>
    <n v="1"/>
    <n v="638100"/>
    <s v="CENTRO AUTOMOTOR DIESEL S.A CENTRODIESEL"/>
    <s v="JHIRA ALEXANDRA ARANGO RIVERA"/>
    <n v="9"/>
    <s v="SEPTIEMBRE"/>
  </r>
  <r>
    <n v="2025"/>
    <s v="26/09/2025"/>
    <s v="RMC"/>
    <n v="6274"/>
    <x v="425"/>
    <s v="SET ROD Y PIST EXT DEL HM807040/HM80701"/>
    <n v="4"/>
    <n v="1046464"/>
    <s v="CENTRO AUTOMOTOR DIESEL S.A CENTRODIESEL"/>
    <s v="JHIRA ALEXANDRA ARANGO RIVERA"/>
    <n v="9"/>
    <s v="SEPTIEMBRE"/>
  </r>
  <r>
    <n v="2025"/>
    <s v="26/09/2025"/>
    <s v="RMC"/>
    <n v="6274"/>
    <x v="378"/>
    <s v="ARANDELA EST INT CDIZO RT/RTLO TODAS"/>
    <n v="1"/>
    <n v="29900"/>
    <s v="CENTRO AUTOMOTOR DIESEL S.A CENTRODIESEL"/>
    <s v="JHIRA ALEXANDRA ARANGO RIVERA"/>
    <n v="9"/>
    <s v="SEPTIEMBRE"/>
  </r>
  <r>
    <n v="2025"/>
    <s v="26/09/2025"/>
    <s v="RMC"/>
    <n v="6274"/>
    <x v="289"/>
    <s v="ARANDELA SATELITE ESCUALIZACION 46160"/>
    <n v="6"/>
    <n v="40200"/>
    <s v="CENTRO AUTOMOTOR DIESEL S.A CENTRODIESEL"/>
    <s v="JHIRA ALEXANDRA ARANGO RIVERA"/>
    <n v="9"/>
    <s v="SEPTIEMBRE"/>
  </r>
  <r>
    <n v="2025"/>
    <s v="26/09/2025"/>
    <s v="RMC"/>
    <n v="6274"/>
    <x v="269"/>
    <s v="ARANDELA PLANETARIO 46160"/>
    <n v="1"/>
    <n v="17933"/>
    <s v="CENTRO AUTOMOTOR DIESEL S.A CENTRODIESEL"/>
    <s v="JHIRA ALEXANDRA ARANGO RIVERA"/>
    <n v="9"/>
    <s v="SEPTIEMBRE"/>
  </r>
  <r>
    <n v="2025"/>
    <s v="26/09/2025"/>
    <s v="RMC"/>
    <n v="6274"/>
    <x v="494"/>
    <s v="ARANDELA BRONCE 46160"/>
    <n v="1"/>
    <n v="89578"/>
    <s v="CENTRO AUTOMOTOR DIESEL S.A CENTRODIESEL"/>
    <s v="JHIRA ALEXANDRA ARANGO RIVERA"/>
    <n v="9"/>
    <s v="SEPTIEMBRE"/>
  </r>
  <r>
    <n v="2025"/>
    <s v="26/09/2025"/>
    <s v="RMC"/>
    <n v="6274"/>
    <x v="224"/>
    <s v="JUEGO CHAPETA (JGOX2) SPL170"/>
    <n v="1"/>
    <n v="51087"/>
    <s v="CENTRO AUTOMOTOR DIESEL S.A CENTRODIESEL"/>
    <s v="JHIRA ALEXANDRA ARANGO RIVERA"/>
    <n v="9"/>
    <s v="SEPTIEMBRE"/>
  </r>
  <r>
    <n v="2025"/>
    <s v="26/09/2025"/>
    <s v="RMC"/>
    <n v="6274"/>
    <x v="210"/>
    <s v="PLANETARIO ESCUALIZACION 46160"/>
    <n v="4"/>
    <n v="706564"/>
    <s v="CENTRO AUTOMOTOR DIESEL S.A CENTRODIESEL"/>
    <s v="JHIRA ALEXANDRA ARANGO RIVERA"/>
    <n v="9"/>
    <s v="SEPTIEMBRE"/>
  </r>
  <r>
    <n v="2025"/>
    <s v="26/09/2025"/>
    <s v="RMC"/>
    <n v="6274"/>
    <x v="88"/>
    <s v="TAPA GRASERA.EJE DELANTERO EN PLASTICO"/>
    <n v="1"/>
    <n v="72826"/>
    <s v="CENTRO AUTOMOTOR DIESEL S.A CENTRODIESEL"/>
    <s v="JHIRA ALEXANDRA ARANGO RIVERA"/>
    <n v="9"/>
    <s v="SEPTIEMBRE"/>
  </r>
  <r>
    <n v="2025"/>
    <s v="26/09/2025"/>
    <s v="RMC"/>
    <n v="6274"/>
    <x v="33"/>
    <s v="TUERCA SPEED DELANTERO 46160 (1229G4063)"/>
    <n v="1"/>
    <n v="52800"/>
    <s v="CENTRO AUTOMOTOR DIESEL S.A CENTRODIESEL"/>
    <s v="JHIRA ALEXANDRA ARANGO RIVERA"/>
    <n v="9"/>
    <s v="SEPTIEMBRE"/>
  </r>
  <r>
    <n v="2025"/>
    <s v="26/09/2025"/>
    <s v="RMC"/>
    <n v="6274"/>
    <x v="317"/>
    <s v="ARANDELA EST.INT CDIZO  14/16918"/>
    <n v="2"/>
    <n v="83800"/>
    <s v="CENTRO AUTOMOTOR DIESEL S.A CENTRODIESEL"/>
    <s v="JHIRA ALEXANDRA ARANGO RIVERA"/>
    <n v="9"/>
    <s v="SEPTIEMBRE"/>
  </r>
  <r>
    <n v="2025"/>
    <s v="26/09/2025"/>
    <s v="RMC"/>
    <n v="6274"/>
    <x v="375"/>
    <s v="CAUCHO TAPA DIVISOR"/>
    <n v="1"/>
    <n v="9000"/>
    <s v="CENTRO AUTOMOTOR DIESEL S.A CENTRODIESEL"/>
    <s v="JHIRA ALEXANDRA ARANGO RIVERA"/>
    <n v="9"/>
    <s v="SEPTIEMBRE"/>
  </r>
  <r>
    <n v="2025"/>
    <s v="26/09/2025"/>
    <s v="RMC"/>
    <n v="6274"/>
    <x v="157"/>
    <s v="BALINERA FAN CLUTCH"/>
    <n v="4"/>
    <n v="131472"/>
    <s v="CENTRO AUTOMOTOR DIESEL S.A CENTRODIESEL"/>
    <s v="JHIRA ALEXANDRA ARANGO RIVERA"/>
    <n v="9"/>
    <s v="SEPTIEMBRE"/>
  </r>
  <r>
    <n v="2025"/>
    <s v="26/09/2025"/>
    <s v="RMC"/>
    <n v="6274"/>
    <x v="482"/>
    <s v="HUBODOMETRO"/>
    <n v="1"/>
    <n v="315870"/>
    <s v="CENTRO AUTOMOTOR DIESEL S.A CENTRODIESEL"/>
    <s v="JHIRA ALEXANDRA ARANGO RIVERA"/>
    <n v="9"/>
    <s v="SEPTIEMBRE"/>
  </r>
  <r>
    <n v="2025"/>
    <s v="26/09/2025"/>
    <s v="RMC"/>
    <n v="6274"/>
    <x v="211"/>
    <s v="AMORTIGU KW TRAS SUSP NEUM 8 BOLSA HEMBR"/>
    <n v="2"/>
    <n v="605876"/>
    <s v="CENTRO AUTOMOTOR DIESEL S.A CENTRODIESEL"/>
    <s v="JHIRA ALEXANDRA ARANGO RIVERA"/>
    <n v="9"/>
    <s v="SEPTIEMBRE"/>
  </r>
  <r>
    <n v="2025"/>
    <s v="26/09/2025"/>
    <s v="RMC"/>
    <n v="6274"/>
    <x v="69"/>
    <s v="RETENEDOR EJE SALIDA 46160"/>
    <n v="2"/>
    <n v="341800"/>
    <s v="CENTRO AUTOMOTOR DIESEL S.A CENTRODIESEL"/>
    <s v="JHIRA ALEXANDRA ARANGO RIVERA"/>
    <n v="9"/>
    <s v="SEPTIEMBRE"/>
  </r>
  <r>
    <n v="2025"/>
    <s v="26/09/2025"/>
    <s v="RMC"/>
    <n v="6274"/>
    <x v="437"/>
    <s v="VALVULA DOBLE BOTON GRIS 18 CAMBIOS"/>
    <n v="1"/>
    <n v="276232"/>
    <s v="CENTRO AUTOMOTOR DIESEL S.A CENTRODIESEL"/>
    <s v="JHIRA ALEXANDRA ARANGO RIVERA"/>
    <n v="9"/>
    <s v="SEPTIEMBRE"/>
  </r>
  <r>
    <n v="2025"/>
    <s v="26/09/2025"/>
    <s v="RMC"/>
    <n v="6274"/>
    <x v="243"/>
    <s v="KIT EMPAQUES MONO 14918/16"/>
    <n v="1"/>
    <n v="59476"/>
    <s v="CENTRO AUTOMOTOR DIESEL S.A CENTRODIESEL"/>
    <s v="JHIRA ALEXANDRA ARANGO RIVERA"/>
    <n v="9"/>
    <s v="SEPTIEMBRE"/>
  </r>
  <r>
    <n v="2025"/>
    <s v="26/09/2025"/>
    <s v="RMC"/>
    <n v="6274"/>
    <x v="465"/>
    <s v="KIT RODAMIENTO DELANTERO 160- DISPAR MER"/>
    <n v="1"/>
    <n v="1046902"/>
    <s v="CENTRO AUTOMOTOR DIESEL S.A CENTRODIESEL"/>
    <s v="JHIRA ALEXANDRA ARANGO RIVERA"/>
    <n v="9"/>
    <s v="SEPTIEMBRE"/>
  </r>
  <r>
    <n v="2025"/>
    <s v="26/09/2025"/>
    <s v="RMC"/>
    <n v="6274"/>
    <x v="336"/>
    <s v="KIT RODAMIENTO TRASERO 46160 PAREJO"/>
    <n v="1"/>
    <n v="1024142"/>
    <s v="CENTRO AUTOMOTOR DIESEL S.A CENTRODIESEL"/>
    <s v="JHIRA ALEXANDRA ARANGO RIVERA"/>
    <n v="9"/>
    <s v="SEPTIEMBRE"/>
  </r>
  <r>
    <n v="2025"/>
    <s v="26/09/2025"/>
    <s v="RMC"/>
    <n v="6274"/>
    <x v="168"/>
    <s v="RACHE AUTO CH CC 5 1/2&quot; TP3 1-1/2&quot;10E"/>
    <n v="2"/>
    <n v="767000"/>
    <s v="CENTRO AUTOMOTOR DIESEL S.A CENTRODIESEL"/>
    <s v="JHIRA ALEXANDRA ARANGO RIVERA"/>
    <n v="9"/>
    <s v="SEPTIEMBRE"/>
  </r>
  <r>
    <n v="2025"/>
    <s v="26/09/2025"/>
    <s v="RMC"/>
    <n v="6274"/>
    <x v="83"/>
    <s v="RACHE AUTO CH CC 5 1/2&quot; TP2 1-1/2&quot;28E"/>
    <n v="2"/>
    <n v="593000"/>
    <s v="CENTRO AUTOMOTOR DIESEL S.A CENTRODIESEL"/>
    <s v="JHIRA ALEXANDRA ARANGO RIVERA"/>
    <n v="9"/>
    <s v="SEPTIEMBRE"/>
  </r>
  <r>
    <n v="2025"/>
    <s v="26/09/2025"/>
    <s v="RMC"/>
    <n v="6274"/>
    <x v="346"/>
    <s v="SET403 RODAMIENTO (594A/592)"/>
    <n v="1"/>
    <n v="131974"/>
    <s v="CENTRO AUTOMOTOR DIESEL S.A CENTRODIESEL"/>
    <s v="JHIRA ALEXANDRA ARANGO RIVERA"/>
    <n v="9"/>
    <s v="SEPTIEMBRE"/>
  </r>
  <r>
    <n v="2025"/>
    <s v="26/09/2025"/>
    <s v="RMC"/>
    <n v="6274"/>
    <x v="203"/>
    <s v="SET ROD Y PISTA3782/3720 TRAS TREN FIJO"/>
    <n v="2"/>
    <n v="204164"/>
    <s v="CENTRO AUTOMOTOR DIESEL S.A CENTRODIESEL"/>
    <s v="JHIRA ALEXANDRA ARANGO RIVERA"/>
    <n v="9"/>
    <s v="SEPTIEMBRE"/>
  </r>
  <r>
    <n v="2025"/>
    <s v="26/09/2025"/>
    <s v="RMC"/>
    <n v="6274"/>
    <x v="377"/>
    <s v="SET ROD Y PISTA HM218248 /HM 218210 INTE"/>
    <n v="1"/>
    <n v="109246"/>
    <s v="CENTRO AUTOMOTOR DIESEL S.A CENTRODIESEL"/>
    <s v="JHIRA ALEXANDRA ARANGO RIVERA"/>
    <n v="9"/>
    <s v="SEPTIEMBRE"/>
  </r>
  <r>
    <n v="2025"/>
    <s v="26/09/2025"/>
    <s v="RMC"/>
    <n v="6274"/>
    <x v="351"/>
    <s v="CRUCETA 6,456 DADO 2165 (2 5/32&quot; APROX)"/>
    <n v="1"/>
    <n v="480796"/>
    <s v="CENTRO AUTOMOTOR DIESEL S.A CENTRODIESEL"/>
    <s v="JHIRA ALEXANDRA ARANGO RIVERA"/>
    <n v="9"/>
    <s v="SEPTIEMBRE"/>
  </r>
  <r>
    <n v="2025"/>
    <s v="27/11/2025"/>
    <s v="RMC"/>
    <n v="6377"/>
    <x v="154"/>
    <s v="KIT DE REP LEVA FREN TRAILER ROMARCO"/>
    <n v="5"/>
    <n v="940000"/>
    <s v="TRANSPORTES Y SERVICIOS TRANSER SAS"/>
    <s v="JONATHAN PAEZ PEDRAZA"/>
    <n v="11"/>
    <s v="NOVIEMBRE"/>
  </r>
  <r>
    <n v="2025"/>
    <s v="27/11/2025"/>
    <s v="RMC"/>
    <n v="6377"/>
    <x v="156"/>
    <s v="TENSOR CORREA (VENTILADOR Y ALTERNADOR)"/>
    <n v="1"/>
    <n v="356000"/>
    <s v="TRANSPORTES Y SERVICIOS TRANSER SAS"/>
    <s v="JONATHAN PAEZ PEDRAZA"/>
    <n v="11"/>
    <s v="NOVIEMBRE"/>
  </r>
  <r>
    <n v="2025"/>
    <s v="27/11/2025"/>
    <s v="RMC"/>
    <n v="6377"/>
    <x v="68"/>
    <s v="PERA/SENSOR TEMPER. Y DIFEREN. TRANSM."/>
    <n v="2"/>
    <n v="90000"/>
    <s v="TRANSPORTES Y SERVICIOS TRANSER SAS"/>
    <s v="JONATHAN PAEZ PEDRAZA"/>
    <n v="11"/>
    <s v="NOVIEMBRE"/>
  </r>
  <r>
    <n v="2025"/>
    <s v="27/11/2025"/>
    <s v="RMC"/>
    <n v="6377"/>
    <x v="435"/>
    <s v="PORTA RETEN/ BUJE LEVA 1 1/2&quot;FRENO DELAN"/>
    <n v="2"/>
    <n v="110020"/>
    <s v="TRANSPORTES Y SERVICIOS TRANSER SAS"/>
    <s v="JONATHAN PAEZ PEDRAZA"/>
    <n v="11"/>
    <s v="NOVIEMBRE"/>
  </r>
  <r>
    <n v="2025"/>
    <s v="27/11/2025"/>
    <s v="RMC"/>
    <n v="6377"/>
    <x v="225"/>
    <s v="KIT DE REPARACION MENOR DRIVE MASTER"/>
    <n v="1"/>
    <n v="475000"/>
    <s v="TRANSPORTES Y SERVICIOS TRANSER SAS"/>
    <s v="JONATHAN PAEZ PEDRAZA"/>
    <n v="11"/>
    <s v="NOVIEMBRE"/>
  </r>
  <r>
    <n v="2025"/>
    <s v="27/11/2025"/>
    <s v="RMC"/>
    <n v="6377"/>
    <x v="497"/>
    <s v="BOLSA SUSPENSION"/>
    <n v="1"/>
    <n v="437000"/>
    <s v="TRANSPORTES Y SERVICIOS TRANSER SAS"/>
    <s v="JONATHAN PAEZ PEDRAZA"/>
    <n v="11"/>
    <s v="NOVIEMBRE"/>
  </r>
  <r>
    <n v="2025"/>
    <s v="27/11/2025"/>
    <s v="RMC"/>
    <n v="6377"/>
    <x v="491"/>
    <s v="BOLSA TRA10.62ANx5.50CCx27.30AL+7.88D+4T"/>
    <n v="1"/>
    <n v="660000"/>
    <s v="TRANSPORTES Y SERVICIOS TRANSER SAS"/>
    <s v="JONATHAN PAEZ PEDRAZA"/>
    <n v="11"/>
    <s v="NOVIEMBRE"/>
  </r>
  <r>
    <n v="2025"/>
    <s v="27/11/2025"/>
    <s v="RMC"/>
    <n v="6377"/>
    <x v="233"/>
    <s v="SILLIN P/HAS 460 TRASERO RYL"/>
    <n v="1"/>
    <n v="440000"/>
    <s v="TRANSPORTES Y SERVICIOS TRANSER SAS"/>
    <s v="JONATHAN PAEZ PEDRAZA"/>
    <n v="11"/>
    <s v="NOVIEMBRE"/>
  </r>
  <r>
    <n v="2025"/>
    <s v="27/11/2025"/>
    <s v="RMC"/>
    <n v="6377"/>
    <x v="226"/>
    <s v="MANGUERA ENGRASE 15&quot; BALINERA"/>
    <n v="1"/>
    <n v="15000"/>
    <s v="TRANSPORTES Y SERVICIOS TRANSER SAS"/>
    <s v="JONATHAN PAEZ PEDRAZA"/>
    <n v="11"/>
    <s v="NOVIEMBRE"/>
  </r>
  <r>
    <n v="2025"/>
    <s v="27/11/2025"/>
    <s v="RMC"/>
    <n v="6377"/>
    <x v="258"/>
    <s v="TUERCA LATERAL AJUSTE DIFERENCIAL 6&quot; 1/4"/>
    <n v="1"/>
    <n v="104000"/>
    <s v="TRANSPORTES Y SERVICIOS TRANSER SAS"/>
    <s v="JONATHAN PAEZ PEDRAZA"/>
    <n v="11"/>
    <s v="NOVIEMBRE"/>
  </r>
  <r>
    <n v="2025"/>
    <s v="27/11/2025"/>
    <s v="RMC"/>
    <n v="6377"/>
    <x v="257"/>
    <s v="TUERCA LATERAL AJUSTE DIFERENC. 6&quot; 1/16"/>
    <n v="3"/>
    <n v="252000"/>
    <s v="TRANSPORTES Y SERVICIOS TRANSER SAS"/>
    <s v="JONATHAN PAEZ PEDRAZA"/>
    <n v="11"/>
    <s v="NOVIEMBRE"/>
  </r>
  <r>
    <n v="2025"/>
    <s v="27/11/2025"/>
    <s v="RMC"/>
    <n v="6377"/>
    <x v="269"/>
    <s v="ARANDELA PLANETARIO 46160"/>
    <n v="4"/>
    <n v="76600"/>
    <s v="TRANSPORTES Y SERVICIOS TRANSER SAS"/>
    <s v="JONATHAN PAEZ PEDRAZA"/>
    <n v="11"/>
    <s v="NOVIEMBRE"/>
  </r>
  <r>
    <n v="2025"/>
    <s v="27/11/2025"/>
    <s v="RMC"/>
    <n v="6377"/>
    <x v="289"/>
    <s v="ARANDELA SATELITE ESCUALIZACION 46160"/>
    <n v="8"/>
    <n v="50400"/>
    <s v="TRANSPORTES Y SERVICIOS TRANSER SAS"/>
    <s v="JONATHAN PAEZ PEDRAZA"/>
    <n v="11"/>
    <s v="NOVIEMBRE"/>
  </r>
  <r>
    <n v="2025"/>
    <s v="27/11/2025"/>
    <s v="RMC"/>
    <n v="6377"/>
    <x v="336"/>
    <s v="KIT RODAMIENTO TRASERO 46160 PAREJO"/>
    <n v="1"/>
    <n v="1000000"/>
    <s v="TRANSPORTES Y SERVICIOS TRANSER SAS"/>
    <s v="JONATHAN PAEZ PEDRAZA"/>
    <n v="11"/>
    <s v="NOVIEMBRE"/>
  </r>
  <r>
    <n v="2025"/>
    <s v="27/11/2025"/>
    <s v="RMC"/>
    <n v="6377"/>
    <x v="498"/>
    <s v="KIT TORNILLOS CORONA S 160 (JGOX36)"/>
    <n v="2"/>
    <n v="272000"/>
    <s v="TRANSPORTES Y SERVICIOS TRANSER SAS"/>
    <s v="JONATHAN PAEZ PEDRAZA"/>
    <n v="11"/>
    <s v="NOVIEMBRE"/>
  </r>
  <r>
    <n v="2025"/>
    <s v="27/11/2025"/>
    <s v="RMC"/>
    <n v="6377"/>
    <x v="465"/>
    <s v="KIT RODAMIENTO DELANTERO 160- DISPAR MER"/>
    <n v="1"/>
    <n v="1100000"/>
    <s v="TRANSPORTES Y SERVICIOS TRANSER SAS"/>
    <s v="JONATHAN PAEZ PEDRAZA"/>
    <n v="11"/>
    <s v="NOVIEMBRE"/>
  </r>
  <r>
    <n v="2025"/>
    <s v="27/11/2025"/>
    <s v="RMC"/>
    <n v="6377"/>
    <x v="323"/>
    <s v="TUERCA DIVISOR Y SPEED TRASERO 160"/>
    <n v="1"/>
    <n v="41000"/>
    <s v="TRANSPORTES Y SERVICIOS TRANSER SAS"/>
    <s v="JONATHAN PAEZ PEDRAZA"/>
    <n v="11"/>
    <s v="NOVIEMBRE"/>
  </r>
  <r>
    <n v="2025"/>
    <s v="27/11/2025"/>
    <s v="RMC"/>
    <n v="6377"/>
    <x v="120"/>
    <s v="ARANDELA SATELITE DIVISOR 46160"/>
    <n v="4"/>
    <n v="24000"/>
    <s v="TRANSPORTES Y SERVICIOS TRANSER SAS"/>
    <s v="JONATHAN PAEZ PEDRAZA"/>
    <n v="11"/>
    <s v="NOVIEMBRE"/>
  </r>
  <r>
    <n v="2025"/>
    <s v="27/11/2025"/>
    <s v="RMC"/>
    <n v="6377"/>
    <x v="494"/>
    <s v="ARANDELA BRONCE 46160"/>
    <n v="1"/>
    <n v="90000"/>
    <s v="TRANSPORTES Y SERVICIOS TRANSER SAS"/>
    <s v="JONATHAN PAEZ PEDRAZA"/>
    <n v="11"/>
    <s v="NOVIEMBRE"/>
  </r>
  <r>
    <n v="2025"/>
    <s v="27/11/2025"/>
    <s v="RMC"/>
    <n v="6377"/>
    <x v="402"/>
    <s v="RETEN EJE DE SALIDA DP46"/>
    <n v="1"/>
    <n v="128000"/>
    <s v="TRANSPORTES Y SERVICIOS TRANSER SAS"/>
    <s v="JONATHAN PAEZ PEDRAZA"/>
    <n v="11"/>
    <s v="NOVIEMBRE"/>
  </r>
  <r>
    <n v="2025"/>
    <s v="27/11/2025"/>
    <s v="RMC"/>
    <n v="6377"/>
    <x v="332"/>
    <s v="TUERCA EJE DELANTERO KW FINA 18 HILOS"/>
    <n v="1"/>
    <n v="163000"/>
    <s v="TRANSPORTES Y SERVICIOS TRANSER SAS"/>
    <s v="JONATHAN PAEZ PEDRAZA"/>
    <n v="11"/>
    <s v="NOVIEMBRE"/>
  </r>
  <r>
    <n v="2025"/>
    <s v="27/11/2025"/>
    <s v="RMC"/>
    <n v="6377"/>
    <x v="357"/>
    <s v="JUEGO SPLINDER 10,39&quot; x 1,79&quot;"/>
    <n v="1"/>
    <n v="650000"/>
    <s v="TRANSPORTES Y SERVICIOS TRANSER SAS"/>
    <s v="JONATHAN PAEZ PEDRAZA"/>
    <n v="11"/>
    <s v="NOVIEMBRE"/>
  </r>
  <r>
    <n v="2025"/>
    <s v="22/10/2025"/>
    <s v="RMC"/>
    <n v="6330"/>
    <x v="346"/>
    <s v="SET403 RODAMIENTO (594A/592)"/>
    <n v="4"/>
    <n v="405676"/>
    <s v="CEMEX COLOMBIA S.A."/>
    <s v="YASMID DEL PILAR URIBE DELGADO"/>
    <n v="10"/>
    <s v="OCTUBRE"/>
  </r>
  <r>
    <n v="2025"/>
    <s v="01/08/2025"/>
    <s v="RMC"/>
    <n v="6197"/>
    <x v="345"/>
    <s v="FILTRO AIRE PRIMARIO EXTERNO PARA CUMMINS ISX"/>
    <n v="1"/>
    <n v="122000"/>
    <s v="CEMEX COLOMBIA S.A."/>
    <s v="YASMID DEL PILAR URIBE DELGADO"/>
    <n v="8"/>
    <s v="AGOSTO"/>
  </r>
  <r>
    <n v="2025"/>
    <s v="01/08/2025"/>
    <s v="RMC"/>
    <n v="6197"/>
    <x v="130"/>
    <s v="PERA/SENSOR NIVEL REFRIG. EAGLE Y KW"/>
    <n v="1"/>
    <n v="395000"/>
    <s v="CEMEX COLOMBIA S.A."/>
    <s v="YASMID DEL PILAR URIBE DELGADO"/>
    <n v="8"/>
    <s v="AGOSTO"/>
  </r>
  <r>
    <n v="2025"/>
    <s v="01/08/2025"/>
    <s v="RMC"/>
    <n v="6197"/>
    <x v="87"/>
    <s v="KIT EMBRA. 15X2 PRENSA 9 RESORTES"/>
    <n v="1"/>
    <n v="2560000"/>
    <s v="CEMEX COLOMBIA S.A."/>
    <s v="YASMID DEL PILAR URIBE DELGADO"/>
    <n v="8"/>
    <s v="AGOSTO"/>
  </r>
  <r>
    <n v="2025"/>
    <s v="22/10/2025"/>
    <s v="RMC"/>
    <n v="6330"/>
    <x v="499"/>
    <s v="CILINDRO AUX EMBRAGUE PROSTAR CON RACOR"/>
    <n v="2"/>
    <n v="1018336"/>
    <s v="CEMEX COLOMBIA S.A."/>
    <s v="YASMID DEL PILAR URIBE DELGADO"/>
    <n v="10"/>
    <s v="OCTUBRE"/>
  </r>
  <r>
    <n v="2025"/>
    <s v="22/10/2025"/>
    <s v="RMC"/>
    <n v="6330"/>
    <x v="390"/>
    <s v="CRUCETA 19.5CM SERIE 1810"/>
    <n v="3"/>
    <n v="423000"/>
    <s v="CEMEX COLOMBIA S.A."/>
    <s v="YASMID DEL PILAR URIBE DELGADO"/>
    <n v="10"/>
    <s v="OCTUBRE"/>
  </r>
  <r>
    <n v="2025"/>
    <s v="22/10/2025"/>
    <s v="RMC"/>
    <n v="6330"/>
    <x v="325"/>
    <s v="KIT RODAMIENTO TRASERO PAREJO 46170"/>
    <n v="2"/>
    <n v="5400000"/>
    <s v="CEMEX COLOMBIA S.A."/>
    <s v="YASMID DEL PILAR URIBE DELGADO"/>
    <n v="10"/>
    <s v="OCTUBRE"/>
  </r>
  <r>
    <n v="2025"/>
    <s v="22/10/2025"/>
    <s v="RMC"/>
    <n v="6330"/>
    <x v="341"/>
    <s v="FILTRO DE AIRE SECUNDARIO PARA INT-WORKSTAR 7600 CON MOTOR CUMMINS ISM (CONICO) - FILTRO PRIMARIO AF26103"/>
    <n v="10"/>
    <n v="920000"/>
    <s v="CEMEX COLOMBIA S.A."/>
    <s v="YASMID DEL PILAR URIBE DELGADO"/>
    <n v="10"/>
    <s v="OCTUBRE"/>
  </r>
  <r>
    <n v="2025"/>
    <s v="01/08/2025"/>
    <s v="RMC"/>
    <n v="6197"/>
    <x v="306"/>
    <s v="PIÑON DEL BAJO 16918"/>
    <n v="1"/>
    <n v="310000"/>
    <s v="CEMEX COLOMBIA S.A."/>
    <s v="YASMID DEL PILAR URIBE DELGADO"/>
    <n v="8"/>
    <s v="AGOSTO"/>
  </r>
  <r>
    <n v="2025"/>
    <s v="07/07/2025"/>
    <s v="RMC"/>
    <n v="6142"/>
    <x v="248"/>
    <s v="DISCO 15/2 7 RESORTES 4 TACOS"/>
    <n v="2"/>
    <n v="960000"/>
    <s v="TRANSPORTES Y SERVICIOS TRANSER SAS"/>
    <s v="JONATHAN PAEZ PEDRAZA"/>
    <n v="7"/>
    <s v="JULIO"/>
  </r>
  <r>
    <n v="2025"/>
    <s v="07/07/2025"/>
    <s v="RMC"/>
    <n v="6142"/>
    <x v="222"/>
    <s v="TAPA NEGRA DEFENDER PASTA 4 1/2 &quot; PEQUEÑ"/>
    <n v="1"/>
    <n v="66363"/>
    <s v="TRANSPORTES Y SERVICIOS TRANSER SAS"/>
    <s v="JONATHAN PAEZ PEDRAZA"/>
    <n v="7"/>
    <s v="JULIO"/>
  </r>
  <r>
    <n v="2025"/>
    <s v="21/04/2025"/>
    <s v="RMC"/>
    <n v="6016"/>
    <x v="471"/>
    <s v="PERA/SENSOR TEMPERATURA DIFEREN COLUMBIA"/>
    <n v="1"/>
    <n v="42000"/>
    <s v="CEMEX COLOMBIA S.A."/>
    <s v="YASMID DEL PILAR URIBE DELGADO"/>
    <n v="4"/>
    <s v="ABRIL"/>
  </r>
  <r>
    <n v="2025"/>
    <s v="21/04/2025"/>
    <s v="RMC"/>
    <n v="6016"/>
    <x v="166"/>
    <s v="PIÑON 3RA TREN FIJO 16918"/>
    <n v="2"/>
    <n v="434152"/>
    <s v="CEMEX COLOMBIA S.A."/>
    <s v="YASMID DEL PILAR URIBE DELGADO"/>
    <n v="4"/>
    <s v="ABRIL"/>
  </r>
  <r>
    <n v="2025"/>
    <s v="07/07/2025"/>
    <s v="RMC"/>
    <n v="6142"/>
    <x v="232"/>
    <s v="PIN TORNILLOS CRUCETA"/>
    <n v="10"/>
    <n v="12000"/>
    <s v="TRANSPORTES Y SERVICIOS TRANSER SAS"/>
    <s v="JONATHAN PAEZ PEDRAZA"/>
    <n v="7"/>
    <s v="JULIO"/>
  </r>
  <r>
    <n v="2025"/>
    <s v="07/07/2025"/>
    <s v="RMC"/>
    <n v="6142"/>
    <x v="224"/>
    <s v="JUEGO CHAPETA (JGOX2) SPL170"/>
    <n v="1"/>
    <n v="59000"/>
    <s v="TRANSPORTES Y SERVICIOS TRANSER SAS"/>
    <s v="JONATHAN PAEZ PEDRAZA"/>
    <n v="7"/>
    <s v="JULIO"/>
  </r>
  <r>
    <n v="2025"/>
    <s v="11/08/2025"/>
    <s v="RMC"/>
    <n v="6213"/>
    <x v="300"/>
    <s v="TUERCA EJE MONO 14915/16915/11210BYC/169"/>
    <n v="4"/>
    <n v="312000"/>
    <s v="CEMEX COLOMBIA S.A."/>
    <s v="YASMID DEL PILAR URIBE DELGADO"/>
    <n v="8"/>
    <s v="AGOSTO"/>
  </r>
  <r>
    <n v="2025"/>
    <s v="11/08/2025"/>
    <s v="RMC"/>
    <n v="6213"/>
    <x v="500"/>
    <s v="EMPAQUE CAREVACA PARA MOTOR ISX"/>
    <n v="1"/>
    <n v="162000"/>
    <s v="CEMEX COLOMBIA S.A."/>
    <s v="YASMID DEL PILAR URIBE DELGADO"/>
    <n v="8"/>
    <s v="AGOSTO"/>
  </r>
  <r>
    <n v="2025"/>
    <s v="11/08/2025"/>
    <s v="RMC"/>
    <n v="6213"/>
    <x v="501"/>
    <s v="RETENEDOR EJE SALIDA 46160"/>
    <n v="1"/>
    <n v="101000"/>
    <s v="CEMEX COLOMBIA S.A."/>
    <s v="YASMID DEL PILAR URIBE DELGADO"/>
    <n v="8"/>
    <s v="AGOSTO"/>
  </r>
  <r>
    <n v="2025"/>
    <s v="23/07/2025"/>
    <s v="RMC"/>
    <n v="6181"/>
    <x v="454"/>
    <s v="VALVULA SOLENOIDE O DE PARO MOTORES"/>
    <n v="1"/>
    <n v="131000"/>
    <s v="CEMEX COLOMBIA S.A."/>
    <s v="YASMID DEL PILAR URIBE DELGADO"/>
    <n v="7"/>
    <s v="JULIO"/>
  </r>
  <r>
    <n v="2025"/>
    <s v="22/12/2025"/>
    <s v="RMC"/>
    <n v="6417"/>
    <x v="138"/>
    <s v="ABRAZADERA EXOSTO 5&quot;"/>
    <n v="2"/>
    <n v="94000"/>
    <s v="TRANSPORTES Y SERVICIOS TRANSER SAS"/>
    <s v="JONATHAN PAEZ PEDRAZA"/>
    <n v="12"/>
    <s v="DICIEMBRE"/>
  </r>
  <r>
    <n v="2025"/>
    <s v="22/12/2025"/>
    <s v="RMC"/>
    <n v="6417"/>
    <x v="295"/>
    <s v="TAPA VARILLA  NIVEL HIDRAULI KW &amp; EAGLE"/>
    <n v="1"/>
    <n v="42000"/>
    <s v="TRANSPORTES Y SERVICIOS TRANSER SAS"/>
    <s v="JONATHAN PAEZ PEDRAZA"/>
    <n v="12"/>
    <s v="DICIEMBRE"/>
  </r>
  <r>
    <n v="2025"/>
    <s v="22/12/2025"/>
    <s v="RMC"/>
    <n v="6417"/>
    <x v="219"/>
    <s v="RACHE FRENO MEC. 1-1/2&quot;28E"/>
    <n v="4"/>
    <n v="328000"/>
    <s v="TRANSPORTES Y SERVICIOS TRANSER SAS"/>
    <s v="JONATHAN PAEZ PEDRAZA"/>
    <n v="12"/>
    <s v="DICIEMBRE"/>
  </r>
  <r>
    <n v="2025"/>
    <s v="22/12/2025"/>
    <s v="RMC"/>
    <n v="6417"/>
    <x v="386"/>
    <s v="KIT REPAR RODAJAS Y RESORT FRENO KW ETN"/>
    <n v="4"/>
    <n v="120000"/>
    <s v="TRANSPORTES Y SERVICIOS TRANSER SAS"/>
    <s v="JONATHAN PAEZ PEDRAZA"/>
    <n v="12"/>
    <s v="DICIEMBRE"/>
  </r>
  <r>
    <n v="2025"/>
    <s v="22/12/2025"/>
    <s v="RMC"/>
    <n v="6417"/>
    <x v="154"/>
    <s v="KIT DE REP LEVA FREN TRAILER ROMARCO"/>
    <n v="5"/>
    <n v="940000"/>
    <s v="TRANSPORTES Y SERVICIOS TRANSER SAS"/>
    <s v="JONATHAN PAEZ PEDRAZA"/>
    <n v="12"/>
    <s v="DICIEMBRE"/>
  </r>
  <r>
    <n v="2025"/>
    <s v="22/12/2025"/>
    <s v="RMC"/>
    <n v="6417"/>
    <x v="291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22/12/2025"/>
    <s v="RMC"/>
    <n v="6417"/>
    <x v="388"/>
    <s v="CORREA ACANAL P/ALTERN POLY-V. MACK2005,KENWORTH2003MOTOR CUMMINS T800MOTOR ROJO"/>
    <n v="2"/>
    <n v="155434"/>
    <s v="TRANSPORTES Y SERVICIOS TRANSER SAS"/>
    <s v="JONATHAN PAEZ PEDRAZA"/>
    <n v="12"/>
    <s v="DICIEMBRE"/>
  </r>
  <r>
    <n v="2025"/>
    <s v="22/12/2025"/>
    <s v="RMC"/>
    <n v="6417"/>
    <x v="410"/>
    <s v="BALINERA FAN CLUTCH ADVANTAGE-SOLA"/>
    <n v="1"/>
    <n v="708000"/>
    <s v="TRANSPORTES Y SERVICIOS TRANSER SAS"/>
    <s v="JONATHAN PAEZ PEDRAZA"/>
    <n v="12"/>
    <s v="DICIEMBRE"/>
  </r>
  <r>
    <n v="2025"/>
    <s v="22/12/2025"/>
    <s v="RMC"/>
    <n v="6417"/>
    <x v="225"/>
    <s v="KIT DE REPARACION MENOR DRIVE MASTER"/>
    <n v="1"/>
    <n v="475000"/>
    <s v="TRANSPORTES Y SERVICIOS TRANSER SAS"/>
    <s v="JONATHAN PAEZ PEDRAZA"/>
    <n v="12"/>
    <s v="DICIEMBRE"/>
  </r>
  <r>
    <n v="2025"/>
    <s v="22/12/2025"/>
    <s v="RMC"/>
    <n v="6417"/>
    <x v="400"/>
    <s v="BOLSA TAN 9.12ANxA1E1&quot;5/16x11.80AL+1T BR"/>
    <n v="1"/>
    <n v="445000"/>
    <s v="TRANSPORTES Y SERVICIOS TRANSER SAS"/>
    <s v="JONATHAN PAEZ PEDRAZA"/>
    <n v="12"/>
    <s v="DICIEMBRE"/>
  </r>
  <r>
    <n v="2025"/>
    <s v="22/12/2025"/>
    <s v="RMC"/>
    <n v="6417"/>
    <x v="293"/>
    <s v="CORBATIN SUSPENSION NEUMATICA KENWORTH"/>
    <n v="1"/>
    <n v="120000"/>
    <s v="TRANSPORTES Y SERVICIOS TRANSER SAS"/>
    <s v="JONATHAN PAEZ PEDRAZA"/>
    <n v="12"/>
    <s v="DICIEMBRE"/>
  </r>
  <r>
    <n v="2025"/>
    <s v="22/12/2025"/>
    <s v="RMC"/>
    <n v="6417"/>
    <x v="167"/>
    <s v="CONO DE 5/8&quot; CERRADO"/>
    <n v="10"/>
    <n v="55000"/>
    <s v="TRANSPORTES Y SERVICIOS TRANSER SAS"/>
    <s v="JONATHAN PAEZ PEDRAZA"/>
    <n v="12"/>
    <s v="DICIEMBRE"/>
  </r>
  <r>
    <n v="2025"/>
    <s v="19/12/2025"/>
    <s v="RMC"/>
    <n v="6415"/>
    <x v="138"/>
    <s v="ABRAZADERA EXOSTO 5&quot;"/>
    <n v="4"/>
    <n v="188000"/>
    <s v="TRANSPORTES Y SERVICIOS TRANSER SAS"/>
    <s v="JONATHAN PAEZ PEDRAZA"/>
    <n v="12"/>
    <s v="DICIEMBRE"/>
  </r>
  <r>
    <n v="2025"/>
    <s v="19/12/2025"/>
    <s v="RMC"/>
    <n v="6415"/>
    <x v="295"/>
    <s v="TAPA VARILLA  NIVEL HIDRAULI KW &amp; EAGLE"/>
    <n v="1"/>
    <n v="42000"/>
    <s v="TRANSPORTES Y SERVICIOS TRANSER SAS"/>
    <s v="JONATHAN PAEZ PEDRAZA"/>
    <n v="12"/>
    <s v="DICIEMBRE"/>
  </r>
  <r>
    <n v="2025"/>
    <s v="19/12/2025"/>
    <s v="RMC"/>
    <n v="6415"/>
    <x v="1"/>
    <s v="RACHE AUTO CH CC 6&quot; TP3 1-1/2&quot;28E"/>
    <n v="1"/>
    <n v="280000"/>
    <s v="TRANSPORTES Y SERVICIOS TRANSER SAS"/>
    <s v="JONATHAN PAEZ PEDRAZA"/>
    <n v="12"/>
    <s v="DICIEMBRE"/>
  </r>
  <r>
    <n v="2025"/>
    <s v="19/12/2025"/>
    <s v="RMC"/>
    <n v="6415"/>
    <x v="386"/>
    <s v="KIT REPAR RODAJAS Y RESORT FRENO KW ETN"/>
    <n v="3"/>
    <n v="90000"/>
    <s v="TRANSPORTES Y SERVICIOS TRANSER SAS"/>
    <s v="JONATHAN PAEZ PEDRAZA"/>
    <n v="12"/>
    <s v="DICIEMBRE"/>
  </r>
  <r>
    <n v="2025"/>
    <s v="19/12/2025"/>
    <s v="RMC"/>
    <n v="6415"/>
    <x v="79"/>
    <s v="KIT FAN CLUTCH TIPO KYSOR K32-S JGX7"/>
    <n v="1"/>
    <n v="447000"/>
    <s v="TRANSPORTES Y SERVICIOS TRANSER SAS"/>
    <s v="JONATHAN PAEZ PEDRAZA"/>
    <n v="12"/>
    <s v="DICIEMBRE"/>
  </r>
  <r>
    <n v="2025"/>
    <s v="19/12/2025"/>
    <s v="RMC"/>
    <n v="6415"/>
    <x v="410"/>
    <s v="BALINERA FAN CLUTCH ADVANTAGE-SOLA"/>
    <n v="1"/>
    <n v="708000"/>
    <s v="TRANSPORTES Y SERVICIOS TRANSER SAS"/>
    <s v="JONATHAN PAEZ PEDRAZA"/>
    <n v="12"/>
    <s v="DICIEMBRE"/>
  </r>
  <r>
    <n v="2025"/>
    <s v="19/12/2025"/>
    <s v="RMC"/>
    <n v="6415"/>
    <x v="225"/>
    <s v="KIT DE REPARACION MENOR DRIVE MASTER"/>
    <n v="1"/>
    <n v="475000"/>
    <s v="TRANSPORTES Y SERVICIOS TRANSER SAS"/>
    <s v="JONATHAN PAEZ PEDRAZA"/>
    <n v="12"/>
    <s v="DICIEMBRE"/>
  </r>
  <r>
    <n v="2025"/>
    <s v="19/12/2025"/>
    <s v="RMC"/>
    <n v="6415"/>
    <x v="502"/>
    <s v="VALVULA REG CABEZOTE VARILLA CORTA"/>
    <n v="1"/>
    <n v="321000"/>
    <s v="TRANSPORTES Y SERVICIOS TRANSER SAS"/>
    <s v="JONATHAN PAEZ PEDRAZA"/>
    <n v="12"/>
    <s v="DICIEMBRE"/>
  </r>
  <r>
    <n v="2025"/>
    <s v="19/12/2025"/>
    <s v="RMC"/>
    <n v="6415"/>
    <x v="411"/>
    <s v="BOLSA TRA 10.62ANx5.50CEx20.88AL+1T"/>
    <n v="1"/>
    <n v="730000"/>
    <s v="TRANSPORTES Y SERVICIOS TRANSER SAS"/>
    <s v="JONATHAN PAEZ PEDRAZA"/>
    <n v="12"/>
    <s v="DICIEMBRE"/>
  </r>
  <r>
    <n v="2025"/>
    <s v="19/12/2025"/>
    <s v="RMC"/>
    <n v="6415"/>
    <x v="226"/>
    <s v="MANGUERA ENGRASE 15&quot; BALINERA"/>
    <n v="2"/>
    <n v="30000"/>
    <s v="TRANSPORTES Y SERVICIOS TRANSER SAS"/>
    <s v="JONATHAN PAEZ PEDRAZA"/>
    <n v="12"/>
    <s v="DICIEMBRE"/>
  </r>
  <r>
    <n v="2025"/>
    <s v="19/12/2025"/>
    <s v="RMC"/>
    <n v="6415"/>
    <x v="503"/>
    <s v="VALVULA REGUL. 8709/16918/14918/718/6610"/>
    <n v="1"/>
    <n v="129000"/>
    <s v="TRANSPORTES Y SERVICIOS TRANSER SAS"/>
    <s v="JONATHAN PAEZ PEDRAZA"/>
    <n v="12"/>
    <s v="DICIEMBRE"/>
  </r>
  <r>
    <n v="2025"/>
    <s v="19/12/2025"/>
    <s v="RMC"/>
    <n v="6415"/>
    <x v="174"/>
    <s v="GRASA AEROSHELL"/>
    <n v="1"/>
    <n v="100000"/>
    <s v="TRANSPORTES Y SERVICIOS TRANSER SAS"/>
    <s v="JONATHAN PAEZ PEDRAZA"/>
    <n v="12"/>
    <s v="DICIEMBRE"/>
  </r>
  <r>
    <n v="2025"/>
    <s v="11/12/2025"/>
    <s v="RMC"/>
    <n v="6404"/>
    <x v="504"/>
    <s v="TAPA PLASTICA VOLQUETAS INTERNATIONAL"/>
    <n v="7"/>
    <n v="518000"/>
    <s v="CEMEX COLOMBIA S.A."/>
    <s v="YASMID DEL PILAR URIBE DELGADO"/>
    <n v="12"/>
    <s v="DICIEMBRE"/>
  </r>
  <r>
    <n v="2025"/>
    <s v="11/12/2025"/>
    <s v="RMC"/>
    <n v="6404"/>
    <x v="505"/>
    <s v="RETENEDOR EJE DE TRAILER INCA (IGUAL AL 370065)"/>
    <n v="81"/>
    <n v="4390119"/>
    <s v="CEMEX COLOMBIA S.A."/>
    <s v="YASMID DEL PILAR URIBE DELGADO"/>
    <n v="12"/>
    <s v="DICIEMBRE"/>
  </r>
  <r>
    <n v="2025"/>
    <s v="11/12/2025"/>
    <s v="RMC"/>
    <n v="6404"/>
    <x v="506"/>
    <s v="CODO  INTERCOOLER 45° AZUL HI 7600"/>
    <n v="4"/>
    <n v="620000"/>
    <s v="CEMEX COLOMBIA S.A."/>
    <s v="YASMID DEL PILAR URIBE DELGADO"/>
    <n v="12"/>
    <s v="DICIEMBRE"/>
  </r>
  <r>
    <n v="2025"/>
    <s v="11/12/2025"/>
    <s v="RMC"/>
    <n v="6404"/>
    <x v="13"/>
    <s v="CRUCETA CARDAN 19 1/2&quot; MIXTA C/GRAPAS"/>
    <n v="2"/>
    <n v="644810"/>
    <s v="CEMEX COLOMBIA S.A."/>
    <s v="YASMID DEL PILAR URIBE DELGADO"/>
    <n v="12"/>
    <s v="DICIEMBRE"/>
  </r>
  <r>
    <n v="2025"/>
    <s v="11/12/2025"/>
    <s v="RMC"/>
    <n v="6404"/>
    <x v="312"/>
    <s v="CRUCETA 15 1/2&quot; MIXTA S1710 S/GRAPAS"/>
    <n v="2"/>
    <n v="570000"/>
    <s v="CEMEX COLOMBIA S.A."/>
    <s v="YASMID DEL PILAR URIBE DELGADO"/>
    <n v="12"/>
    <s v="DICIEMBRE"/>
  </r>
  <r>
    <n v="2025"/>
    <s v="11/12/2025"/>
    <s v="RMC"/>
    <n v="6404"/>
    <x v="249"/>
    <s v="YOKE DIV 46E S 5312 Q 2312 R3250 BAJO"/>
    <n v="1"/>
    <n v="650000"/>
    <s v="CEMEX COLOMBIA S.A."/>
    <s v="YASMID DEL PILAR URIBE DELGADO"/>
    <n v="12"/>
    <s v="DICIEMBRE"/>
  </r>
  <r>
    <n v="2025"/>
    <s v="11/12/2025"/>
    <s v="RMC"/>
    <n v="6404"/>
    <x v="501"/>
    <s v="RETENEDOR EJE SALIDA 46160"/>
    <n v="1"/>
    <n v="104000"/>
    <s v="CEMEX COLOMBIA S.A."/>
    <s v="YASMID DEL PILAR URIBE DELGADO"/>
    <n v="12"/>
    <s v="DICIEMBRE"/>
  </r>
  <r>
    <n v="2025"/>
    <s v="11/12/2025"/>
    <s v="RMC"/>
    <n v="6404"/>
    <x v="461"/>
    <s v="KIT REPARACION RODAJAS RESORTES TRAILER"/>
    <n v="19"/>
    <n v="701803"/>
    <s v="CEMEX COLOMBIA S.A."/>
    <s v="YASMID DEL PILAR URIBE DELGADO"/>
    <n v="12"/>
    <s v="DICIEMBRE"/>
  </r>
  <r>
    <n v="2025"/>
    <s v="11/12/2025"/>
    <s v="RMC"/>
    <n v="6404"/>
    <x v="466"/>
    <s v="TAPA DIVISOR CON HORQUILLA/ COLLARIN 160"/>
    <n v="1"/>
    <n v="693288"/>
    <s v="CEMEX COLOMBIA S.A."/>
    <s v="YASMID DEL PILAR URIBE DELGADO"/>
    <n v="12"/>
    <s v="DICIEMBRE"/>
  </r>
  <r>
    <n v="2025"/>
    <s v="11/12/2025"/>
    <s v="RMC"/>
    <n v="6404"/>
    <x v="467"/>
    <s v="SET406 RODAMIENTO TRASERO TREN FIJO 6305"/>
    <n v="8"/>
    <n v="427800"/>
    <s v="CEMEX COLOMBIA S.A."/>
    <s v="YASMID DEL PILAR URIBE DELGADO"/>
    <n v="12"/>
    <s v="DICIEMBRE"/>
  </r>
  <r>
    <n v="2025"/>
    <s v="31/10/2025"/>
    <s v="RMC"/>
    <n v="6341"/>
    <x v="291"/>
    <s v="CORREA ACANAL P/ALTERN. KENWORTH T600 - T800 MOTOR CUMMINS ISX MOD.03"/>
    <n v="1"/>
    <n v="53261"/>
    <s v="TRANSPORTES Y SERVICIOS TRANSER SAS"/>
    <s v="JONATHAN PAEZ PEDRAZA"/>
    <n v="10"/>
    <s v="OCTUBRE"/>
  </r>
  <r>
    <n v="2025"/>
    <s v="12/12/2025"/>
    <s v="RMC"/>
    <n v="6406"/>
    <x v="388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12/12/2025"/>
    <s v="RMC"/>
    <n v="6406"/>
    <x v="256"/>
    <s v="TUERCA HAUSING EAGLE"/>
    <n v="3"/>
    <n v="297000"/>
    <s v="TRANSPORTES Y SERVICIOS TRANSER SAS"/>
    <s v="JONATHAN PAEZ PEDRAZA"/>
    <n v="12"/>
    <s v="DICIEMBRE"/>
  </r>
  <r>
    <n v="2025"/>
    <s v="31/10/2025"/>
    <s v="RMC"/>
    <n v="6340"/>
    <x v="68"/>
    <s v="PERA/SENSOR TEMPER. Y DIFEREN. TRANSM."/>
    <n v="1"/>
    <n v="45000"/>
    <s v="TRANSPORTES Y SERVICIOS TRANSER SAS"/>
    <s v="JONATHAN PAEZ PEDRAZA"/>
    <n v="10"/>
    <s v="OCTUBRE"/>
  </r>
  <r>
    <n v="2025"/>
    <s v="31/10/2025"/>
    <s v="RMC"/>
    <n v="6340"/>
    <x v="418"/>
    <s v="VALVULA DESFOGUE TANQUE COMBUSTIBLE"/>
    <n v="2"/>
    <n v="94000"/>
    <s v="TRANSPORTES Y SERVICIOS TRANSER SAS"/>
    <s v="JONATHAN PAEZ PEDRAZA"/>
    <n v="10"/>
    <s v="OCTUBRE"/>
  </r>
  <r>
    <n v="2025"/>
    <s v="31/10/2025"/>
    <s v="RMC"/>
    <n v="6340"/>
    <x v="388"/>
    <s v="CORREA ACANAL P/ALTERN POLY-V. MACK2005,KENWORTH2003MOTOR CUMMINS T800MOTOR ROJO"/>
    <n v="1"/>
    <n v="77717"/>
    <s v="TRANSPORTES Y SERVICIOS TRANSER SAS"/>
    <s v="JONATHAN PAEZ PEDRAZA"/>
    <n v="10"/>
    <s v="OCTUBRE"/>
  </r>
  <r>
    <n v="2025"/>
    <s v="31/10/2025"/>
    <s v="RMC"/>
    <n v="6340"/>
    <x v="224"/>
    <s v="JUEGO CHAPETA (JGOX2) SPL170"/>
    <n v="1"/>
    <n v="65000"/>
    <s v="TRANSPORTES Y SERVICIOS TRANSER SAS"/>
    <s v="JONATHAN PAEZ PEDRAZA"/>
    <n v="10"/>
    <s v="OCTUBRE"/>
  </r>
  <r>
    <n v="2025"/>
    <s v="31/10/2025"/>
    <s v="RMC"/>
    <n v="6340"/>
    <x v="212"/>
    <s v="RACOR/CODO"/>
    <n v="3"/>
    <n v="63000"/>
    <s v="TRANSPORTES Y SERVICIOS TRANSER SAS"/>
    <s v="JONATHAN PAEZ PEDRAZA"/>
    <n v="10"/>
    <s v="OCTUBRE"/>
  </r>
  <r>
    <n v="2025"/>
    <s v="31/10/2025"/>
    <s v="RMC"/>
    <n v="6340"/>
    <x v="343"/>
    <s v="O'RING EJE TOMA TODAS"/>
    <n v="1"/>
    <n v="5000"/>
    <s v="TRANSPORTES Y SERVICIOS TRANSER SAS"/>
    <s v="JONATHAN PAEZ PEDRAZA"/>
    <n v="10"/>
    <s v="OCTUBRE"/>
  </r>
  <r>
    <n v="2025"/>
    <s v="31/10/2025"/>
    <s v="RMC"/>
    <n v="6340"/>
    <x v="450"/>
    <s v="KIT BOMBA ACEITE CAJA JGOX3 14718/918/16"/>
    <n v="1"/>
    <n v="422000"/>
    <s v="TRANSPORTES Y SERVICIOS TRANSER SAS"/>
    <s v="JONATHAN PAEZ PEDRAZA"/>
    <n v="10"/>
    <s v="OCTUBRE"/>
  </r>
  <r>
    <n v="2025"/>
    <s v="31/10/2025"/>
    <s v="RMC"/>
    <n v="6340"/>
    <x v="115"/>
    <s v="PIÑA CDIZO"/>
    <n v="2"/>
    <n v="206000"/>
    <s v="TRANSPORTES Y SERVICIOS TRANSER SAS"/>
    <s v="JONATHAN PAEZ PEDRAZA"/>
    <n v="10"/>
    <s v="OCTUBRE"/>
  </r>
  <r>
    <n v="2025"/>
    <s v="12/12/2025"/>
    <s v="RMC"/>
    <n v="6405"/>
    <x v="138"/>
    <s v="ABRAZADERA EXOSTO 5&quot;"/>
    <n v="2"/>
    <n v="94000"/>
    <s v="TRANSPORTES Y SERVICIOS TRANSER SAS"/>
    <s v="JONATHAN PAEZ PEDRAZA"/>
    <n v="12"/>
    <s v="DICIEMBRE"/>
  </r>
  <r>
    <n v="2025"/>
    <s v="12/12/2025"/>
    <s v="RMC"/>
    <n v="6405"/>
    <x v="436"/>
    <s v="MANGUERA CAJA 34&quot; LARGA"/>
    <n v="2"/>
    <n v="98000"/>
    <s v="TRANSPORTES Y SERVICIOS TRANSER SAS"/>
    <s v="JONATHAN PAEZ PEDRAZA"/>
    <n v="12"/>
    <s v="DICIEMBRE"/>
  </r>
  <r>
    <n v="2025"/>
    <s v="12/12/2025"/>
    <s v="RMC"/>
    <n v="6405"/>
    <x v="399"/>
    <s v="VALVULA NIVELADORA TANQUE COMBUSTIBLE"/>
    <n v="2"/>
    <n v="202000"/>
    <s v="TRANSPORTES Y SERVICIOS TRANSER SAS"/>
    <s v="JONATHAN PAEZ PEDRAZA"/>
    <n v="12"/>
    <s v="DICIEMBRE"/>
  </r>
  <r>
    <n v="2025"/>
    <s v="12/12/2025"/>
    <s v="RMC"/>
    <n v="6405"/>
    <x v="275"/>
    <s v="FILTRO  DE AIRE GRIS  ESTÁNDAR TODOS"/>
    <n v="1"/>
    <n v="124000"/>
    <s v="TRANSPORTES Y SERVICIOS TRANSER SAS"/>
    <s v="JONATHAN PAEZ PEDRAZA"/>
    <n v="12"/>
    <s v="DICIEMBRE"/>
  </r>
  <r>
    <n v="2025"/>
    <s v="12/12/2025"/>
    <s v="RMC"/>
    <n v="6405"/>
    <x v="219"/>
    <s v="RACHE FRENO MEC. 1-1/2&quot;28E"/>
    <n v="6"/>
    <n v="492000"/>
    <s v="TRANSPORTES Y SERVICIOS TRANSER SAS"/>
    <s v="JONATHAN PAEZ PEDRAZA"/>
    <n v="12"/>
    <s v="DICIEMBRE"/>
  </r>
  <r>
    <n v="2025"/>
    <s v="12/12/2025"/>
    <s v="RMC"/>
    <n v="6405"/>
    <x v="435"/>
    <s v="PORTA RETEN/ BUJE LEVA 1 1/2&quot;FRENO DELAN"/>
    <n v="6"/>
    <n v="330060"/>
    <s v="TRANSPORTES Y SERVICIOS TRANSER SAS"/>
    <s v="JONATHAN PAEZ PEDRAZA"/>
    <n v="12"/>
    <s v="DICIEMBRE"/>
  </r>
  <r>
    <n v="2025"/>
    <s v="12/12/2025"/>
    <s v="RMC"/>
    <n v="6405"/>
    <x v="290"/>
    <s v="BUJE BRONCE(1 5/8&quot; DI) LEVA FRENO TRAILE"/>
    <n v="5"/>
    <n v="120000"/>
    <s v="TRANSPORTES Y SERVICIOS TRANSER SAS"/>
    <s v="JONATHAN PAEZ PEDRAZA"/>
    <n v="12"/>
    <s v="DICIEMBRE"/>
  </r>
  <r>
    <n v="2025"/>
    <s v="12/12/2025"/>
    <s v="RMC"/>
    <n v="6405"/>
    <x v="154"/>
    <s v="KIT DE REP LEVA FREN TRAILER ROMARCO"/>
    <n v="1"/>
    <n v="188000"/>
    <s v="TRANSPORTES Y SERVICIOS TRANSER SAS"/>
    <s v="JONATHAN PAEZ PEDRAZA"/>
    <n v="12"/>
    <s v="DICIEMBRE"/>
  </r>
  <r>
    <n v="2025"/>
    <s v="12/12/2025"/>
    <s v="RMC"/>
    <n v="6405"/>
    <x v="448"/>
    <s v="BOLSA TRA10.62ANx7.75CEx19.25AL+7.88D+4T"/>
    <n v="2"/>
    <n v="966000"/>
    <s v="TRANSPORTES Y SERVICIOS TRANSER SAS"/>
    <s v="JONATHAN PAEZ PEDRAZA"/>
    <n v="12"/>
    <s v="DICIEMBRE"/>
  </r>
  <r>
    <n v="2025"/>
    <s v="12/12/2025"/>
    <s v="RMC"/>
    <n v="6405"/>
    <x v="283"/>
    <s v="BOLSA TAN 10.12ANx6.20CCx22AL+1T"/>
    <n v="1"/>
    <n v="460000"/>
    <s v="TRANSPORTES Y SERVICIOS TRANSER SAS"/>
    <s v="JONATHAN PAEZ PEDRAZA"/>
    <n v="12"/>
    <s v="DICIEMBRE"/>
  </r>
  <r>
    <n v="2025"/>
    <s v="12/12/2025"/>
    <s v="RMC"/>
    <n v="6405"/>
    <x v="331"/>
    <s v="CORBATIN  HENDRICKSON"/>
    <n v="2"/>
    <n v="124000"/>
    <s v="TRANSPORTES Y SERVICIOS TRANSER SAS"/>
    <s v="JONATHAN PAEZ PEDRAZA"/>
    <n v="12"/>
    <s v="DICIEMBRE"/>
  </r>
  <r>
    <n v="2025"/>
    <s v="12/12/2025"/>
    <s v="RMC"/>
    <n v="6405"/>
    <x v="89"/>
    <s v="SILLIN P/HAS 460 DELANTERO RYL 3,0°"/>
    <n v="1"/>
    <n v="509000"/>
    <s v="TRANSPORTES Y SERVICIOS TRANSER SAS"/>
    <s v="JONATHAN PAEZ PEDRAZA"/>
    <n v="12"/>
    <s v="DICIEMBRE"/>
  </r>
  <r>
    <n v="2025"/>
    <s v="12/12/2025"/>
    <s v="RMC"/>
    <n v="6405"/>
    <x v="328"/>
    <s v="CRUCETA 6,417 (6&quot;13/32 APROX)DADO 2362&quot;"/>
    <n v="2"/>
    <n v="1060000"/>
    <s v="TRANSPORTES Y SERVICIOS TRANSER SAS"/>
    <s v="JONATHAN PAEZ PEDRAZA"/>
    <n v="12"/>
    <s v="DICIEMBRE"/>
  </r>
  <r>
    <n v="2025"/>
    <s v="12/12/2025"/>
    <s v="RMC"/>
    <n v="6405"/>
    <x v="224"/>
    <s v="JUEGO CHAPETA (JGOX2) SPL170"/>
    <n v="2"/>
    <n v="130000"/>
    <s v="TRANSPORTES Y SERVICIOS TRANSER SAS"/>
    <s v="JONATHAN PAEZ PEDRAZA"/>
    <n v="12"/>
    <s v="DICIEMBRE"/>
  </r>
  <r>
    <n v="2025"/>
    <s v="12/12/2025"/>
    <s v="RMC"/>
    <n v="6405"/>
    <x v="212"/>
    <s v="RACOR/CODO"/>
    <n v="1"/>
    <n v="21000"/>
    <s v="TRANSPORTES Y SERVICIOS TRANSER SAS"/>
    <s v="JONATHAN PAEZ PEDRAZA"/>
    <n v="12"/>
    <s v="DICIEMBRE"/>
  </r>
  <r>
    <n v="2025"/>
    <s v="12/12/2025"/>
    <s v="RMC"/>
    <n v="6405"/>
    <x v="396"/>
    <s v="KIT EMPAQUES MONO CHIP"/>
    <n v="1"/>
    <n v="57000"/>
    <s v="TRANSPORTES Y SERVICIOS TRANSER SAS"/>
    <s v="JONATHAN PAEZ PEDRAZA"/>
    <n v="12"/>
    <s v="DICIEMBRE"/>
  </r>
  <r>
    <n v="2025"/>
    <s v="12/12/2025"/>
    <s v="RMC"/>
    <n v="6405"/>
    <x v="213"/>
    <s v="RETENEDOR DIVISOR 46160"/>
    <n v="1"/>
    <n v="158137"/>
    <s v="TRANSPORTES Y SERVICIOS TRANSER SAS"/>
    <s v="JONATHAN PAEZ PEDRAZA"/>
    <n v="12"/>
    <s v="DICIEMBRE"/>
  </r>
  <r>
    <n v="2025"/>
    <s v="12/12/2025"/>
    <s v="RMC"/>
    <n v="6405"/>
    <x v="457"/>
    <s v="RETEN CON TUERCA EJE DIV Y SPEED (JGOX3)"/>
    <n v="2"/>
    <n v="334000"/>
    <s v="TRANSPORTES Y SERVICIOS TRANSER SAS"/>
    <s v="JONATHAN PAEZ PEDRAZA"/>
    <n v="12"/>
    <s v="DICIEMBRE"/>
  </r>
  <r>
    <n v="2025"/>
    <s v="12/12/2025"/>
    <s v="RMC"/>
    <n v="6405"/>
    <x v="167"/>
    <s v="CONO DE 5/8&quot; CERRADO"/>
    <n v="1"/>
    <n v="5500"/>
    <s v="TRANSPORTES Y SERVICIOS TRANSER SAS"/>
    <s v="JONATHAN PAEZ PEDRAZA"/>
    <n v="12"/>
    <s v="DICIEMBRE"/>
  </r>
  <r>
    <n v="2025"/>
    <s v="12/12/2025"/>
    <s v="RMC"/>
    <n v="6405"/>
    <x v="332"/>
    <s v="TUERCA EJE DELANTERO KW FINA 18 HILOS"/>
    <n v="1"/>
    <n v="163000"/>
    <s v="TRANSPORTES Y SERVICIOS TRANSER SAS"/>
    <s v="JONATHAN PAEZ PEDRAZA"/>
    <n v="12"/>
    <s v="DICIEMBRE"/>
  </r>
  <r>
    <n v="2025"/>
    <s v="12/12/2025"/>
    <s v="RMC"/>
    <n v="6405"/>
    <x v="398"/>
    <s v="TAPA NEGRA DEFENDER  PASTA 5 1/2&quot; GRANDE"/>
    <n v="3"/>
    <n v="192000"/>
    <s v="TRANSPORTES Y SERVICIOS TRANSER SAS"/>
    <s v="JONATHAN PAEZ PEDRAZA"/>
    <n v="12"/>
    <s v="DICIEMBRE"/>
  </r>
  <r>
    <n v="2025"/>
    <s v="12/12/2025"/>
    <s v="RMC"/>
    <n v="6405"/>
    <x v="104"/>
    <s v="SHIMS SPLINDER 328349  A= 0.70"/>
    <n v="3"/>
    <n v="4224"/>
    <s v="TRANSPORTES Y SERVICIOS TRANSER SAS"/>
    <s v="JONATHAN PAEZ PEDRAZA"/>
    <n v="12"/>
    <s v="DICIEMBRE"/>
  </r>
  <r>
    <n v="2025"/>
    <s v="12/12/2025"/>
    <s v="RMC"/>
    <n v="6405"/>
    <x v="357"/>
    <s v="JUEGO SPLINDER 10,39&quot; x 1,79&quot;"/>
    <n v="1"/>
    <n v="650000"/>
    <s v="TRANSPORTES Y SERVICIOS TRANSER SAS"/>
    <s v="JONATHAN PAEZ PEDRAZA"/>
    <n v="12"/>
    <s v="DICIEMBRE"/>
  </r>
  <r>
    <n v="2025"/>
    <s v="07/10/2025"/>
    <s v="RMC"/>
    <n v="6295"/>
    <x v="491"/>
    <s v="BOLSA TRA10.62ANx5.50CCx27.30AL+7.88D+4T"/>
    <n v="1"/>
    <n v="660000"/>
    <s v="TRANSPORTES Y SERVICIOS TRANSER SAS"/>
    <s v="JONATHAN PAEZ PEDRAZA"/>
    <n v="10"/>
    <s v="OCTUBRE"/>
  </r>
  <r>
    <n v="2025"/>
    <s v="07/10/2025"/>
    <s v="RMC"/>
    <n v="6295"/>
    <x v="394"/>
    <s v="KIT REPARACION PISTON + ANILLOS + BIELA"/>
    <n v="1"/>
    <n v="384000"/>
    <s v="TRANSPORTES Y SERVICIOS TRANSER SAS"/>
    <s v="JONATHAN PAEZ PEDRAZA"/>
    <n v="10"/>
    <s v="OCTUBRE"/>
  </r>
  <r>
    <n v="2025"/>
    <s v="07/10/2025"/>
    <s v="RMC"/>
    <n v="6295"/>
    <x v="330"/>
    <s v="BOLSA TRA 10.62ANx6.25Cx27.30AL+7.88D+4T"/>
    <n v="1"/>
    <n v="550000"/>
    <s v="TRANSPORTES Y SERVICIOS TRANSER SAS"/>
    <s v="JONATHAN PAEZ PEDRAZA"/>
    <n v="10"/>
    <s v="OCTUBRE"/>
  </r>
  <r>
    <n v="2025"/>
    <s v="07/10/2025"/>
    <s v="RMC"/>
    <n v="6295"/>
    <x v="224"/>
    <s v="JUEGO CHAPETA (JGOX2) SPL170"/>
    <n v="1"/>
    <n v="65000"/>
    <s v="TRANSPORTES Y SERVICIOS TRANSER SAS"/>
    <s v="JONATHAN PAEZ PEDRAZA"/>
    <n v="10"/>
    <s v="OCTUBRE"/>
  </r>
  <r>
    <n v="2025"/>
    <s v="07/10/2025"/>
    <s v="RMC"/>
    <n v="6295"/>
    <x v="116"/>
    <s v="KIT RETEN MONO 14715/915/918 11210 (BRA)"/>
    <n v="1"/>
    <n v="131000"/>
    <s v="TRANSPORTES Y SERVICIOS TRANSER SAS"/>
    <s v="JONATHAN PAEZ PEDRAZA"/>
    <n v="10"/>
    <s v="OCTUBRE"/>
  </r>
  <r>
    <n v="2025"/>
    <s v="07/10/2025"/>
    <s v="RMC"/>
    <n v="6295"/>
    <x v="252"/>
    <s v="TERMINAL DIRECCION RUNNER 4300 DURESTAR"/>
    <n v="1"/>
    <n v="328087"/>
    <s v="TRANSPORTES Y SERVICIOS TRANSER SAS"/>
    <s v="JONATHAN PAEZ PEDRAZA"/>
    <n v="10"/>
    <s v="OCTUBRE"/>
  </r>
  <r>
    <n v="2025"/>
    <s v="07/10/2025"/>
    <s v="RMC"/>
    <n v="6295"/>
    <x v="357"/>
    <s v="JUEGO SPLINDER 10,39&quot; x 1,79&quot;"/>
    <n v="1"/>
    <n v="650000"/>
    <s v="TRANSPORTES Y SERVICIOS TRANSER SAS"/>
    <s v="JONATHAN PAEZ PEDRAZA"/>
    <n v="10"/>
    <s v="OCTUBRE"/>
  </r>
  <r>
    <n v="2025"/>
    <s v="03/12/2025"/>
    <s v="RMC"/>
    <n v="6388"/>
    <x v="290"/>
    <s v="BUJE BRONCE(1 5/8&quot; DI) LEVA FRENO TRAILE"/>
    <n v="5"/>
    <n v="120000"/>
    <s v="TRANSPORTES Y SERVICIOS TRANSER SAS"/>
    <s v="JONATHAN PAEZ PEDRAZA"/>
    <n v="12"/>
    <s v="DICIEMBRE"/>
  </r>
  <r>
    <n v="2025"/>
    <s v="03/12/2025"/>
    <s v="RMC"/>
    <n v="6388"/>
    <x v="296"/>
    <s v="VALVULA NIVELADORA CABINA EAGLE"/>
    <n v="1"/>
    <n v="227000"/>
    <s v="TRANSPORTES Y SERVICIOS TRANSER SAS"/>
    <s v="JONATHAN PAEZ PEDRAZA"/>
    <n v="12"/>
    <s v="DICIEMBRE"/>
  </r>
  <r>
    <n v="2025"/>
    <s v="03/12/2025"/>
    <s v="RMC"/>
    <n v="6388"/>
    <x v="219"/>
    <s v="RACHE FRENO MEC. 1-1/2&quot;28E"/>
    <n v="3"/>
    <n v="246000"/>
    <s v="TRANSPORTES Y SERVICIOS TRANSER SAS"/>
    <s v="JONATHAN PAEZ PEDRAZA"/>
    <n v="12"/>
    <s v="DICIEMBRE"/>
  </r>
  <r>
    <n v="2025"/>
    <s v="03/12/2025"/>
    <s v="RMC"/>
    <n v="6388"/>
    <x v="19"/>
    <s v="LEVA FRENO TRAILER RH WATSON -28E"/>
    <n v="1"/>
    <n v="155000"/>
    <s v="TRANSPORTES Y SERVICIOS TRANSER SAS"/>
    <s v="JONATHAN PAEZ PEDRAZA"/>
    <n v="12"/>
    <s v="DICIEMBRE"/>
  </r>
  <r>
    <n v="2025"/>
    <s v="03/12/2025"/>
    <s v="RMC"/>
    <n v="6388"/>
    <x v="435"/>
    <s v="PORTA RETEN/ BUJE LEVA 1 1/2&quot;FRENO DELAN"/>
    <n v="6"/>
    <n v="330060"/>
    <s v="TRANSPORTES Y SERVICIOS TRANSER SAS"/>
    <s v="JONATHAN PAEZ PEDRAZA"/>
    <n v="12"/>
    <s v="DICIEMBRE"/>
  </r>
  <r>
    <n v="2025"/>
    <s v="03/12/2025"/>
    <s v="RMC"/>
    <n v="6388"/>
    <x v="154"/>
    <s v="KIT DE REP LEVA FREN TRAILER ROMARCO"/>
    <n v="2"/>
    <n v="376000"/>
    <s v="TRANSPORTES Y SERVICIOS TRANSER SAS"/>
    <s v="JONATHAN PAEZ PEDRAZA"/>
    <n v="12"/>
    <s v="DICIEMBRE"/>
  </r>
  <r>
    <n v="2025"/>
    <s v="03/12/2025"/>
    <s v="RMC"/>
    <n v="6388"/>
    <x v="281"/>
    <s v="PIN PUNTA LEVA DE FRENO TIPO M EATON"/>
    <n v="1"/>
    <n v="4000"/>
    <s v="TRANSPORTES Y SERVICIOS TRANSER SAS"/>
    <s v="JONATHAN PAEZ PEDRAZA"/>
    <n v="12"/>
    <s v="DICIEMBRE"/>
  </r>
  <r>
    <n v="2025"/>
    <s v="03/12/2025"/>
    <s v="RMC"/>
    <n v="6388"/>
    <x v="291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3/12/2025"/>
    <s v="RMC"/>
    <n v="6388"/>
    <x v="388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03/12/2025"/>
    <s v="RMC"/>
    <n v="6388"/>
    <x v="283"/>
    <s v="BOLSA TAN 10.12ANx6.20CCx22AL+1T"/>
    <n v="1"/>
    <n v="460000"/>
    <s v="TRANSPORTES Y SERVICIOS TRANSER SAS"/>
    <s v="JONATHAN PAEZ PEDRAZA"/>
    <n v="12"/>
    <s v="DICIEMBRE"/>
  </r>
  <r>
    <n v="2025"/>
    <s v="03/12/2025"/>
    <s v="RMC"/>
    <n v="6388"/>
    <x v="331"/>
    <s v="CORBATIN  HENDRICKSON"/>
    <n v="4"/>
    <n v="248000"/>
    <s v="TRANSPORTES Y SERVICIOS TRANSER SAS"/>
    <s v="JONATHAN PAEZ PEDRAZA"/>
    <n v="12"/>
    <s v="DICIEMBRE"/>
  </r>
  <r>
    <n v="2025"/>
    <s v="03/12/2025"/>
    <s v="RMC"/>
    <n v="6388"/>
    <x v="413"/>
    <s v="PASADOR BUJE SUSPENSION"/>
    <n v="1"/>
    <n v="8000"/>
    <s v="TRANSPORTES Y SERVICIOS TRANSER SAS"/>
    <s v="JONATHAN PAEZ PEDRAZA"/>
    <n v="12"/>
    <s v="DICIEMBRE"/>
  </r>
  <r>
    <n v="2025"/>
    <s v="03/12/2025"/>
    <s v="RMC"/>
    <n v="6388"/>
    <x v="484"/>
    <s v="SOPORTE INF. DERECHO HAS 460"/>
    <n v="2"/>
    <n v="464000"/>
    <s v="TRANSPORTES Y SERVICIOS TRANSER SAS"/>
    <s v="JONATHAN PAEZ PEDRAZA"/>
    <n v="12"/>
    <s v="DICIEMBRE"/>
  </r>
  <r>
    <n v="2025"/>
    <s v="03/12/2025"/>
    <s v="RMC"/>
    <n v="6388"/>
    <x v="287"/>
    <s v="CRUCETA 19 1/2&quot; MIXTA S/GRAPAS"/>
    <n v="2"/>
    <n v="670000"/>
    <s v="TRANSPORTES Y SERVICIOS TRANSER SAS"/>
    <s v="JONATHAN PAEZ PEDRAZA"/>
    <n v="12"/>
    <s v="DICIEMBRE"/>
  </r>
  <r>
    <n v="2025"/>
    <s v="03/12/2025"/>
    <s v="RMC"/>
    <n v="6388"/>
    <x v="226"/>
    <s v="MANGUERA ENGRASE 15&quot; BALINERA"/>
    <n v="1"/>
    <n v="15000"/>
    <s v="TRANSPORTES Y SERVICIOS TRANSER SAS"/>
    <s v="JONATHAN PAEZ PEDRAZA"/>
    <n v="12"/>
    <s v="DICIEMBRE"/>
  </r>
  <r>
    <n v="2025"/>
    <s v="03/12/2025"/>
    <s v="RMC"/>
    <n v="6388"/>
    <x v="507"/>
    <s v="PASADOR TAPA  ALTA LISA CAJA 16918"/>
    <n v="1"/>
    <n v="27000"/>
    <s v="TRANSPORTES Y SERVICIOS TRANSER SAS"/>
    <s v="JONATHAN PAEZ PEDRAZA"/>
    <n v="12"/>
    <s v="DICIEMBRE"/>
  </r>
  <r>
    <n v="2025"/>
    <s v="03/12/2025"/>
    <s v="RMC"/>
    <n v="6388"/>
    <x v="508"/>
    <s v="MANGUERA CAJA 17&quot; CORTA"/>
    <n v="1"/>
    <n v="62000"/>
    <s v="TRANSPORTES Y SERVICIOS TRANSER SAS"/>
    <s v="JONATHAN PAEZ PEDRAZA"/>
    <n v="12"/>
    <s v="DICIEMBRE"/>
  </r>
  <r>
    <n v="2025"/>
    <s v="22/10/2025"/>
    <s v="RMC"/>
    <n v="6324"/>
    <x v="498"/>
    <s v="KIT TORNILLOS CORONA S 160 (JGOX36)"/>
    <n v="1"/>
    <n v="136000"/>
    <s v="TRANSPORTES Y SERVICIOS TRANSER SAS"/>
    <s v="JONATHAN PAEZ PEDRAZA"/>
    <n v="10"/>
    <s v="OCTUBRE"/>
  </r>
  <r>
    <n v="2025"/>
    <s v="22/10/2025"/>
    <s v="RMC"/>
    <n v="6324"/>
    <x v="388"/>
    <s v="CORREA ACANAL P/ALTERN POLY-V. MACK2005,KENWORTH2003MOTOR CUMMINS T800MOTOR ROJO"/>
    <n v="1"/>
    <n v="77717"/>
    <s v="TRANSPORTES Y SERVICIOS TRANSER SAS"/>
    <s v="JONATHAN PAEZ PEDRAZA"/>
    <n v="10"/>
    <s v="OCTUBRE"/>
  </r>
  <r>
    <n v="2025"/>
    <s v="22/10/2025"/>
    <s v="RMC"/>
    <n v="6324"/>
    <x v="396"/>
    <s v="KIT EMPAQUES MONO CHIP"/>
    <n v="1"/>
    <n v="57000"/>
    <s v="TRANSPORTES Y SERVICIOS TRANSER SAS"/>
    <s v="JONATHAN PAEZ PEDRAZA"/>
    <n v="10"/>
    <s v="OCTUBRE"/>
  </r>
  <r>
    <n v="2025"/>
    <s v="22/10/2025"/>
    <s v="RMC"/>
    <n v="6324"/>
    <x v="116"/>
    <s v="KIT RETEN MONO 14715/915/918 11210 (BRA)"/>
    <n v="1"/>
    <n v="131000"/>
    <s v="TRANSPORTES Y SERVICIOS TRANSER SAS"/>
    <s v="JONATHAN PAEZ PEDRAZA"/>
    <n v="10"/>
    <s v="OCTUBRE"/>
  </r>
  <r>
    <n v="2025"/>
    <s v="22/10/2025"/>
    <s v="RMC"/>
    <n v="6324"/>
    <x v="194"/>
    <s v="PIN PUNTA CDIZO 16918"/>
    <n v="1"/>
    <n v="3000"/>
    <s v="TRANSPORTES Y SERVICIOS TRANSER SAS"/>
    <s v="JONATHAN PAEZ PEDRAZA"/>
    <n v="10"/>
    <s v="OCTUBRE"/>
  </r>
  <r>
    <n v="2025"/>
    <s v="22/10/2025"/>
    <s v="RMC"/>
    <n v="6324"/>
    <x v="243"/>
    <s v="KIT EMPAQUES MONO 14918/16"/>
    <n v="1"/>
    <n v="60000"/>
    <s v="TRANSPORTES Y SERVICIOS TRANSER SAS"/>
    <s v="JONATHAN PAEZ PEDRAZA"/>
    <n v="10"/>
    <s v="OCTUBRE"/>
  </r>
  <r>
    <n v="2025"/>
    <s v="22/10/2025"/>
    <s v="RMC"/>
    <n v="6324"/>
    <x v="288"/>
    <s v="RODILLO MONO RTLO 14915/918 PEST ANGOSTA"/>
    <n v="1"/>
    <n v="329000"/>
    <s v="TRANSPORTES Y SERVICIOS TRANSER SAS"/>
    <s v="JONATHAN PAEZ PEDRAZA"/>
    <n v="10"/>
    <s v="OCTUBRE"/>
  </r>
  <r>
    <n v="2025"/>
    <s v="22/10/2025"/>
    <s v="RMC"/>
    <n v="6324"/>
    <x v="509"/>
    <s v="KIT EMPAQUES REPAR A 6915"/>
    <n v="1"/>
    <n v="98000"/>
    <s v="TRANSPORTES Y SERVICIOS TRANSER SAS"/>
    <s v="JONATHAN PAEZ PEDRAZA"/>
    <n v="10"/>
    <s v="OCTUBRE"/>
  </r>
  <r>
    <n v="2025"/>
    <s v="22/10/2025"/>
    <s v="RMC"/>
    <n v="6324"/>
    <x v="438"/>
    <s v="TUERCA EJE DE SALIDA 46-170"/>
    <n v="1"/>
    <n v="50000"/>
    <s v="TRANSPORTES Y SERVICIOS TRANSER SAS"/>
    <s v="JONATHAN PAEZ PEDRAZA"/>
    <n v="10"/>
    <s v="OCTUBRE"/>
  </r>
  <r>
    <n v="2025"/>
    <s v="22/10/2025"/>
    <s v="RMC"/>
    <n v="6324"/>
    <x v="269"/>
    <s v="ARANDELA PLANETARIO 46160"/>
    <n v="4"/>
    <n v="76600"/>
    <s v="TRANSPORTES Y SERVICIOS TRANSER SAS"/>
    <s v="JONATHAN PAEZ PEDRAZA"/>
    <n v="10"/>
    <s v="OCTUBRE"/>
  </r>
  <r>
    <n v="2025"/>
    <s v="22/10/2025"/>
    <s v="RMC"/>
    <n v="6324"/>
    <x v="210"/>
    <s v="PLANETARIO ESCUALIZACION 46160"/>
    <n v="2"/>
    <n v="316000"/>
    <s v="TRANSPORTES Y SERVICIOS TRANSER SAS"/>
    <s v="JONATHAN PAEZ PEDRAZA"/>
    <n v="10"/>
    <s v="OCTUBRE"/>
  </r>
  <r>
    <n v="2025"/>
    <s v="15/12/2025"/>
    <s v="RMC"/>
    <n v="6408"/>
    <x v="386"/>
    <s v="KIT REPAR RODAJAS Y RESORT FRENO KW ETN"/>
    <n v="1"/>
    <n v="30000"/>
    <s v="TRANSPORTES Y SERVICIOS TRANSER SAS"/>
    <s v="JONATHAN PAEZ PEDRAZA"/>
    <n v="12"/>
    <s v="DICIEMBRE"/>
  </r>
  <r>
    <n v="2025"/>
    <s v="15/12/2025"/>
    <s v="RMC"/>
    <n v="6408"/>
    <x v="411"/>
    <s v="BOLSA TRA 10.62ANx5.50CEx20.88AL+1T"/>
    <n v="2"/>
    <n v="1460000"/>
    <s v="TRANSPORTES Y SERVICIOS TRANSER SAS"/>
    <s v="JONATHAN PAEZ PEDRAZA"/>
    <n v="12"/>
    <s v="DICIEMBRE"/>
  </r>
  <r>
    <n v="2025"/>
    <s v="15/12/2025"/>
    <s v="RMC"/>
    <n v="6408"/>
    <x v="138"/>
    <s v="ABRAZADERA EXOSTO 5&quot;"/>
    <n v="3"/>
    <n v="141000"/>
    <s v="TRANSPORTES Y SERVICIOS TRANSER SAS"/>
    <s v="JONATHAN PAEZ PEDRAZA"/>
    <n v="12"/>
    <s v="DICIEMBRE"/>
  </r>
  <r>
    <n v="2025"/>
    <s v="15/12/2025"/>
    <s v="RMC"/>
    <n v="6408"/>
    <x v="296"/>
    <s v="VALVULA NIVELADORA CABINA EAGLE"/>
    <n v="1"/>
    <n v="227000"/>
    <s v="TRANSPORTES Y SERVICIOS TRANSER SAS"/>
    <s v="JONATHAN PAEZ PEDRAZA"/>
    <n v="12"/>
    <s v="DICIEMBRE"/>
  </r>
  <r>
    <n v="2025"/>
    <s v="15/12/2025"/>
    <s v="RMC"/>
    <n v="6408"/>
    <x v="468"/>
    <s v="KIT EMPAQUETADURA MODULO ROMARCO"/>
    <n v="2"/>
    <n v="172000"/>
    <s v="TRANSPORTES Y SERVICIOS TRANSER SAS"/>
    <s v="JONATHAN PAEZ PEDRAZA"/>
    <n v="12"/>
    <s v="DICIEMBRE"/>
  </r>
  <r>
    <n v="2025"/>
    <s v="15/12/2025"/>
    <s v="RMC"/>
    <n v="6408"/>
    <x v="510"/>
    <s v="RACHE FRENO MEC. 1-1/2&quot;10E"/>
    <n v="1"/>
    <n v="102000"/>
    <s v="TRANSPORTES Y SERVICIOS TRANSER SAS"/>
    <s v="JONATHAN PAEZ PEDRAZA"/>
    <n v="12"/>
    <s v="DICIEMBRE"/>
  </r>
  <r>
    <n v="2025"/>
    <s v="15/12/2025"/>
    <s v="RMC"/>
    <n v="6408"/>
    <x v="274"/>
    <s v="KIT DE RESORTE JGO X 3 EAGLE DELAN/FTL"/>
    <n v="1"/>
    <n v="44000"/>
    <s v="TRANSPORTES Y SERVICIOS TRANSER SAS"/>
    <s v="JONATHAN PAEZ PEDRAZA"/>
    <n v="12"/>
    <s v="DICIEMBRE"/>
  </r>
  <r>
    <n v="2025"/>
    <s v="15/12/2025"/>
    <s v="RMC"/>
    <n v="6408"/>
    <x v="435"/>
    <s v="PORTA RETEN/ BUJE LEVA 1 1/2&quot;FRENO DELAN"/>
    <n v="1"/>
    <n v="55010"/>
    <s v="TRANSPORTES Y SERVICIOS TRANSER SAS"/>
    <s v="JONATHAN PAEZ PEDRAZA"/>
    <n v="12"/>
    <s v="DICIEMBRE"/>
  </r>
  <r>
    <n v="2025"/>
    <s v="15/12/2025"/>
    <s v="RMC"/>
    <n v="6408"/>
    <x v="154"/>
    <s v="KIT DE REP LEVA FREN TRAILER ROMARCO"/>
    <n v="1"/>
    <n v="188000"/>
    <s v="TRANSPORTES Y SERVICIOS TRANSER SAS"/>
    <s v="JONATHAN PAEZ PEDRAZA"/>
    <n v="12"/>
    <s v="DICIEMBRE"/>
  </r>
  <r>
    <n v="2025"/>
    <s v="15/12/2025"/>
    <s v="RMC"/>
    <n v="6408"/>
    <x v="291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5/12/2025"/>
    <s v="RMC"/>
    <n v="6408"/>
    <x v="158"/>
    <s v="TAPA TANQUE ROSCADA  EAGLE NEGRA 15PSI"/>
    <n v="2"/>
    <n v="112000"/>
    <s v="TRANSPORTES Y SERVICIOS TRANSER SAS"/>
    <s v="JONATHAN PAEZ PEDRAZA"/>
    <n v="12"/>
    <s v="DICIEMBRE"/>
  </r>
  <r>
    <n v="2025"/>
    <s v="15/12/2025"/>
    <s v="RMC"/>
    <n v="6408"/>
    <x v="502"/>
    <s v="VALVULA REG CABEZOTE VARILLA CORTA"/>
    <n v="1"/>
    <n v="321000"/>
    <s v="TRANSPORTES Y SERVICIOS TRANSER SAS"/>
    <s v="JONATHAN PAEZ PEDRAZA"/>
    <n v="12"/>
    <s v="DICIEMBRE"/>
  </r>
  <r>
    <n v="2025"/>
    <s v="15/12/2025"/>
    <s v="RMC"/>
    <n v="6408"/>
    <x v="327"/>
    <s v="VALVULA REG CABEZO (TANDEM)KW VARILL LAR"/>
    <n v="1"/>
    <n v="276000"/>
    <s v="TRANSPORTES Y SERVICIOS TRANSER SAS"/>
    <s v="JONATHAN PAEZ PEDRAZA"/>
    <n v="12"/>
    <s v="DICIEMBRE"/>
  </r>
  <r>
    <n v="2025"/>
    <s v="15/12/2025"/>
    <s v="RMC"/>
    <n v="6408"/>
    <x v="412"/>
    <s v="AMORTIGUADOR DELANTERO EAGLE  WORK STAR"/>
    <n v="1"/>
    <n v="215000"/>
    <s v="TRANSPORTES Y SERVICIOS TRANSER SAS"/>
    <s v="JONATHAN PAEZ PEDRAZA"/>
    <n v="12"/>
    <s v="DICIEMBRE"/>
  </r>
  <r>
    <n v="2025"/>
    <s v="15/12/2025"/>
    <s v="RMC"/>
    <n v="6408"/>
    <x v="294"/>
    <s v="HOJA ZETA 46 MLBS"/>
    <n v="1"/>
    <n v="1200000"/>
    <s v="TRANSPORTES Y SERVICIOS TRANSER SAS"/>
    <s v="JONATHAN PAEZ PEDRAZA"/>
    <n v="12"/>
    <s v="DICIEMBRE"/>
  </r>
  <r>
    <n v="2025"/>
    <s v="15/12/2025"/>
    <s v="RMC"/>
    <n v="6408"/>
    <x v="508"/>
    <s v="MANGUERA CAJA 17&quot; CORTA"/>
    <n v="1"/>
    <n v="62000"/>
    <s v="TRANSPORTES Y SERVICIOS TRANSER SAS"/>
    <s v="JONATHAN PAEZ PEDRAZA"/>
    <n v="12"/>
    <s v="DICIEMBRE"/>
  </r>
  <r>
    <n v="2025"/>
    <s v="15/12/2025"/>
    <s v="RMC"/>
    <n v="6408"/>
    <x v="308"/>
    <s v="TAPON IMAN LLENADO ACEITE 1 1/16&quot; CON OR"/>
    <n v="1"/>
    <n v="17500"/>
    <s v="TRANSPORTES Y SERVICIOS TRANSER SAS"/>
    <s v="JONATHAN PAEZ PEDRAZA"/>
    <n v="12"/>
    <s v="DICIEMBRE"/>
  </r>
  <r>
    <n v="2025"/>
    <s v="15/12/2025"/>
    <s v="RMC"/>
    <n v="6408"/>
    <x v="12"/>
    <s v="TAPON IMANTADO TRANSMISION"/>
    <n v="1"/>
    <n v="7000"/>
    <s v="TRANSPORTES Y SERVICIOS TRANSER SAS"/>
    <s v="JONATHAN PAEZ PEDRAZA"/>
    <n v="12"/>
    <s v="DICIEMBRE"/>
  </r>
  <r>
    <n v="2025"/>
    <s v="15/12/2025"/>
    <s v="RMC"/>
    <n v="6408"/>
    <x v="213"/>
    <s v="RETENEDOR DIVISOR 46160"/>
    <n v="1"/>
    <n v="158137"/>
    <s v="TRANSPORTES Y SERVICIOS TRANSER SAS"/>
    <s v="JONATHAN PAEZ PEDRAZA"/>
    <n v="12"/>
    <s v="DICIEMBRE"/>
  </r>
  <r>
    <n v="2025"/>
    <s v="15/12/2025"/>
    <s v="RMC"/>
    <n v="6408"/>
    <x v="439"/>
    <s v="CAUCHO EJE SALIDA 44/46 MLB"/>
    <n v="2"/>
    <n v="5000"/>
    <s v="TRANSPORTES Y SERVICIOS TRANSER SAS"/>
    <s v="JONATHAN PAEZ PEDRAZA"/>
    <n v="12"/>
    <s v="DICIEMBRE"/>
  </r>
  <r>
    <n v="2025"/>
    <s v="15/12/2025"/>
    <s v="RMC"/>
    <n v="6408"/>
    <x v="490"/>
    <s v="TERMINAL 2090 ARM: R230072(1) R230073(1)"/>
    <n v="1"/>
    <n v="290000"/>
    <s v="TRANSPORTES Y SERVICIOS TRANSER SAS"/>
    <s v="JONATHAN PAEZ PEDRAZA"/>
    <n v="12"/>
    <s v="DICIEMBRE"/>
  </r>
  <r>
    <n v="2025"/>
    <s v="15/12/2025"/>
    <s v="RMC"/>
    <n v="6408"/>
    <x v="164"/>
    <s v="SPLINDER 14600 LB BUJE PLAS 9,06&quot; x 1,87"/>
    <n v="1"/>
    <n v="890000"/>
    <s v="TRANSPORTES Y SERVICIOS TRANSER SAS"/>
    <s v="JONATHAN PAEZ PEDRAZA"/>
    <n v="12"/>
    <s v="DICIEMBRE"/>
  </r>
  <r>
    <n v="2025"/>
    <s v="31/07/2025"/>
    <s v="RMC"/>
    <n v="6195"/>
    <x v="357"/>
    <s v="JUEGO SPLINDER 10,39&quot; x 1,79&quot;"/>
    <n v="2"/>
    <n v="1400000"/>
    <s v="IMPOCOMA S.A.S"/>
    <s v="FABIO DAVID FORERO RUIZ"/>
    <n v="7"/>
    <s v="JULIO"/>
  </r>
  <r>
    <n v="2025"/>
    <s v="14/06/2025"/>
    <s v="RMC"/>
    <n v="6110"/>
    <x v="511"/>
    <s v="ROLLO MANILA X 200 MTS Nª 8"/>
    <n v="228"/>
    <n v="233928"/>
    <s v="TRANSPORTES Y SERVICIOS TRANSER SAS"/>
    <s v="JONATHAN PAEZ PEDRAZA"/>
    <n v="6"/>
    <s v="JUNIO"/>
  </r>
  <r>
    <n v="2025"/>
    <s v="23/05/2025"/>
    <s v="RMC"/>
    <n v="6071"/>
    <x v="312"/>
    <s v="CRUCETA 15 1/2&quot; MIXTA S1710 S/GRAPAS"/>
    <n v="1"/>
    <n v="295000"/>
    <s v="TRANSPORTES Y SERVICIOS TRANSER SAS"/>
    <s v="JONATHAN PAEZ PEDRAZA"/>
    <n v="5"/>
    <s v="MAYO"/>
  </r>
  <r>
    <n v="2025"/>
    <s v="23/05/2025"/>
    <s v="RMC"/>
    <n v="6071"/>
    <x v="224"/>
    <s v="JUEGO CHAPETA (JGOX2) SPL170"/>
    <n v="1"/>
    <n v="59000"/>
    <s v="TRANSPORTES Y SERVICIOS TRANSER SAS"/>
    <s v="JONATHAN PAEZ PEDRAZA"/>
    <n v="5"/>
    <s v="MAYO"/>
  </r>
  <r>
    <n v="2025"/>
    <s v="23/05/2025"/>
    <s v="RMC"/>
    <n v="6071"/>
    <x v="69"/>
    <s v="RETENEDOR EJE SALIDA 46160"/>
    <n v="1"/>
    <n v="139142"/>
    <s v="TRANSPORTES Y SERVICIOS TRANSER SAS"/>
    <s v="JONATHAN PAEZ PEDRAZA"/>
    <n v="5"/>
    <s v="MAYO"/>
  </r>
  <r>
    <n v="2025"/>
    <s v="23/05/2025"/>
    <s v="RMC"/>
    <n v="6071"/>
    <x v="16"/>
    <s v="JUEGO CHAPETA CRUCETA 15 1/2&quot; 17 1/2&quot;"/>
    <n v="1"/>
    <n v="22049"/>
    <s v="TRANSPORTES Y SERVICIOS TRANSER SAS"/>
    <s v="JONATHAN PAEZ PEDRAZA"/>
    <n v="5"/>
    <s v="MAYO"/>
  </r>
  <r>
    <n v="2025"/>
    <s v="23/05/2025"/>
    <s v="RMC"/>
    <n v="6071"/>
    <x v="160"/>
    <s v="ARANDELA BUJE TRIFUNCIONAL"/>
    <n v="4"/>
    <n v="252000"/>
    <s v="TRANSPORTES Y SERVICIOS TRANSER SAS"/>
    <s v="JONATHAN PAEZ PEDRAZA"/>
    <n v="5"/>
    <s v="MAYO"/>
  </r>
  <r>
    <n v="2025"/>
    <s v="10/11/2025"/>
    <s v="RMC"/>
    <n v="6354"/>
    <x v="167"/>
    <s v="CONO DE 5/8&quot; CERRADO"/>
    <n v="9"/>
    <n v="49500"/>
    <s v="TRANSPORTES Y SERVICIOS TRANSER SAS"/>
    <s v="JONATHAN PAEZ PEDRAZA"/>
    <n v="11"/>
    <s v="NOVIEMBRE"/>
  </r>
  <r>
    <n v="2025"/>
    <s v="10/11/2025"/>
    <s v="RMC"/>
    <n v="6354"/>
    <x v="275"/>
    <s v="FILTRO  DE AIRE GRIS  ESTÁNDAR TODOS"/>
    <n v="1"/>
    <n v="124000"/>
    <s v="TRANSPORTES Y SERVICIOS TRANSER SAS"/>
    <s v="JONATHAN PAEZ PEDRAZA"/>
    <n v="11"/>
    <s v="NOVIEMBRE"/>
  </r>
  <r>
    <n v="2025"/>
    <s v="10/11/2025"/>
    <s v="RMC"/>
    <n v="6354"/>
    <x v="293"/>
    <s v="CORBATIN SUSPENSION NEUMATICA KENWORTH"/>
    <n v="7"/>
    <n v="840000"/>
    <s v="TRANSPORTES Y SERVICIOS TRANSER SAS"/>
    <s v="JONATHAN PAEZ PEDRAZA"/>
    <n v="11"/>
    <s v="NOVIEMBRE"/>
  </r>
  <r>
    <n v="2025"/>
    <s v="10/11/2025"/>
    <s v="RMC"/>
    <n v="6354"/>
    <x v="236"/>
    <s v="REGISTRO PASO COMBUSTIBLE CUMMINS 350/40"/>
    <n v="1"/>
    <n v="49000"/>
    <s v="TRANSPORTES Y SERVICIOS TRANSER SAS"/>
    <s v="JONATHAN PAEZ PEDRAZA"/>
    <n v="11"/>
    <s v="NOVIEMBRE"/>
  </r>
  <r>
    <n v="2025"/>
    <s v="10/11/2025"/>
    <s v="RMC"/>
    <n v="6354"/>
    <x v="283"/>
    <s v="BOLSA TAN 10.12ANx6.20CCx22AL+1T"/>
    <n v="1"/>
    <n v="460000"/>
    <s v="TRANSPORTES Y SERVICIOS TRANSER SAS"/>
    <s v="JONATHAN PAEZ PEDRAZA"/>
    <n v="11"/>
    <s v="NOVIEMBRE"/>
  </r>
  <r>
    <n v="2025"/>
    <s v="13/12/2025"/>
    <s v="RMC"/>
    <n v="6407"/>
    <x v="512"/>
    <s v="TENSOR DE CORREA VENTILADOR DAF 480"/>
    <n v="1"/>
    <n v="274620"/>
    <s v="COMERCIALIZADORA DE REPUESTOS M&amp;C SAS"/>
    <s v="DANNY ENRIQUE PACHON ROCHA"/>
    <n v="12"/>
    <s v="DICIEMBRE"/>
  </r>
  <r>
    <n v="2025"/>
    <s v="13/12/2025"/>
    <s v="RMC"/>
    <n v="6407"/>
    <x v="513"/>
    <s v="POLEA TENSORA PARA TENSOR DE MOTOR DD13"/>
    <n v="1"/>
    <n v="138552"/>
    <s v="COMERCIALIZADORA DE REPUESTOS M&amp;C SAS"/>
    <s v="DANNY ENRIQUE PACHON ROCHA"/>
    <n v="12"/>
    <s v="DICIEMBRE"/>
  </r>
  <r>
    <n v="2025"/>
    <s v="13/12/2025"/>
    <s v="RMC"/>
    <n v="6407"/>
    <x v="514"/>
    <s v="CORREA ACANAL P/ALTERN KENWORTH T660/700/800 2010-2011 12 CANALES"/>
    <n v="1"/>
    <n v="88044"/>
    <s v="COMERCIALIZADORA DE REPUESTOS M&amp;C SAS"/>
    <s v="DANNY ENRIQUE PACHON ROCHA"/>
    <n v="12"/>
    <s v="DICIEMBRE"/>
  </r>
  <r>
    <n v="2025"/>
    <s v="13/12/2025"/>
    <s v="RMC"/>
    <n v="6407"/>
    <x v="515"/>
    <s v="CORREA ACANALADA P/ALTERNADOR PRINCIPAL PROSTAR"/>
    <n v="1"/>
    <n v="88044"/>
    <s v="COMERCIALIZADORA DE REPUESTOS M&amp;C SAS"/>
    <s v="DANNY ENRIQUE PACHON ROCHA"/>
    <n v="12"/>
    <s v="DICIEMBRE"/>
  </r>
  <r>
    <n v="2025"/>
    <s v="13/12/2025"/>
    <s v="RMC"/>
    <n v="6407"/>
    <x v="516"/>
    <s v="CORREA ACANALADA POLY-V (REMPLAZO CORREA AUXILIAR) PARA MOTOR CUMMINS ISX, KW Y VOLVO SERIES VN 2003-13 / VOLVO SERIE VT 2006-10"/>
    <n v="1"/>
    <n v="81254.399999999994"/>
    <s v="COMERCIALIZADORA DE REPUESTOS M&amp;C SAS"/>
    <s v="DANNY ENRIQUE PACHON ROCHA"/>
    <n v="12"/>
    <s v="DICIEMBRE"/>
  </r>
  <r>
    <n v="2025"/>
    <s v="13/12/2025"/>
    <s v="RMC"/>
    <n v="6407"/>
    <x v="517"/>
    <s v="TENSOR PARA NEW CASCADIA DD13"/>
    <n v="1"/>
    <n v="876040.56"/>
    <s v="COMERCIALIZADORA DE REPUESTOS M&amp;C SAS"/>
    <s v="DANNY ENRIQUE PACHON ROCHA"/>
    <n v="12"/>
    <s v="DICIEMBRE"/>
  </r>
  <r>
    <n v="2025"/>
    <s v="13/12/2025"/>
    <s v="RMC"/>
    <n v="6407"/>
    <x v="518"/>
    <s v="CORREA ACANALADA PARA ALTERNADOR KENWORTH T660/700/800 2010-2011"/>
    <n v="1"/>
    <n v="90452.56"/>
    <s v="COMERCIALIZADORA DE REPUESTOS M&amp;C SAS"/>
    <s v="DANNY ENRIQUE PACHON ROCHA"/>
    <n v="12"/>
    <s v="DICIEMBRE"/>
  </r>
  <r>
    <n v="2025"/>
    <s v="13/12/2025"/>
    <s v="RMC"/>
    <n v="6407"/>
    <x v="519"/>
    <s v="CORREA AIRE ACONDICIONADO KW MOTOR ISX"/>
    <n v="1"/>
    <n v="32964.519999999997"/>
    <s v="COMERCIALIZADORA DE REPUESTOS M&amp;C SAS"/>
    <s v="DANNY ENRIQUE PACHON ROCHA"/>
    <n v="12"/>
    <s v="DICIEMBRE"/>
  </r>
  <r>
    <n v="2025"/>
    <s v="13/12/2025"/>
    <s v="RMC"/>
    <n v="6407"/>
    <x v="520"/>
    <s v="TENSOR CORREA VENTILADOR KW T800 T2000 T600 W900 INT 9100-9200-9400-9900 FTL CL120 ISX TODAS P/89102 CAMIONES VOLVO SERIE VN MOTOR CUMMINS ISX"/>
    <n v="1"/>
    <n v="227400.08"/>
    <s v="COMERCIALIZADORA DE REPUESTOS M&amp;C SAS"/>
    <s v="DANNY ENRIQUE PACHON ROCHA"/>
    <n v="12"/>
    <s v="DICIEMBRE"/>
  </r>
  <r>
    <n v="2025"/>
    <s v="13/12/2025"/>
    <s v="RMC"/>
    <n v="6407"/>
    <x v="521"/>
    <s v="TENSOR CORREA CON MOTOR SERIE 60,FREIGHTLINER Y COLUMBIA"/>
    <n v="1"/>
    <n v="345328.44"/>
    <s v="COMERCIALIZADORA DE REPUESTOS M&amp;C SAS"/>
    <s v="DANNY ENRIQUE PACHON ROCHA"/>
    <n v="12"/>
    <s v="DICIEMBRE"/>
  </r>
  <r>
    <n v="2025"/>
    <s v="13/12/2025"/>
    <s v="RMC"/>
    <n v="6407"/>
    <x v="522"/>
    <s v="TENSOR CORREA ACANALADA FREIGHTLINER/ KW CON MOTOR ISC/ISB TIPO NUEVO"/>
    <n v="1"/>
    <n v="221591.2"/>
    <s v="COMERCIALIZADORA DE REPUESTOS M&amp;C SAS"/>
    <s v="DANNY ENRIQUE PACHON ROCHA"/>
    <n v="12"/>
    <s v="DICIEMBRE"/>
  </r>
  <r>
    <n v="2025"/>
    <s v="13/12/2025"/>
    <s v="RMC"/>
    <n v="6407"/>
    <x v="523"/>
    <s v="CORREA AIRE ACONDICIONADO ACANALADA P/ALTERN . EAGLE Y PROSTAR INTERNATIONAL PAYSTAR MOD.08-12, A.A. INTERNATIONAL PROSTAR MOTOR CUMMINS ISX MOD.2014 6 CANALES"/>
    <n v="1"/>
    <n v="31356.36"/>
    <s v="COMERCIALIZADORA DE REPUESTOS M&amp;C SAS"/>
    <s v="DANNY ENRIQUE PACHON ROCHA"/>
    <n v="12"/>
    <s v="DICIEMBRE"/>
  </r>
  <r>
    <n v="2025"/>
    <s v="13/12/2025"/>
    <s v="RMC"/>
    <n v="6407"/>
    <x v="524"/>
    <s v="CORREA A/A INTERNATIONAL"/>
    <n v="1"/>
    <n v="34170.639999999999"/>
    <s v="COMERCIALIZADORA DE REPUESTOS M&amp;C SAS"/>
    <s v="DANNY ENRIQUE PACHON ROCHA"/>
    <n v="12"/>
    <s v="DICIEMBRE"/>
  </r>
  <r>
    <n v="2025"/>
    <s v="13/12/2025"/>
    <s v="RMC"/>
    <n v="6407"/>
    <x v="525"/>
    <s v="TENSOR CORREA FREIGTLINER MOTOR MERCEDES"/>
    <n v="1"/>
    <n v="231155.52"/>
    <s v="COMERCIALIZADORA DE REPUESTOS M&amp;C SAS"/>
    <s v="DANNY ENRIQUE PACHON ROCHA"/>
    <n v="12"/>
    <s v="DICIEMBRE"/>
  </r>
  <r>
    <n v="2025"/>
    <s v="13/12/2025"/>
    <s v="RMC"/>
    <n v="6407"/>
    <x v="526"/>
    <s v="TENSOR CORREA PARA MOTOR CATERPILAR C15 INTERNATIONAL 7600 ISM PARA USAR CON CORREA 8PK"/>
    <n v="1"/>
    <n v="271560.08"/>
    <s v="COMERCIALIZADORA DE REPUESTOS M&amp;C SAS"/>
    <s v="DANNY ENRIQUE PACHON ROCHA"/>
    <n v="12"/>
    <s v="DICIEMBRE"/>
  </r>
  <r>
    <n v="2025"/>
    <s v="30/12/2025"/>
    <s v="RMC"/>
    <n v="6427"/>
    <x v="301"/>
    <s v="TAPA CARCASA MONO 14718/918"/>
    <n v="3"/>
    <n v="749325"/>
    <s v="CEMEX COLOMBIA S.A."/>
    <s v="YASMID DEL PILAR URIBE DELGADO"/>
    <n v="12"/>
    <s v="DICIEMBRE"/>
  </r>
  <r>
    <n v="2025"/>
    <s v="30/12/2025"/>
    <s v="RMC"/>
    <n v="6427"/>
    <x v="316"/>
    <s v="ARANDELA EST INT CDIZO- BLANCA // 249MM"/>
    <n v="4"/>
    <n v="140000"/>
    <s v="CEMEX COLOMBIA S.A."/>
    <s v="YASMID DEL PILAR URIBE DELGADO"/>
    <n v="12"/>
    <s v="DICIEMBRE"/>
  </r>
  <r>
    <n v="2025"/>
    <s v="30/12/2025"/>
    <s v="RMC"/>
    <n v="6427"/>
    <x v="306"/>
    <s v="PIÑON DEL BAJO 16918"/>
    <n v="4"/>
    <n v="1240000"/>
    <s v="CEMEX COLOMBIA S.A."/>
    <s v="YASMID DEL PILAR URIBE DELGADO"/>
    <n v="12"/>
    <s v="DICIEMBRE"/>
  </r>
  <r>
    <n v="2025"/>
    <s v="30/12/2025"/>
    <s v="RMC"/>
    <n v="6427"/>
    <x v="388"/>
    <s v="CORREA ACANAL P/ALTERN POLY-V. MACK2005,KENWORTH2003MOTOR CUMMINS T800MOTOR ROJO"/>
    <n v="3"/>
    <n v="180000"/>
    <s v="CEMEX COLOMBIA S.A."/>
    <s v="YASMID DEL PILAR URIBE DELGADO"/>
    <n v="12"/>
    <s v="DICIEMBRE"/>
  </r>
  <r>
    <n v="2025"/>
    <s v="30/12/2025"/>
    <s v="RMC"/>
    <n v="6427"/>
    <x v="315"/>
    <s v="PIÑON 1RA CDIZO 918"/>
    <n v="4"/>
    <n v="1052000"/>
    <s v="CEMEX COLOMBIA S.A."/>
    <s v="YASMID DEL PILAR URIBE DELGADO"/>
    <n v="12"/>
    <s v="DICIEMBRE"/>
  </r>
  <r>
    <n v="2025"/>
    <s v="30/12/2025"/>
    <s v="RMC"/>
    <n v="6427"/>
    <x v="304"/>
    <s v="ARANDELA TORNILLO PUNTA EJE MONO 918"/>
    <n v="4"/>
    <n v="252000"/>
    <s v="CEMEX COLOMBIA S.A."/>
    <s v="YASMID DEL PILAR URIBE DELGADO"/>
    <n v="12"/>
    <s v="DICIEMBRE"/>
  </r>
  <r>
    <n v="2025"/>
    <s v="30/12/2025"/>
    <s v="RMC"/>
    <n v="6427"/>
    <x v="456"/>
    <s v="RETENEDOR DIVISOR 46160"/>
    <n v="8"/>
    <n v="784000"/>
    <s v="CEMEX COLOMBIA S.A."/>
    <s v="YASMID DEL PILAR URIBE DELGADO"/>
    <n v="12"/>
    <s v="DICIEMBRE"/>
  </r>
  <r>
    <n v="2025"/>
    <s v="30/12/2025"/>
    <s v="RMC"/>
    <n v="6427"/>
    <x v="299"/>
    <s v="PIÑON EJE DE TOMA 16918"/>
    <n v="4"/>
    <n v="1939072"/>
    <s v="CEMEX COLOMBIA S.A."/>
    <s v="YASMID DEL PILAR URIBE DELGADO"/>
    <n v="12"/>
    <s v="DICIEMBRE"/>
  </r>
  <r>
    <n v="2025"/>
    <s v="30/12/2025"/>
    <s v="RMC"/>
    <n v="6427"/>
    <x v="217"/>
    <s v="PIÑON 4TA CDIZO 16918"/>
    <n v="4"/>
    <n v="1380000"/>
    <s v="CEMEX COLOMBIA S.A."/>
    <s v="YASMID DEL PILAR URIBE DELGADO"/>
    <n v="12"/>
    <s v="DICIEMBRE"/>
  </r>
  <r>
    <n v="2025"/>
    <s v="30/12/2025"/>
    <s v="RMC"/>
    <n v="6427"/>
    <x v="307"/>
    <s v="ARANDELA LISA PLANA PIÑON MONO 1795"/>
    <n v="1"/>
    <n v="117600"/>
    <s v="CEMEX COLOMBIA S.A."/>
    <s v="YASMID DEL PILAR URIBE DELGADO"/>
    <n v="12"/>
    <s v="DICIEMBRE"/>
  </r>
  <r>
    <n v="2025"/>
    <s v="30/12/2025"/>
    <s v="RMC"/>
    <n v="6427"/>
    <x v="344"/>
    <s v="TORRE MONO  14/1618/918"/>
    <n v="1"/>
    <n v="1243782"/>
    <s v="CEMEX COLOMBIA S.A."/>
    <s v="YASMID DEL PILAR URIBE DELGADO"/>
    <n v="12"/>
    <s v="DICIEMBRE"/>
  </r>
  <r>
    <n v="2025"/>
    <s v="07/07/2025"/>
    <s v="RMC"/>
    <n v="6142"/>
    <x v="527"/>
    <s v="RETENEDOR CIGÜEÑAL DELANTERO DETROIT"/>
    <n v="1"/>
    <n v="291000"/>
    <s v="TRANSPORTES Y SERVICIOS TRANSER SAS"/>
    <s v="JONATHAN PAEZ PEDRAZA"/>
    <n v="7"/>
    <s v="JULIO"/>
  </r>
  <r>
    <n v="2025"/>
    <s v="07/07/2025"/>
    <s v="RMC"/>
    <n v="6142"/>
    <x v="238"/>
    <s v="VENTILADOR 32x2,5 x 11"/>
    <n v="1"/>
    <n v="500000"/>
    <s v="TRANSPORTES Y SERVICIOS TRANSER SAS"/>
    <s v="JONATHAN PAEZ PEDRAZA"/>
    <n v="7"/>
    <s v="JULIO"/>
  </r>
  <r>
    <n v="2025"/>
    <s v="21/07/2025"/>
    <s v="RMC"/>
    <n v="6176"/>
    <x v="82"/>
    <s v="RODILLO TORRE MONO 918"/>
    <n v="1"/>
    <n v="105000"/>
    <s v="TRANSPORTES Y SERVICIOS TRANSER SAS"/>
    <s v="JONATHAN PAEZ PEDRAZA"/>
    <n v="7"/>
    <s v="JULIO"/>
  </r>
  <r>
    <n v="2025"/>
    <s v="12/05/2025"/>
    <s v="RMC"/>
    <n v="6049"/>
    <x v="360"/>
    <s v="RODILLO DOBLE PIÑON DEL BAJO 14718"/>
    <n v="1"/>
    <n v="300000"/>
    <s v="TRANSPORTES Y SERVICIOS TRANSER SAS"/>
    <s v="JONATHAN PAEZ PEDRAZA"/>
    <n v="5"/>
    <s v="MAYO"/>
  </r>
  <r>
    <n v="2025"/>
    <s v="10/07/2025"/>
    <s v="RMC"/>
    <n v="6147"/>
    <x v="163"/>
    <s v="BUJE SPLINDER R1309"/>
    <n v="2"/>
    <n v="56000"/>
    <s v="TRANSPORTES Y SERVICIOS TRANSER SAS"/>
    <s v="JONATHAN PAEZ PEDRAZA"/>
    <n v="7"/>
    <s v="JULIO"/>
  </r>
  <r>
    <n v="2025"/>
    <s v="10/07/2025"/>
    <s v="RMC"/>
    <n v="6147"/>
    <x v="45"/>
    <s v="RETENEDOR SPEED 46160"/>
    <n v="1"/>
    <n v="148635"/>
    <s v="TRANSPORTES Y SERVICIOS TRANSER SAS"/>
    <s v="JONATHAN PAEZ PEDRAZA"/>
    <n v="7"/>
    <s v="JULIO"/>
  </r>
  <r>
    <n v="2025"/>
    <s v="10/07/2025"/>
    <s v="RMC"/>
    <n v="6147"/>
    <x v="259"/>
    <s v="JUEGO CHAPETA SPL250 (JGOX6)"/>
    <n v="1"/>
    <n v="55000"/>
    <s v="TRANSPORTES Y SERVICIOS TRANSER SAS"/>
    <s v="JONATHAN PAEZ PEDRAZA"/>
    <n v="7"/>
    <s v="JULIO"/>
  </r>
  <r>
    <n v="2026"/>
    <s v="06/01/2026"/>
    <s v="RMC"/>
    <n v="6434"/>
    <x v="118"/>
    <s v="ARANDELA CONCENTRICA ALINEACION BRONCE"/>
    <n v="4"/>
    <n v="304464"/>
    <s v="EMPRESA DE DISTRIBUCIONES INDUSTRIALES S.A.S."/>
    <s v="WILLIAM DUVAN REYES DIAZ"/>
    <n v="1"/>
    <s v="ENERO"/>
  </r>
  <r>
    <n v="2026"/>
    <s v="06/01/2026"/>
    <s v="RMC"/>
    <n v="6434"/>
    <x v="161"/>
    <s v="ARANDELA EXCENTRICA ALINEACION BRONCE"/>
    <n v="2"/>
    <n v="152232"/>
    <s v="EMPRESA DE DISTRIBUCIONES INDUSTRIALES S.A.S."/>
    <s v="WILLIAM DUVAN REYES DIAZ"/>
    <n v="1"/>
    <s v="ENERO"/>
  </r>
  <r>
    <n v="2026"/>
    <s v="08/01/2026"/>
    <s v="RMC"/>
    <n v="6438"/>
    <x v="528"/>
    <s v="BUJE QUINTA RUEDA HOLLAND - NUEVA"/>
    <n v="4"/>
    <n v="164000"/>
    <s v="TRANSPORTES Y SERVICIOS TRANSER SAS"/>
    <s v="JONATHAN PAEZ PEDRAZA"/>
    <n v="1"/>
    <s v="ENERO"/>
  </r>
  <r>
    <n v="2026"/>
    <s v="08/01/2026"/>
    <s v="RMC"/>
    <n v="6438"/>
    <x v="394"/>
    <s v="KIT REPARACION PISTON + ANILLOS + BIELA"/>
    <n v="1"/>
    <n v="384000"/>
    <s v="TRANSPORTES Y SERVICIOS TRANSER SAS"/>
    <s v="JONATHAN PAEZ PEDRAZA"/>
    <n v="1"/>
    <s v="ENERO"/>
  </r>
  <r>
    <n v="2026"/>
    <s v="08/01/2026"/>
    <s v="RMC"/>
    <n v="6438"/>
    <x v="240"/>
    <s v="EMPAQUETADURA CULATA COMPL P/COMPRESO"/>
    <n v="1"/>
    <n v="407000"/>
    <s v="TRANSPORTES Y SERVICIOS TRANSER SAS"/>
    <s v="JONATHAN PAEZ PEDRAZA"/>
    <n v="1"/>
    <s v="ENERO"/>
  </r>
  <r>
    <n v="2026"/>
    <s v="08/01/2026"/>
    <s v="RMC"/>
    <n v="6438"/>
    <x v="170"/>
    <s v="BUJE COMPRESOR ALTO ISX"/>
    <n v="1"/>
    <n v="95000"/>
    <s v="TRANSPORTES Y SERVICIOS TRANSER SAS"/>
    <s v="JONATHAN PAEZ PEDRAZA"/>
    <n v="1"/>
    <s v="ENERO"/>
  </r>
  <r>
    <n v="2026"/>
    <s v="08/01/2026"/>
    <s v="RMC"/>
    <n v="6438"/>
    <x v="219"/>
    <s v="RACHE FRENO MEC. 1-1/2&quot;28E"/>
    <n v="2"/>
    <n v="164000"/>
    <s v="TRANSPORTES Y SERVICIOS TRANSER SAS"/>
    <s v="JONATHAN PAEZ PEDRAZA"/>
    <n v="1"/>
    <s v="ENERO"/>
  </r>
  <r>
    <n v="2026"/>
    <s v="08/01/2026"/>
    <s v="RMC"/>
    <n v="6438"/>
    <x v="386"/>
    <s v="KIT REPAR RODAJAS Y RESORT FRENO KW ETN"/>
    <n v="1"/>
    <n v="30000"/>
    <s v="TRANSPORTES Y SERVICIOS TRANSER SAS"/>
    <s v="JONATHAN PAEZ PEDRAZA"/>
    <n v="1"/>
    <s v="ENERO"/>
  </r>
  <r>
    <n v="2026"/>
    <s v="08/01/2026"/>
    <s v="RMC"/>
    <n v="6438"/>
    <x v="529"/>
    <s v="VENTILADOR 30X2,5X9"/>
    <n v="1"/>
    <n v="350000"/>
    <s v="TRANSPORTES Y SERVICIOS TRANSER SAS"/>
    <s v="JONATHAN PAEZ PEDRAZA"/>
    <n v="1"/>
    <s v="ENERO"/>
  </r>
  <r>
    <n v="2026"/>
    <s v="08/01/2026"/>
    <s v="RMC"/>
    <n v="6438"/>
    <x v="158"/>
    <s v="TAPA TANQUE ROSCADA  EAGLE NEGRA 15PSI"/>
    <n v="1"/>
    <n v="56000"/>
    <s v="TRANSPORTES Y SERVICIOS TRANSER SAS"/>
    <s v="JONATHAN PAEZ PEDRAZA"/>
    <n v="1"/>
    <s v="ENERO"/>
  </r>
  <r>
    <n v="2026"/>
    <s v="08/01/2026"/>
    <s v="RMC"/>
    <n v="6438"/>
    <x v="410"/>
    <s v="BALINERA FAN CLUTCH ADVANTAGE-SOLA"/>
    <n v="1"/>
    <n v="708000"/>
    <s v="TRANSPORTES Y SERVICIOS TRANSER SAS"/>
    <s v="JONATHAN PAEZ PEDRAZA"/>
    <n v="1"/>
    <s v="ENERO"/>
  </r>
  <r>
    <n v="2026"/>
    <s v="08/01/2026"/>
    <s v="RMC"/>
    <n v="6438"/>
    <x v="225"/>
    <s v="KIT DE REPARACION MENOR DRIVE MASTER"/>
    <n v="1"/>
    <n v="475000"/>
    <s v="TRANSPORTES Y SERVICIOS TRANSER SAS"/>
    <s v="JONATHAN PAEZ PEDRAZA"/>
    <n v="1"/>
    <s v="ENERO"/>
  </r>
  <r>
    <n v="2026"/>
    <s v="08/01/2026"/>
    <s v="RMC"/>
    <n v="6438"/>
    <x v="530"/>
    <s v="KIT DE REPARACION MAYOR HTS 9 1/2&quot;"/>
    <n v="1"/>
    <n v="1720000"/>
    <s v="TRANSPORTES Y SERVICIOS TRANSER SAS"/>
    <s v="JONATHAN PAEZ PEDRAZA"/>
    <n v="1"/>
    <s v="ENERO"/>
  </r>
  <r>
    <n v="2026"/>
    <s v="08/01/2026"/>
    <s v="RMC"/>
    <n v="6438"/>
    <x v="239"/>
    <s v="TORNILLO SILLÍN 10 1/2&quot;"/>
    <n v="1"/>
    <n v="61000"/>
    <s v="TRANSPORTES Y SERVICIOS TRANSER SAS"/>
    <s v="JONATHAN PAEZ PEDRAZA"/>
    <n v="1"/>
    <s v="ENERO"/>
  </r>
  <r>
    <n v="2026"/>
    <s v="08/01/2026"/>
    <s v="RMC"/>
    <n v="6438"/>
    <x v="314"/>
    <s v="TUERCA SILLIN"/>
    <n v="1"/>
    <n v="18000"/>
    <s v="TRANSPORTES Y SERVICIOS TRANSER SAS"/>
    <s v="JONATHAN PAEZ PEDRAZA"/>
    <n v="1"/>
    <s v="ENERO"/>
  </r>
  <r>
    <n v="2026"/>
    <s v="08/01/2026"/>
    <s v="RMC"/>
    <n v="6438"/>
    <x v="448"/>
    <s v="BOLSA TRA10.62ANx7.75CEx19.25AL+7.88D+4T"/>
    <n v="1"/>
    <n v="483000"/>
    <s v="TRANSPORTES Y SERVICIOS TRANSER SAS"/>
    <s v="JONATHAN PAEZ PEDRAZA"/>
    <n v="1"/>
    <s v="ENERO"/>
  </r>
  <r>
    <n v="2026"/>
    <s v="08/01/2026"/>
    <s v="RMC"/>
    <n v="6438"/>
    <x v="283"/>
    <s v="BOLSA TAN 10.12ANx6.20CCx22AL+1T"/>
    <n v="1"/>
    <n v="460000"/>
    <s v="TRANSPORTES Y SERVICIOS TRANSER SAS"/>
    <s v="JONATHAN PAEZ PEDRAZA"/>
    <n v="1"/>
    <s v="ENERO"/>
  </r>
  <r>
    <n v="2026"/>
    <s v="08/01/2026"/>
    <s v="RMC"/>
    <n v="6438"/>
    <x v="428"/>
    <s v="PASADOR MUELLE"/>
    <n v="1"/>
    <n v="98000"/>
    <s v="TRANSPORTES Y SERVICIOS TRANSER SAS"/>
    <s v="JONATHAN PAEZ PEDRAZA"/>
    <n v="1"/>
    <s v="ENERO"/>
  </r>
  <r>
    <n v="2026"/>
    <s v="08/01/2026"/>
    <s v="RMC"/>
    <n v="6438"/>
    <x v="271"/>
    <s v="BUJE MUELLE SUSPENSION 1 3/8 TPK"/>
    <n v="1"/>
    <n v="30000"/>
    <s v="TRANSPORTES Y SERVICIOS TRANSER SAS"/>
    <s v="JONATHAN PAEZ PEDRAZA"/>
    <n v="1"/>
    <s v="ENERO"/>
  </r>
  <r>
    <n v="2026"/>
    <s v="08/01/2026"/>
    <s v="RMC"/>
    <n v="6438"/>
    <x v="328"/>
    <s v="CRUCETA 6,417 (6&quot;13/32 APROX)DADO 2362&quot;"/>
    <n v="1"/>
    <n v="530000"/>
    <s v="TRANSPORTES Y SERVICIOS TRANSER SAS"/>
    <s v="JONATHAN PAEZ PEDRAZA"/>
    <n v="1"/>
    <s v="ENERO"/>
  </r>
  <r>
    <n v="2026"/>
    <s v="08/01/2026"/>
    <s v="RMC"/>
    <n v="6438"/>
    <x v="351"/>
    <s v="CRUCETA 6,456 DADO 2165 (2 5/32&quot; APROX)"/>
    <n v="1"/>
    <n v="460000"/>
    <s v="TRANSPORTES Y SERVICIOS TRANSER SAS"/>
    <s v="JONATHAN PAEZ PEDRAZA"/>
    <n v="1"/>
    <s v="ENERO"/>
  </r>
  <r>
    <n v="2026"/>
    <s v="08/01/2026"/>
    <s v="RMC"/>
    <n v="6438"/>
    <x v="509"/>
    <s v="KIT EMPAQUES REPAR A 6915"/>
    <n v="1"/>
    <n v="98000"/>
    <s v="TRANSPORTES Y SERVICIOS TRANSER SAS"/>
    <s v="JONATHAN PAEZ PEDRAZA"/>
    <n v="1"/>
    <s v="ENERO"/>
  </r>
  <r>
    <n v="2026"/>
    <s v="08/01/2026"/>
    <s v="RMC"/>
    <n v="6438"/>
    <x v="322"/>
    <s v="CAUCHO TAPA DIVISOR"/>
    <n v="2"/>
    <n v="34000"/>
    <s v="TRANSPORTES Y SERVICIOS TRANSER SAS"/>
    <s v="JONATHAN PAEZ PEDRAZA"/>
    <n v="1"/>
    <s v="ENERO"/>
  </r>
  <r>
    <n v="2026"/>
    <s v="08/01/2026"/>
    <s v="RMC"/>
    <n v="6438"/>
    <x v="167"/>
    <s v="CONO DE 5/8&quot; CERRADO"/>
    <n v="16"/>
    <n v="88000"/>
    <s v="TRANSPORTES Y SERVICIOS TRANSER SAS"/>
    <s v="JONATHAN PAEZ PEDRAZA"/>
    <n v="1"/>
    <s v="ENERO"/>
  </r>
  <r>
    <n v="2026"/>
    <s v="08/01/2026"/>
    <s v="RMC"/>
    <n v="6438"/>
    <x v="398"/>
    <s v="TAPA NEGRA DEFENDER  PASTA 5 1/2&quot; GRANDE"/>
    <n v="1"/>
    <n v="64000"/>
    <s v="TRANSPORTES Y SERVICIOS TRANSER SAS"/>
    <s v="JONATHAN PAEZ PEDRAZA"/>
    <n v="1"/>
    <s v="ENERO"/>
  </r>
  <r>
    <n v="2026"/>
    <s v="08/01/2026"/>
    <s v="RMC"/>
    <n v="6438"/>
    <x v="222"/>
    <s v="TAPA NEGRA DEFENDER PASTA 4 1/2 &quot; PEQUEÑ"/>
    <n v="1"/>
    <n v="66000"/>
    <s v="TRANSPORTES Y SERVICIOS TRANSER SAS"/>
    <s v="JONATHAN PAEZ PEDRAZA"/>
    <n v="1"/>
    <s v="ENERO"/>
  </r>
  <r>
    <n v="2026"/>
    <s v="08/01/2026"/>
    <s v="RMC"/>
    <n v="6439"/>
    <x v="381"/>
    <s v="AMORTIGUADOR TRAILER TRASERO. RANDOM (G)"/>
    <n v="2"/>
    <n v="762000"/>
    <s v="TRANSPORTES Y SERVICIOS TRANSER SAS"/>
    <s v="JONATHAN PAEZ PEDRAZA"/>
    <n v="1"/>
    <s v="ENERO"/>
  </r>
  <r>
    <n v="2026"/>
    <s v="08/01/2026"/>
    <s v="RMC"/>
    <n v="6439"/>
    <x v="508"/>
    <s v="MANGUERA CAJA 17&quot; CORTA"/>
    <n v="1"/>
    <n v="62000"/>
    <s v="TRANSPORTES Y SERVICIOS TRANSER SAS"/>
    <s v="JONATHAN PAEZ PEDRAZA"/>
    <n v="1"/>
    <s v="ENERO"/>
  </r>
  <r>
    <n v="2026"/>
    <s v="09/01/2026"/>
    <s v="RMC"/>
    <n v="6440"/>
    <x v="478"/>
    <s v="RETEN SPEED 46.000 LBS C/ Y SIN BAJO"/>
    <n v="1"/>
    <n v="132000"/>
    <s v="TRANSPORTES Y SERVICIOS TRANSER SAS"/>
    <s v="JONATHAN PAEZ PEDRAZA"/>
    <n v="1"/>
    <s v="ENERO"/>
  </r>
  <r>
    <n v="2026"/>
    <s v="09/01/2026"/>
    <s v="RMC"/>
    <n v="6440"/>
    <x v="446"/>
    <s v="RODILLO DEL SPEED DS/DP 46ML TIPO FIJO"/>
    <n v="1"/>
    <n v="391000"/>
    <s v="TRANSPORTES Y SERVICIOS TRANSER SAS"/>
    <s v="JONATHAN PAEZ PEDRAZA"/>
    <n v="1"/>
    <s v="ENERO"/>
  </r>
  <r>
    <n v="2026"/>
    <s v="09/01/2026"/>
    <s v="RMC"/>
    <n v="6440"/>
    <x v="531"/>
    <s v="SET ROD Y PISTA  EJE SALIDA PLANA C/BAJ"/>
    <n v="1"/>
    <n v="263000"/>
    <s v="TRANSPORTES Y SERVICIOS TRANSER SAS"/>
    <s v="JONATHAN PAEZ PEDRAZA"/>
    <n v="1"/>
    <s v="ENERO"/>
  </r>
  <r>
    <n v="2026"/>
    <s v="09/01/2026"/>
    <s v="RMC"/>
    <n v="6440"/>
    <x v="447"/>
    <s v="SET EJE DIV PLANA/C BAJO (JM511946/JM51"/>
    <n v="1"/>
    <n v="160000"/>
    <s v="TRANSPORTES Y SERVICIOS TRANSER SAS"/>
    <s v="JONATHAN PAEZ PEDRAZA"/>
    <n v="1"/>
    <s v="ENERO"/>
  </r>
  <r>
    <n v="2026"/>
    <s v="09/01/2026"/>
    <s v="RMC"/>
    <n v="6440"/>
    <x v="402"/>
    <s v="RETEN EJE DE SALIDA DP46"/>
    <n v="1"/>
    <n v="128000"/>
    <s v="TRANSPORTES Y SERVICIOS TRANSER SAS"/>
    <s v="JONATHAN PAEZ PEDRAZA"/>
    <n v="1"/>
    <s v="ENERO"/>
  </r>
  <r>
    <n v="2026"/>
    <s v="09/01/2026"/>
    <s v="RMC"/>
    <n v="6440"/>
    <x v="403"/>
    <s v="RETEN EJE DIVISOR 46ML C/BAJO Y PLANO"/>
    <n v="1"/>
    <n v="155000"/>
    <s v="TRANSPORTES Y SERVICIOS TRANSER SAS"/>
    <s v="JONATHAN PAEZ PEDRAZA"/>
    <n v="1"/>
    <s v="ENERO"/>
  </r>
  <r>
    <n v="2026"/>
    <s v="09/01/2026"/>
    <s v="RMC"/>
    <n v="6440"/>
    <x v="457"/>
    <s v="RETEN CON TUERCA EJE DIV Y SPEED (JGOX3)"/>
    <n v="1"/>
    <n v="167000"/>
    <s v="TRANSPORTES Y SERVICIOS TRANSER SAS"/>
    <s v="JONATHAN PAEZ PEDRAZA"/>
    <n v="1"/>
    <s v="ENERO"/>
  </r>
  <r>
    <n v="2026"/>
    <s v="09/01/2026"/>
    <s v="RMC"/>
    <n v="6440"/>
    <x v="451"/>
    <s v="KIT DE PIÑONES BOMBA DE ACEITE DP/DS 461"/>
    <n v="1"/>
    <n v="335000"/>
    <s v="TRANSPORTES Y SERVICIOS TRANSER SAS"/>
    <s v="JONATHAN PAEZ PEDRAZA"/>
    <n v="1"/>
    <s v="ENERO"/>
  </r>
  <r>
    <n v="2026"/>
    <s v="09/01/2026"/>
    <s v="RMC"/>
    <n v="6440"/>
    <x v="452"/>
    <s v="ARANDELA DIVI 44/46 MLB PLANA Y C/BAJO"/>
    <n v="1"/>
    <n v="92000"/>
    <s v="TRANSPORTES Y SERVICIOS TRANSER SAS"/>
    <s v="JONATHAN PAEZ PEDRAZA"/>
    <n v="1"/>
    <s v="ENERO"/>
  </r>
  <r>
    <n v="2026"/>
    <s v="09/01/2026"/>
    <s v="RMC"/>
    <n v="6440"/>
    <x v="453"/>
    <s v="ARANDELA SATELITE DIVI DS/DP 46 MLB PLNA"/>
    <n v="1"/>
    <n v="17000"/>
    <s v="TRANSPORTES Y SERVICIOS TRANSER SAS"/>
    <s v="JONATHAN PAEZ PEDRAZA"/>
    <n v="1"/>
    <s v="ENERO"/>
  </r>
  <r>
    <n v="2026"/>
    <s v="09/01/2026"/>
    <s v="RMC"/>
    <n v="6440"/>
    <x v="167"/>
    <s v="CONO DE 5/8&quot; CERRADO"/>
    <n v="5"/>
    <n v="27500"/>
    <s v="TRANSPORTES Y SERVICIOS TRANSER SAS"/>
    <s v="JONATHAN PAEZ PEDRAZA"/>
    <n v="1"/>
    <s v="ENERO"/>
  </r>
  <r>
    <n v="2026"/>
    <s v="09/01/2026"/>
    <s v="RMC"/>
    <n v="6440"/>
    <x v="256"/>
    <s v="TUERCA HAUSING EAGLE"/>
    <n v="2"/>
    <n v="198000"/>
    <s v="TRANSPORTES Y SERVICIOS TRANSER SAS"/>
    <s v="JONATHAN PAEZ PEDRAZA"/>
    <n v="1"/>
    <s v="ENERO"/>
  </r>
  <r>
    <n v="2026"/>
    <s v="09/01/2026"/>
    <s v="RMC"/>
    <n v="6440"/>
    <x v="532"/>
    <s v="TUERCA EJE TRASERO KW / JGO P/1 LLANTA"/>
    <n v="1"/>
    <n v="184000"/>
    <s v="TRANSPORTES Y SERVICIOS TRANSER SAS"/>
    <s v="JONATHAN PAEZ PEDRAZA"/>
    <n v="1"/>
    <s v="ENERO"/>
  </r>
  <r>
    <n v="2026"/>
    <s v="09/01/2026"/>
    <s v="RMC"/>
    <n v="6440"/>
    <x v="408"/>
    <s v="PERA SENSOR TRASM. Y DIFERENCIAL 7600"/>
    <n v="1"/>
    <n v="36000"/>
    <s v="TRANSPORTES Y SERVICIOS TRANSER SAS"/>
    <s v="JONATHAN PAEZ PEDRAZA"/>
    <n v="1"/>
    <s v="ENERO"/>
  </r>
  <r>
    <n v="2026"/>
    <s v="09/01/2026"/>
    <s v="RMC"/>
    <n v="6440"/>
    <x v="533"/>
    <s v="LIQUIDO DE FRENOS ATE DOT 3"/>
    <n v="1"/>
    <n v="31000"/>
    <s v="TRANSPORTES Y SERVICIOS TRANSER SAS"/>
    <s v="JONATHAN PAEZ PEDRAZA"/>
    <n v="1"/>
    <s v="ENERO"/>
  </r>
  <r>
    <n v="2026"/>
    <s v="09/01/2026"/>
    <s v="RMC"/>
    <n v="6440"/>
    <x v="435"/>
    <s v="PORTA RETEN/ BUJE LEVA 1 1/2&quot;FRENO DELAN"/>
    <n v="1"/>
    <n v="55010"/>
    <s v="TRANSPORTES Y SERVICIOS TRANSER SAS"/>
    <s v="JONATHAN PAEZ PEDRAZA"/>
    <n v="1"/>
    <s v="ENERO"/>
  </r>
  <r>
    <n v="2026"/>
    <s v="09/01/2026"/>
    <s v="RMC"/>
    <n v="6440"/>
    <x v="290"/>
    <s v="BUJE BRONCE(1 5/8&quot; DI) LEVA FRENO TRAILE"/>
    <n v="6"/>
    <n v="144000"/>
    <s v="TRANSPORTES Y SERVICIOS TRANSER SAS"/>
    <s v="JONATHAN PAEZ PEDRAZA"/>
    <n v="1"/>
    <s v="ENERO"/>
  </r>
  <r>
    <n v="2026"/>
    <s v="09/01/2026"/>
    <s v="RMC"/>
    <n v="6440"/>
    <x v="303"/>
    <s v="VALVULA SUSPENSION CABEZOTE EAGLE Y CL"/>
    <n v="1"/>
    <n v="287000"/>
    <s v="TRANSPORTES Y SERVICIOS TRANSER SAS"/>
    <s v="JONATHAN PAEZ PEDRAZA"/>
    <n v="1"/>
    <s v="ENERO"/>
  </r>
  <r>
    <n v="2026"/>
    <s v="09/01/2026"/>
    <s v="RMC"/>
    <n v="6440"/>
    <x v="331"/>
    <s v="CORBATIN  HENDRICKSON"/>
    <n v="2"/>
    <n v="124000"/>
    <s v="TRANSPORTES Y SERVICIOS TRANSER SAS"/>
    <s v="JONATHAN PAEZ PEDRAZA"/>
    <n v="1"/>
    <s v="ENERO"/>
  </r>
  <r>
    <n v="2026"/>
    <s v="09/01/2026"/>
    <s v="RMC"/>
    <n v="6440"/>
    <x v="404"/>
    <s v="TEFLON SUSPENSIÓN HOJA ZETA"/>
    <n v="4"/>
    <n v="164000"/>
    <s v="TRANSPORTES Y SERVICIOS TRANSER SAS"/>
    <s v="JONATHAN PAEZ PEDRAZA"/>
    <n v="1"/>
    <s v="ENERO"/>
  </r>
  <r>
    <n v="2026"/>
    <s v="09/01/2026"/>
    <s v="RMC"/>
    <n v="6440"/>
    <x v="442"/>
    <s v="SET ROD Y PISTA PLANA DEL/TRASER 46MLB"/>
    <n v="2"/>
    <n v="1098000"/>
    <s v="TRANSPORTES Y SERVICIOS TRANSER SAS"/>
    <s v="JONATHAN PAEZ PEDRAZA"/>
    <n v="1"/>
    <s v="ENERO"/>
  </r>
  <r>
    <n v="2026"/>
    <s v="09/01/2026"/>
    <s v="RMC"/>
    <n v="6440"/>
    <x v="534"/>
    <s v="KIT TORNILLOS CORONA 46000LBS"/>
    <n v="1"/>
    <n v="170000"/>
    <s v="TRANSPORTES Y SERVICIOS TRANSER SAS"/>
    <s v="JONATHAN PAEZ PEDRAZA"/>
    <n v="1"/>
    <s v="ENERO"/>
  </r>
  <r>
    <n v="2026"/>
    <s v="09/01/2026"/>
    <s v="RMC"/>
    <n v="6440"/>
    <x v="443"/>
    <s v="SET ROD Y PISTA 42381/584 LAT. 46.000 LB"/>
    <n v="2"/>
    <n v="822000"/>
    <s v="TRANSPORTES Y SERVICIOS TRANSER SAS"/>
    <s v="JONATHAN PAEZ PEDRAZA"/>
    <n v="1"/>
    <s v="ENERO"/>
  </r>
  <r>
    <n v="2026"/>
    <s v="09/01/2026"/>
    <s v="RMC"/>
    <n v="6440"/>
    <x v="488"/>
    <s v="SET ROD Y PISTA 78215C/551SPEEDTRAS.46LB"/>
    <n v="1"/>
    <n v="483000"/>
    <s v="TRANSPORTES Y SERVICIOS TRANSER SAS"/>
    <s v="JONATHAN PAEZ PEDRAZA"/>
    <n v="1"/>
    <s v="ENERO"/>
  </r>
  <r>
    <n v="2026"/>
    <s v="09/01/2026"/>
    <s v="RMC"/>
    <n v="6440"/>
    <x v="444"/>
    <s v="ARANDELA SATÈLITE ESC 46 LBS PLANA"/>
    <n v="8"/>
    <n v="144000"/>
    <s v="TRANSPORTES Y SERVICIOS TRANSER SAS"/>
    <s v="JONATHAN PAEZ PEDRAZA"/>
    <n v="1"/>
    <s v="ENERO"/>
  </r>
  <r>
    <n v="2026"/>
    <s v="09/01/2026"/>
    <s v="RMC"/>
    <n v="6440"/>
    <x v="445"/>
    <s v="ARANDELA PLANETARIO DS 46 PLANA"/>
    <n v="4"/>
    <n v="100000"/>
    <s v="TRANSPORTES Y SERVICIOS TRANSER SAS"/>
    <s v="JONATHAN PAEZ PEDRAZA"/>
    <n v="1"/>
    <s v="ENERO"/>
  </r>
  <r>
    <n v="2026"/>
    <s v="09/01/2026"/>
    <s v="RMC"/>
    <n v="6440"/>
    <x v="440"/>
    <s v="SET ROD Y PISTA72212C/72487 SPEED DEL,TR"/>
    <n v="3"/>
    <n v="735000"/>
    <s v="TRANSPORTES Y SERVICIOS TRANSER SAS"/>
    <s v="JONATHAN PAEZ PEDRAZA"/>
    <n v="1"/>
    <s v="ENERO"/>
  </r>
  <r>
    <n v="2026"/>
    <s v="09/01/2026"/>
    <s v="RMC"/>
    <n v="6440"/>
    <x v="535"/>
    <s v="RODILLO PILOTO 46 LB"/>
    <n v="2"/>
    <n v="462000"/>
    <s v="TRANSPORTES Y SERVICIOS TRANSER SAS"/>
    <s v="JONATHAN PAEZ PEDRAZA"/>
    <n v="1"/>
    <s v="ENERO"/>
  </r>
  <r>
    <n v="2026"/>
    <s v="06/01/2026"/>
    <s v="RMC"/>
    <n v="6433"/>
    <x v="196"/>
    <s v="PERNO TRAILER HIDROAMERICA M22X4''"/>
    <n v="10"/>
    <n v="290000"/>
    <s v="TRANSPORTES Y SERVICIOS TRANSER SAS"/>
    <s v="JONATHAN PAEZ PEDRAZA"/>
    <n v="1"/>
    <s v="ENERO"/>
  </r>
  <r>
    <n v="2026"/>
    <s v="06/01/2026"/>
    <s v="RMC"/>
    <n v="6433"/>
    <x v="138"/>
    <s v="ABRAZADERA EXOSTO 5&quot;"/>
    <n v="3"/>
    <n v="141000"/>
    <s v="TRANSPORTES Y SERVICIOS TRANSER SAS"/>
    <s v="JONATHAN PAEZ PEDRAZA"/>
    <n v="1"/>
    <s v="ENERO"/>
  </r>
  <r>
    <n v="2026"/>
    <s v="06/01/2026"/>
    <s v="RMC"/>
    <n v="6433"/>
    <x v="536"/>
    <s v="KIT DE RIELES SILLA NATIONAL"/>
    <n v="2"/>
    <n v="434000"/>
    <s v="TRANSPORTES Y SERVICIOS TRANSER SAS"/>
    <s v="JONATHAN PAEZ PEDRAZA"/>
    <n v="1"/>
    <s v="ENERO"/>
  </r>
  <r>
    <n v="2026"/>
    <s v="06/01/2026"/>
    <s v="RMC"/>
    <n v="6433"/>
    <x v="537"/>
    <s v="BASE SILLA NATIONAL 4/6 BOTONES"/>
    <n v="2"/>
    <n v="2676000"/>
    <s v="TRANSPORTES Y SERVICIOS TRANSER SAS"/>
    <s v="JONATHAN PAEZ PEDRAZA"/>
    <n v="1"/>
    <s v="ENERO"/>
  </r>
  <r>
    <n v="2026"/>
    <s v="06/01/2026"/>
    <s v="RMC"/>
    <n v="6433"/>
    <x v="324"/>
    <s v="CORREA PARA COLUMBIA SERIE60 12LT,"/>
    <n v="2"/>
    <n v="104348"/>
    <s v="TRANSPORTES Y SERVICIOS TRANSER SAS"/>
    <s v="JONATHAN PAEZ PEDRAZA"/>
    <n v="1"/>
    <s v="ENERO"/>
  </r>
  <r>
    <n v="2026"/>
    <s v="06/01/2026"/>
    <s v="RMC"/>
    <n v="6433"/>
    <x v="255"/>
    <s v="CULATA COMPRESOR CUMINS ISX"/>
    <n v="1"/>
    <n v="732000"/>
    <s v="TRANSPORTES Y SERVICIOS TRANSER SAS"/>
    <s v="JONATHAN PAEZ PEDRAZA"/>
    <n v="1"/>
    <s v="ENERO"/>
  </r>
  <r>
    <n v="2026"/>
    <s v="06/01/2026"/>
    <s v="RMC"/>
    <n v="6433"/>
    <x v="533"/>
    <s v="LIQUIDO DE FRENOS ATE DOT 3"/>
    <n v="1"/>
    <n v="31000"/>
    <s v="TRANSPORTES Y SERVICIOS TRANSER SAS"/>
    <s v="JONATHAN PAEZ PEDRAZA"/>
    <n v="1"/>
    <s v="ENERO"/>
  </r>
  <r>
    <n v="2026"/>
    <s v="06/01/2026"/>
    <s v="RMC"/>
    <n v="6433"/>
    <x v="274"/>
    <s v="KIT DE RESORTE JGO X 3 EAGLE DELAN/FTL"/>
    <n v="1"/>
    <n v="44000"/>
    <s v="TRANSPORTES Y SERVICIOS TRANSER SAS"/>
    <s v="JONATHAN PAEZ PEDRAZA"/>
    <n v="1"/>
    <s v="ENERO"/>
  </r>
  <r>
    <n v="2026"/>
    <s v="06/01/2026"/>
    <s v="RMC"/>
    <n v="6433"/>
    <x v="386"/>
    <s v="KIT REPAR RODAJAS Y RESORT FRENO KW ETN"/>
    <n v="5"/>
    <n v="150000"/>
    <s v="TRANSPORTES Y SERVICIOS TRANSER SAS"/>
    <s v="JONATHAN PAEZ PEDRAZA"/>
    <n v="1"/>
    <s v="ENERO"/>
  </r>
  <r>
    <n v="2026"/>
    <s v="06/01/2026"/>
    <s v="RMC"/>
    <n v="6433"/>
    <x v="529"/>
    <s v="VENTILADOR 30X2,5X9"/>
    <n v="2"/>
    <n v="700000"/>
    <s v="TRANSPORTES Y SERVICIOS TRANSER SAS"/>
    <s v="JONATHAN PAEZ PEDRAZA"/>
    <n v="1"/>
    <s v="ENERO"/>
  </r>
  <r>
    <n v="2026"/>
    <s v="06/01/2026"/>
    <s v="RMC"/>
    <n v="6433"/>
    <x v="292"/>
    <s v="BOLSA  HAM8.88ANxA1TCx 3.12ALx2F+2T"/>
    <n v="1"/>
    <n v="451000"/>
    <s v="TRANSPORTES Y SERVICIOS TRANSER SAS"/>
    <s v="JONATHAN PAEZ PEDRAZA"/>
    <n v="1"/>
    <s v="ENERO"/>
  </r>
  <r>
    <n v="2026"/>
    <s v="06/01/2026"/>
    <s v="RMC"/>
    <n v="6433"/>
    <x v="448"/>
    <s v="BOLSA TRA10.62ANx7.75CEx19.25AL+7.88D+4T"/>
    <n v="1"/>
    <n v="483000"/>
    <s v="TRANSPORTES Y SERVICIOS TRANSER SAS"/>
    <s v="JONATHAN PAEZ PEDRAZA"/>
    <n v="1"/>
    <s v="ENERO"/>
  </r>
  <r>
    <n v="2026"/>
    <s v="06/01/2026"/>
    <s v="RMC"/>
    <n v="6433"/>
    <x v="366"/>
    <s v="BOLSA SUSPENSION TANDEM"/>
    <n v="1"/>
    <n v="722000"/>
    <s v="TRANSPORTES Y SERVICIOS TRANSER SAS"/>
    <s v="JONATHAN PAEZ PEDRAZA"/>
    <n v="1"/>
    <s v="ENERO"/>
  </r>
  <r>
    <n v="2026"/>
    <s v="06/01/2026"/>
    <s v="RMC"/>
    <n v="6433"/>
    <x v="491"/>
    <s v="BOLSA TRA10.62ANx5.50CCx27.30AL+7.88D+4T"/>
    <n v="4"/>
    <n v="2640000"/>
    <s v="TRANSPORTES Y SERVICIOS TRANSER SAS"/>
    <s v="JONATHAN PAEZ PEDRAZA"/>
    <n v="1"/>
    <s v="ENERO"/>
  </r>
  <r>
    <n v="2026"/>
    <s v="06/01/2026"/>
    <s v="RMC"/>
    <n v="6433"/>
    <x v="227"/>
    <s v="MANGUERA ENGRASE BALINERA 24&quot;"/>
    <n v="1"/>
    <n v="34000"/>
    <s v="TRANSPORTES Y SERVICIOS TRANSER SAS"/>
    <s v="JONATHAN PAEZ PEDRAZA"/>
    <n v="1"/>
    <s v="ENERO"/>
  </r>
  <r>
    <n v="2026"/>
    <s v="06/01/2026"/>
    <s v="RMC"/>
    <n v="6433"/>
    <x v="226"/>
    <s v="MANGUERA ENGRASE 15&quot; BALINERA"/>
    <n v="2"/>
    <n v="30000"/>
    <s v="TRANSPORTES Y SERVICIOS TRANSER SAS"/>
    <s v="JONATHAN PAEZ PEDRAZA"/>
    <n v="1"/>
    <s v="ENERO"/>
  </r>
  <r>
    <n v="2026"/>
    <s v="06/01/2026"/>
    <s v="RMC"/>
    <n v="6433"/>
    <x v="193"/>
    <s v="FRENO EMBRAGUE 2&quot;"/>
    <n v="2"/>
    <n v="194000"/>
    <s v="TRANSPORTES Y SERVICIOS TRANSER SAS"/>
    <s v="JONATHAN PAEZ PEDRAZA"/>
    <n v="1"/>
    <s v="ENERO"/>
  </r>
  <r>
    <n v="2026"/>
    <s v="06/01/2026"/>
    <s v="RMC"/>
    <n v="6433"/>
    <x v="212"/>
    <s v="RACOR/CODO"/>
    <n v="2"/>
    <n v="42000"/>
    <s v="TRANSPORTES Y SERVICIOS TRANSER SAS"/>
    <s v="JONATHAN PAEZ PEDRAZA"/>
    <n v="1"/>
    <s v="ENERO"/>
  </r>
  <r>
    <n v="2026"/>
    <s v="06/01/2026"/>
    <s v="RMC"/>
    <n v="6433"/>
    <x v="436"/>
    <s v="MANGUERA CAJA 34&quot; LARGA"/>
    <n v="2"/>
    <n v="98000"/>
    <s v="TRANSPORTES Y SERVICIOS TRANSER SAS"/>
    <s v="JONATHAN PAEZ PEDRAZA"/>
    <n v="1"/>
    <s v="ENERO"/>
  </r>
  <r>
    <n v="2026"/>
    <s v="06/01/2026"/>
    <s v="RMC"/>
    <n v="6433"/>
    <x v="254"/>
    <s v="PIÑÓN CENT 918"/>
    <n v="1"/>
    <n v="460000"/>
    <s v="TRANSPORTES Y SERVICIOS TRANSER SAS"/>
    <s v="JONATHAN PAEZ PEDRAZA"/>
    <n v="1"/>
    <s v="ENERO"/>
  </r>
  <r>
    <n v="2026"/>
    <s v="06/01/2026"/>
    <s v="RMC"/>
    <n v="6433"/>
    <x v="319"/>
    <s v="PIÑA BAJO  918B"/>
    <n v="1"/>
    <n v="128000"/>
    <s v="TRANSPORTES Y SERVICIOS TRANSER SAS"/>
    <s v="JONATHAN PAEZ PEDRAZA"/>
    <n v="1"/>
    <s v="ENERO"/>
  </r>
  <r>
    <n v="2026"/>
    <s v="06/01/2026"/>
    <s v="RMC"/>
    <n v="6433"/>
    <x v="320"/>
    <s v="TUERCA EJE MONO 14915/16915/FR/FRO"/>
    <n v="1"/>
    <n v="65000"/>
    <s v="TRANSPORTES Y SERVICIOS TRANSER SAS"/>
    <s v="JONATHAN PAEZ PEDRAZA"/>
    <n v="1"/>
    <s v="ENERO"/>
  </r>
  <r>
    <n v="2026"/>
    <s v="06/01/2026"/>
    <s v="RMC"/>
    <n v="6433"/>
    <x v="140"/>
    <s v="KIT TUER  ARANDE EJE SAL 160/ SPEED 240"/>
    <n v="1"/>
    <n v="33000"/>
    <s v="TRANSPORTES Y SERVICIOS TRANSER SAS"/>
    <s v="JONATHAN PAEZ PEDRAZA"/>
    <n v="1"/>
    <s v="ENERO"/>
  </r>
  <r>
    <n v="2026"/>
    <s v="06/01/2026"/>
    <s v="RMC"/>
    <n v="6433"/>
    <x v="69"/>
    <s v="RETENEDOR EJE SALIDA 46160"/>
    <n v="1"/>
    <n v="156000"/>
    <s v="TRANSPORTES Y SERVICIOS TRANSER SAS"/>
    <s v="JONATHAN PAEZ PEDRAZA"/>
    <n v="1"/>
    <s v="ENERO"/>
  </r>
  <r>
    <n v="2026"/>
    <s v="06/01/2026"/>
    <s v="RMC"/>
    <n v="6433"/>
    <x v="402"/>
    <s v="RETEN EJE DE SALIDA DP46"/>
    <n v="1"/>
    <n v="128000"/>
    <s v="TRANSPORTES Y SERVICIOS TRANSER SAS"/>
    <s v="JONATHAN PAEZ PEDRAZA"/>
    <n v="1"/>
    <s v="ENERO"/>
  </r>
  <r>
    <n v="2026"/>
    <s v="06/01/2026"/>
    <s v="RMC"/>
    <n v="6433"/>
    <x v="403"/>
    <s v="RETEN EJE DIVISOR 46ML C/BAJO Y PLANO"/>
    <n v="1"/>
    <n v="155000"/>
    <s v="TRANSPORTES Y SERVICIOS TRANSER SAS"/>
    <s v="JONATHAN PAEZ PEDRAZA"/>
    <n v="1"/>
    <s v="ENERO"/>
  </r>
  <r>
    <n v="2026"/>
    <s v="06/01/2026"/>
    <s v="RMC"/>
    <n v="6433"/>
    <x v="167"/>
    <s v="CONO DE 5/8&quot; CERRADO"/>
    <n v="8"/>
    <n v="44000"/>
    <s v="TRANSPORTES Y SERVICIOS TRANSER SAS"/>
    <s v="JONATHAN PAEZ PEDRAZA"/>
    <n v="1"/>
    <s v="ENERO"/>
  </r>
  <r>
    <n v="2026"/>
    <s v="06/01/2026"/>
    <s v="RMC"/>
    <n v="6433"/>
    <x v="532"/>
    <s v="TUERCA EJE TRASERO KW / JGO P/1 LLANTA"/>
    <n v="1"/>
    <n v="184000"/>
    <s v="TRANSPORTES Y SERVICIOS TRANSER SAS"/>
    <s v="JONATHAN PAEZ PEDRAZA"/>
    <n v="1"/>
    <s v="ENERO"/>
  </r>
  <r>
    <n v="2026"/>
    <s v="06/01/2026"/>
    <s v="RMC"/>
    <n v="6433"/>
    <x v="398"/>
    <s v="TAPA NEGRA DEFENDER  PASTA 5 1/2&quot; GRANDE"/>
    <n v="1"/>
    <n v="64000"/>
    <s v="TRANSPORTES Y SERVICIOS TRANSER SAS"/>
    <s v="JONATHAN PAEZ PEDRAZA"/>
    <n v="1"/>
    <s v="ENERO"/>
  </r>
  <r>
    <n v="2026"/>
    <s v="05/01/2026"/>
    <s v="RMC"/>
    <n v="6432"/>
    <x v="339"/>
    <s v="VALVULA REGULADORA 14715/18/915/918/16"/>
    <n v="2"/>
    <n v="520000"/>
    <s v="TRANSPORTES Y SERVICIOS TRANSER SAS"/>
    <s v="JONATHAN PAEZ PEDRAZA"/>
    <n v="1"/>
    <s v="ENERO"/>
  </r>
  <r>
    <n v="2026"/>
    <s v="05/01/2026"/>
    <s v="RMC"/>
    <n v="6430"/>
    <x v="409"/>
    <s v="BOCIN DISCO 10 HUECOS TRAILER REMOLQU"/>
    <n v="1"/>
    <n v="650000"/>
    <s v="TRANSPORTES Y SERVICIOS TRANSER SAS"/>
    <s v="JONATHAN PAEZ PEDRAZA"/>
    <n v="1"/>
    <s v="ENERO"/>
  </r>
  <r>
    <n v="2026"/>
    <s v="05/01/2026"/>
    <s v="RMC"/>
    <n v="6430"/>
    <x v="219"/>
    <s v="RACHE FRENO MEC. 1-1/2&quot;28E"/>
    <n v="2"/>
    <n v="164000"/>
    <s v="TRANSPORTES Y SERVICIOS TRANSER SAS"/>
    <s v="JONATHAN PAEZ PEDRAZA"/>
    <n v="1"/>
    <s v="ENERO"/>
  </r>
  <r>
    <n v="2026"/>
    <s v="05/01/2026"/>
    <s v="RMC"/>
    <n v="6430"/>
    <x v="386"/>
    <s v="KIT REPAR RODAJAS Y RESORT FRENO KW ETN"/>
    <n v="1"/>
    <n v="30000"/>
    <s v="TRANSPORTES Y SERVICIOS TRANSER SAS"/>
    <s v="JONATHAN PAEZ PEDRAZA"/>
    <n v="1"/>
    <s v="ENERO"/>
  </r>
  <r>
    <n v="2026"/>
    <s v="05/01/2026"/>
    <s v="RMC"/>
    <n v="6430"/>
    <x v="154"/>
    <s v="KIT DE REP LEVA FREN TRAILER ROMARCO"/>
    <n v="1"/>
    <n v="188000"/>
    <s v="TRANSPORTES Y SERVICIOS TRANSER SAS"/>
    <s v="JONATHAN PAEZ PEDRAZA"/>
    <n v="1"/>
    <s v="ENERO"/>
  </r>
  <r>
    <n v="2026"/>
    <s v="05/01/2026"/>
    <s v="RMC"/>
    <n v="6430"/>
    <x v="538"/>
    <s v="PLASTIGAGE ROJO"/>
    <n v="1"/>
    <n v="5300"/>
    <s v="TRANSPORTES Y SERVICIOS TRANSER SAS"/>
    <s v="JONATHAN PAEZ PEDRAZA"/>
    <n v="1"/>
    <s v="ENERO"/>
  </r>
  <r>
    <n v="2026"/>
    <s v="05/01/2026"/>
    <s v="RMC"/>
    <n v="6430"/>
    <x v="411"/>
    <s v="BOLSA TRA 10.62ANx5.50CEx20.88AL+1T"/>
    <n v="1"/>
    <n v="730000"/>
    <s v="TRANSPORTES Y SERVICIOS TRANSER SAS"/>
    <s v="JONATHAN PAEZ PEDRAZA"/>
    <n v="1"/>
    <s v="ENERO"/>
  </r>
  <r>
    <n v="2026"/>
    <s v="05/01/2026"/>
    <s v="RMC"/>
    <n v="6430"/>
    <x v="261"/>
    <s v="FUELLE SOLO C/TAPA SUP TRAIL RANDON BOTE"/>
    <n v="1"/>
    <n v="475000"/>
    <s v="TRANSPORTES Y SERVICIOS TRANSER SAS"/>
    <s v="JONATHAN PAEZ PEDRAZA"/>
    <n v="1"/>
    <s v="ENERO"/>
  </r>
  <r>
    <n v="2026"/>
    <s v="05/01/2026"/>
    <s v="RMC"/>
    <n v="6430"/>
    <x v="283"/>
    <s v="BOLSA TAN 10.12ANx6.20CCx22AL+1T"/>
    <n v="1"/>
    <n v="460000"/>
    <s v="TRANSPORTES Y SERVICIOS TRANSER SAS"/>
    <s v="JONATHAN PAEZ PEDRAZA"/>
    <n v="1"/>
    <s v="ENERO"/>
  </r>
  <r>
    <n v="2026"/>
    <s v="05/01/2026"/>
    <s v="RMC"/>
    <n v="6430"/>
    <x v="400"/>
    <s v="BOLSA TAN 9.12ANxA1E1&quot;5/16x11.80AL+1T BR"/>
    <n v="2"/>
    <n v="890000"/>
    <s v="TRANSPORTES Y SERVICIOS TRANSER SAS"/>
    <s v="JONATHAN PAEZ PEDRAZA"/>
    <n v="1"/>
    <s v="ENERO"/>
  </r>
  <r>
    <n v="2026"/>
    <s v="05/01/2026"/>
    <s v="RMC"/>
    <n v="6430"/>
    <x v="331"/>
    <s v="CORBATIN  HENDRICKSON"/>
    <n v="1"/>
    <n v="62000"/>
    <s v="TRANSPORTES Y SERVICIOS TRANSER SAS"/>
    <s v="JONATHAN PAEZ PEDRAZA"/>
    <n v="1"/>
    <s v="ENERO"/>
  </r>
  <r>
    <n v="2026"/>
    <s v="05/01/2026"/>
    <s v="RMC"/>
    <n v="6430"/>
    <x v="449"/>
    <s v="PASADOR LARGO EAGLE ESPECIAL"/>
    <n v="1"/>
    <n v="65000"/>
    <s v="TRANSPORTES Y SERVICIOS TRANSER SAS"/>
    <s v="JONATHAN PAEZ PEDRAZA"/>
    <n v="1"/>
    <s v="ENERO"/>
  </r>
  <r>
    <n v="2026"/>
    <s v="05/01/2026"/>
    <s v="RMC"/>
    <n v="6430"/>
    <x v="416"/>
    <s v="PASADOR CLUTCH CORTO KENWORTH"/>
    <n v="1"/>
    <n v="45000"/>
    <s v="TRANSPORTES Y SERVICIOS TRANSER SAS"/>
    <s v="JONATHAN PAEZ PEDRAZA"/>
    <n v="1"/>
    <s v="ENERO"/>
  </r>
  <r>
    <n v="2026"/>
    <s v="05/01/2026"/>
    <s v="RMC"/>
    <n v="6430"/>
    <x v="212"/>
    <s v="RACOR/CODO"/>
    <n v="6"/>
    <n v="126000"/>
    <s v="TRANSPORTES Y SERVICIOS TRANSER SAS"/>
    <s v="JONATHAN PAEZ PEDRAZA"/>
    <n v="1"/>
    <s v="ENERO"/>
  </r>
  <r>
    <n v="2026"/>
    <s v="05/01/2026"/>
    <s v="RMC"/>
    <n v="6430"/>
    <x v="343"/>
    <s v="O'RING EJE TOMA TODAS"/>
    <n v="1"/>
    <n v="5000"/>
    <s v="TRANSPORTES Y SERVICIOS TRANSER SAS"/>
    <s v="JONATHAN PAEZ PEDRAZA"/>
    <n v="1"/>
    <s v="ENERO"/>
  </r>
  <r>
    <n v="2026"/>
    <s v="05/01/2026"/>
    <s v="RMC"/>
    <n v="6430"/>
    <x v="450"/>
    <s v="KIT BOMBA ACEITE CAJA JGOX3 14718/918/16"/>
    <n v="1"/>
    <n v="422000"/>
    <s v="TRANSPORTES Y SERVICIOS TRANSER SAS"/>
    <s v="JONATHAN PAEZ PEDRAZA"/>
    <n v="1"/>
    <s v="ENERO"/>
  </r>
  <r>
    <n v="2026"/>
    <s v="05/01/2026"/>
    <s v="RMC"/>
    <n v="6430"/>
    <x v="301"/>
    <s v="TAPA CARCASA MONO 14718/918"/>
    <n v="1"/>
    <n v="240000"/>
    <s v="TRANSPORTES Y SERVICIOS TRANSER SAS"/>
    <s v="JONATHAN PAEZ PEDRAZA"/>
    <n v="1"/>
    <s v="ENERO"/>
  </r>
  <r>
    <n v="2026"/>
    <s v="05/01/2026"/>
    <s v="RMC"/>
    <n v="6430"/>
    <x v="115"/>
    <s v="PIÑA CDIZO"/>
    <n v="1"/>
    <n v="103000"/>
    <s v="TRANSPORTES Y SERVICIOS TRANSER SAS"/>
    <s v="JONATHAN PAEZ PEDRAZA"/>
    <n v="1"/>
    <s v="ENERO"/>
  </r>
  <r>
    <n v="2026"/>
    <s v="05/01/2026"/>
    <s v="RMC"/>
    <n v="6430"/>
    <x v="436"/>
    <s v="MANGUERA CAJA 34&quot; LARGA"/>
    <n v="3"/>
    <n v="147000"/>
    <s v="TRANSPORTES Y SERVICIOS TRANSER SAS"/>
    <s v="JONATHAN PAEZ PEDRAZA"/>
    <n v="1"/>
    <s v="ENERO"/>
  </r>
  <r>
    <n v="2026"/>
    <s v="05/01/2026"/>
    <s v="RMC"/>
    <n v="6430"/>
    <x v="304"/>
    <s v="ARANDELA TORNILLO PUNTA EJE MONO 918"/>
    <n v="1"/>
    <n v="56000"/>
    <s v="TRANSPORTES Y SERVICIOS TRANSER SAS"/>
    <s v="JONATHAN PAEZ PEDRAZA"/>
    <n v="1"/>
    <s v="ENERO"/>
  </r>
  <r>
    <n v="2026"/>
    <s v="05/01/2026"/>
    <s v="RMC"/>
    <n v="6430"/>
    <x v="299"/>
    <s v="PIÑON EJE DE TOMA 16918"/>
    <n v="1"/>
    <n v="421000"/>
    <s v="TRANSPORTES Y SERVICIOS TRANSER SAS"/>
    <s v="JONATHAN PAEZ PEDRAZA"/>
    <n v="1"/>
    <s v="ENERO"/>
  </r>
  <r>
    <n v="2026"/>
    <s v="05/01/2026"/>
    <s v="RMC"/>
    <n v="6430"/>
    <x v="391"/>
    <s v="KIT RODAMIENTO 16918"/>
    <n v="1"/>
    <n v="2100000"/>
    <s v="TRANSPORTES Y SERVICIOS TRANSER SAS"/>
    <s v="JONATHAN PAEZ PEDRAZA"/>
    <n v="1"/>
    <s v="ENERO"/>
  </r>
  <r>
    <n v="2026"/>
    <s v="05/01/2026"/>
    <s v="RMC"/>
    <n v="6430"/>
    <x v="235"/>
    <s v="PIN ESPIRAL REVSO - TODAS"/>
    <n v="2"/>
    <n v="14000"/>
    <s v="TRANSPORTES Y SERVICIOS TRANSER SAS"/>
    <s v="JONATHAN PAEZ PEDRAZA"/>
    <n v="1"/>
    <s v="ENERO"/>
  </r>
  <r>
    <n v="2026"/>
    <s v="05/01/2026"/>
    <s v="RMC"/>
    <n v="6430"/>
    <x v="254"/>
    <s v="PIÑÓN CENT 918"/>
    <n v="1"/>
    <n v="460000"/>
    <s v="TRANSPORTES Y SERVICIOS TRANSER SAS"/>
    <s v="JONATHAN PAEZ PEDRAZA"/>
    <n v="1"/>
    <s v="ENERO"/>
  </r>
  <r>
    <n v="2026"/>
    <s v="05/01/2026"/>
    <s v="RMC"/>
    <n v="6430"/>
    <x v="317"/>
    <s v="ARANDELA EST.INT CDIZO  14/16918"/>
    <n v="2"/>
    <n v="80000"/>
    <s v="TRANSPORTES Y SERVICIOS TRANSER SAS"/>
    <s v="JONATHAN PAEZ PEDRAZA"/>
    <n v="1"/>
    <s v="ENERO"/>
  </r>
  <r>
    <n v="2026"/>
    <s v="05/01/2026"/>
    <s v="RMC"/>
    <n v="6430"/>
    <x v="378"/>
    <s v="ARANDELA EST INT CDIZO RT/RTLO TODAS"/>
    <n v="4"/>
    <n v="124000"/>
    <s v="TRANSPORTES Y SERVICIOS TRANSER SAS"/>
    <s v="JONATHAN PAEZ PEDRAZA"/>
    <n v="1"/>
    <s v="ENERO"/>
  </r>
  <r>
    <n v="2026"/>
    <s v="05/01/2026"/>
    <s v="RMC"/>
    <n v="6430"/>
    <x v="216"/>
    <s v="SINCRONIZADOR (JGO X 5) TODAS PATA GRUES"/>
    <n v="1"/>
    <n v="348000"/>
    <s v="TRANSPORTES Y SERVICIOS TRANSER SAS"/>
    <s v="JONATHAN PAEZ PEDRAZA"/>
    <n v="1"/>
    <s v="ENERO"/>
  </r>
  <r>
    <n v="2026"/>
    <s v="05/01/2026"/>
    <s v="RMC"/>
    <n v="6430"/>
    <x v="441"/>
    <s v="PIÑON DEL BAJO 16918"/>
    <n v="1"/>
    <n v="380000"/>
    <s v="TRANSPORTES Y SERVICIOS TRANSER SAS"/>
    <s v="JONATHAN PAEZ PEDRAZA"/>
    <n v="1"/>
    <s v="ENERO"/>
  </r>
  <r>
    <n v="2026"/>
    <s v="05/01/2026"/>
    <s v="RMC"/>
    <n v="6430"/>
    <x v="302"/>
    <s v="PIÑA CDIZO 14/16"/>
    <n v="1"/>
    <n v="85000"/>
    <s v="TRANSPORTES Y SERVICIOS TRANSER SAS"/>
    <s v="JONATHAN PAEZ PEDRAZA"/>
    <n v="1"/>
    <s v="ENERO"/>
  </r>
  <r>
    <n v="2026"/>
    <s v="05/01/2026"/>
    <s v="RMC"/>
    <n v="6430"/>
    <x v="318"/>
    <s v="VARILLA CORREDIZO 16918"/>
    <n v="1"/>
    <n v="14500"/>
    <s v="TRANSPORTES Y SERVICIOS TRANSER SAS"/>
    <s v="JONATHAN PAEZ PEDRAZA"/>
    <n v="1"/>
    <s v="ENERO"/>
  </r>
  <r>
    <n v="2026"/>
    <s v="05/01/2026"/>
    <s v="RMC"/>
    <n v="6430"/>
    <x v="319"/>
    <s v="PIÑA BAJO  918B"/>
    <n v="1"/>
    <n v="128000"/>
    <s v="TRANSPORTES Y SERVICIOS TRANSER SAS"/>
    <s v="JONATHAN PAEZ PEDRAZA"/>
    <n v="1"/>
    <s v="ENERO"/>
  </r>
  <r>
    <n v="2026"/>
    <s v="05/01/2026"/>
    <s v="RMC"/>
    <n v="6430"/>
    <x v="320"/>
    <s v="TUERCA EJE MONO 14915/16915/FR/FRO"/>
    <n v="1"/>
    <n v="65000"/>
    <s v="TRANSPORTES Y SERVICIOS TRANSER SAS"/>
    <s v="JONATHAN PAEZ PEDRAZA"/>
    <n v="1"/>
    <s v="ENERO"/>
  </r>
  <r>
    <n v="2026"/>
    <s v="05/01/2026"/>
    <s v="RMC"/>
    <n v="6430"/>
    <x v="284"/>
    <s v="EJE TOMA 2&quot; 14915/16918/8709B"/>
    <n v="1"/>
    <n v="215000"/>
    <s v="TRANSPORTES Y SERVICIOS TRANSER SAS"/>
    <s v="JONATHAN PAEZ PEDRAZA"/>
    <n v="1"/>
    <s v="ENERO"/>
  </r>
  <r>
    <n v="2026"/>
    <s v="05/01/2026"/>
    <s v="RMC"/>
    <n v="6430"/>
    <x v="321"/>
    <s v="PIN PIÑONES CORREDIZO"/>
    <n v="1"/>
    <n v="3000"/>
    <s v="TRANSPORTES Y SERVICIOS TRANSER SAS"/>
    <s v="JONATHAN PAEZ PEDRAZA"/>
    <n v="1"/>
    <s v="ENERO"/>
  </r>
  <r>
    <n v="2026"/>
    <s v="05/01/2026"/>
    <s v="RMC"/>
    <n v="6430"/>
    <x v="12"/>
    <s v="TAPON IMANTADO TRANSMISION"/>
    <n v="1"/>
    <n v="7000"/>
    <s v="TRANSPORTES Y SERVICIOS TRANSER SAS"/>
    <s v="JONATHAN PAEZ PEDRAZA"/>
    <n v="1"/>
    <s v="ENERO"/>
  </r>
  <r>
    <n v="2026"/>
    <s v="05/01/2026"/>
    <s v="RMC"/>
    <n v="6430"/>
    <x v="439"/>
    <s v="CAUCHO EJE SALIDA 44/46 MLB"/>
    <n v="2"/>
    <n v="5000"/>
    <s v="TRANSPORTES Y SERVICIOS TRANSER SAS"/>
    <s v="JONATHAN PAEZ PEDRAZA"/>
    <n v="1"/>
    <s v="ENERO"/>
  </r>
  <r>
    <n v="2026"/>
    <s v="05/01/2026"/>
    <s v="RMC"/>
    <n v="6430"/>
    <x v="398"/>
    <s v="TAPA NEGRA DEFENDER  PASTA 5 1/2&quot; GRANDE"/>
    <n v="5"/>
    <n v="320000"/>
    <s v="TRANSPORTES Y SERVICIOS TRANSER SAS"/>
    <s v="JONATHAN PAEZ PEDRAZA"/>
    <n v="1"/>
    <s v="ENERO"/>
  </r>
  <r>
    <n v="2026"/>
    <s v="05/01/2026"/>
    <s v="RMC"/>
    <n v="6430"/>
    <x v="222"/>
    <s v="TAPA NEGRA DEFENDER PASTA 4 1/2 &quot; PEQUEÑ"/>
    <n v="1"/>
    <n v="66000"/>
    <s v="TRANSPORTES Y SERVICIOS TRANSER SAS"/>
    <s v="JONATHAN PAEZ PEDRAZA"/>
    <n v="1"/>
    <s v="ENERO"/>
  </r>
  <r>
    <n v="2026"/>
    <s v="02/01/2026"/>
    <s v="RMC"/>
    <n v="6428"/>
    <x v="532"/>
    <s v="TUERCA EJE TRASERO KW / JGO P/1 LLANTA"/>
    <n v="3"/>
    <n v="552000"/>
    <s v="TRANSPORTES Y SERVICIOS TRANSER SAS"/>
    <s v="JONATHAN PAEZ PEDRAZA"/>
    <n v="1"/>
    <s v="ENERO"/>
  </r>
  <r>
    <n v="2026"/>
    <s v="02/01/2026"/>
    <s v="RMC"/>
    <n v="6428"/>
    <x v="399"/>
    <s v="VALVULA NIVELADORA TANQUE COMBUSTIBLE"/>
    <n v="1"/>
    <n v="90000"/>
    <s v="TRANSPORTES Y SERVICIOS TRANSER SAS"/>
    <s v="JONATHAN PAEZ PEDRAZA"/>
    <n v="1"/>
    <s v="ENERO"/>
  </r>
  <r>
    <n v="2026"/>
    <s v="02/01/2026"/>
    <s v="RMC"/>
    <n v="6428"/>
    <x v="138"/>
    <s v="ABRAZADERA EXOSTO 5&quot;"/>
    <n v="2"/>
    <n v="94000"/>
    <s v="TRANSPORTES Y SERVICIOS TRANSER SAS"/>
    <s v="JONATHAN PAEZ PEDRAZA"/>
    <n v="1"/>
    <s v="ENERO"/>
  </r>
  <r>
    <n v="2026"/>
    <s v="02/01/2026"/>
    <s v="RMC"/>
    <n v="6428"/>
    <x v="528"/>
    <s v="BUJE QUINTA RUEDA HOLLAND - NUEVA"/>
    <n v="4"/>
    <n v="164000"/>
    <s v="TRANSPORTES Y SERVICIOS TRANSER SAS"/>
    <s v="JONATHAN PAEZ PEDRAZA"/>
    <n v="1"/>
    <s v="ENERO"/>
  </r>
  <r>
    <n v="2026"/>
    <s v="02/01/2026"/>
    <s v="RMC"/>
    <n v="6428"/>
    <x v="253"/>
    <s v="AMORTIGUADOR CABINA PROSTAR"/>
    <n v="2"/>
    <n v="310000"/>
    <s v="TRANSPORTES Y SERVICIOS TRANSER SAS"/>
    <s v="JONATHAN PAEZ PEDRAZA"/>
    <n v="1"/>
    <s v="ENERO"/>
  </r>
  <r>
    <n v="2026"/>
    <s v="02/01/2026"/>
    <s v="RMC"/>
    <n v="6428"/>
    <x v="296"/>
    <s v="VALVULA NIVELADORA CABINA EAGLE"/>
    <n v="1"/>
    <n v="227000"/>
    <s v="TRANSPORTES Y SERVICIOS TRANSER SAS"/>
    <s v="JONATHAN PAEZ PEDRAZA"/>
    <n v="1"/>
    <s v="ENERO"/>
  </r>
  <r>
    <n v="2026"/>
    <s v="02/01/2026"/>
    <s v="RMC"/>
    <n v="6428"/>
    <x v="0"/>
    <s v="PERA/SENSOR LUZ DIA BLANCA"/>
    <n v="1"/>
    <n v="110000"/>
    <s v="TRANSPORTES Y SERVICIOS TRANSER SAS"/>
    <s v="JONATHAN PAEZ PEDRAZA"/>
    <n v="1"/>
    <s v="ENERO"/>
  </r>
  <r>
    <n v="2026"/>
    <s v="02/01/2026"/>
    <s v="RMC"/>
    <n v="6428"/>
    <x v="68"/>
    <s v="PERA/SENSOR TEMPER. Y DIFEREN. TRANSM."/>
    <n v="1"/>
    <n v="45000"/>
    <s v="TRANSPORTES Y SERVICIOS TRANSER SAS"/>
    <s v="JONATHAN PAEZ PEDRAZA"/>
    <n v="1"/>
    <s v="ENERO"/>
  </r>
  <r>
    <n v="2026"/>
    <s v="02/01/2026"/>
    <s v="RMC"/>
    <n v="6428"/>
    <x v="219"/>
    <s v="RACHE FRENO MEC. 1-1/2&quot;28E"/>
    <n v="4"/>
    <n v="328000"/>
    <s v="TRANSPORTES Y SERVICIOS TRANSER SAS"/>
    <s v="JONATHAN PAEZ PEDRAZA"/>
    <n v="1"/>
    <s v="ENERO"/>
  </r>
  <r>
    <n v="2026"/>
    <s v="02/01/2026"/>
    <s v="RMC"/>
    <n v="6428"/>
    <x v="510"/>
    <s v="RACHE FRENO MEC. 1-1/2&quot;10E"/>
    <n v="5"/>
    <n v="510000"/>
    <s v="TRANSPORTES Y SERVICIOS TRANSER SAS"/>
    <s v="JONATHAN PAEZ PEDRAZA"/>
    <n v="1"/>
    <s v="ENERO"/>
  </r>
  <r>
    <n v="2026"/>
    <s v="02/01/2026"/>
    <s v="RMC"/>
    <n v="6428"/>
    <x v="386"/>
    <s v="KIT REPAR RODAJAS Y RESORT FRENO KW ETN"/>
    <n v="5"/>
    <n v="150000"/>
    <s v="TRANSPORTES Y SERVICIOS TRANSER SAS"/>
    <s v="JONATHAN PAEZ PEDRAZA"/>
    <n v="1"/>
    <s v="ENERO"/>
  </r>
  <r>
    <n v="2026"/>
    <s v="02/01/2026"/>
    <s v="RMC"/>
    <n v="6428"/>
    <x v="169"/>
    <s v="KIT BUJES (P/LEVA 1&quot; 1/2)  Y RETENEDORES"/>
    <n v="1"/>
    <n v="22000"/>
    <s v="TRANSPORTES Y SERVICIOS TRANSER SAS"/>
    <s v="JONATHAN PAEZ PEDRAZA"/>
    <n v="1"/>
    <s v="ENERO"/>
  </r>
  <r>
    <n v="2026"/>
    <s v="02/01/2026"/>
    <s v="RMC"/>
    <n v="6428"/>
    <x v="291"/>
    <s v="CORREA ACANAL P/ALTERN. KENWORTH T600 - T800 MOTOR CUMMINS ISX MOD.03"/>
    <n v="3"/>
    <n v="159783"/>
    <s v="TRANSPORTES Y SERVICIOS TRANSER SAS"/>
    <s v="JONATHAN PAEZ PEDRAZA"/>
    <n v="1"/>
    <s v="ENERO"/>
  </r>
  <r>
    <n v="2026"/>
    <s v="02/01/2026"/>
    <s v="RMC"/>
    <n v="6428"/>
    <x v="388"/>
    <s v="CORREA ACANAL P/ALTERN POLY-V. MACK2005,KENWORTH2003MOTOR CUMMINS T800MOTOR ROJO"/>
    <n v="2"/>
    <n v="155434"/>
    <s v="TRANSPORTES Y SERVICIOS TRANSER SAS"/>
    <s v="JONATHAN PAEZ PEDRAZA"/>
    <n v="1"/>
    <s v="ENERO"/>
  </r>
  <r>
    <n v="2026"/>
    <s v="02/01/2026"/>
    <s v="RMC"/>
    <n v="6428"/>
    <x v="158"/>
    <s v="TAPA TANQUE ROSCADA  EAGLE NEGRA 15PSI"/>
    <n v="1"/>
    <n v="56000"/>
    <s v="TRANSPORTES Y SERVICIOS TRANSER SAS"/>
    <s v="JONATHAN PAEZ PEDRAZA"/>
    <n v="1"/>
    <s v="ENERO"/>
  </r>
  <r>
    <n v="2026"/>
    <s v="02/01/2026"/>
    <s v="RMC"/>
    <n v="6428"/>
    <x v="114"/>
    <s v="KIT REPARACION ADVANTAGE MANZ 2 1/2&quot; Y 5"/>
    <n v="1"/>
    <n v="1990000"/>
    <s v="TRANSPORTES Y SERVICIOS TRANSER SAS"/>
    <s v="JONATHAN PAEZ PEDRAZA"/>
    <n v="1"/>
    <s v="ENERO"/>
  </r>
  <r>
    <n v="2026"/>
    <s v="02/01/2026"/>
    <s v="RMC"/>
    <n v="6428"/>
    <x v="448"/>
    <s v="BOLSA TRA10.62ANx7.75CEx19.25AL+7.88D+4T"/>
    <n v="3"/>
    <n v="1449000"/>
    <s v="TRANSPORTES Y SERVICIOS TRANSER SAS"/>
    <s v="JONATHAN PAEZ PEDRAZA"/>
    <n v="1"/>
    <s v="ENERO"/>
  </r>
  <r>
    <n v="2026"/>
    <s v="02/01/2026"/>
    <s v="RMC"/>
    <n v="6428"/>
    <x v="261"/>
    <s v="FUELLE SOLO C/TAPA SUP TRAIL RANDON BOTE"/>
    <n v="1"/>
    <n v="475000"/>
    <s v="TRANSPORTES Y SERVICIOS TRANSER SAS"/>
    <s v="JONATHAN PAEZ PEDRAZA"/>
    <n v="1"/>
    <s v="ENERO"/>
  </r>
  <r>
    <n v="2026"/>
    <s v="02/01/2026"/>
    <s v="RMC"/>
    <n v="6428"/>
    <x v="400"/>
    <s v="BOLSA TAN 9.12ANxA1E1&quot;5/16x11.80AL+1T BR"/>
    <n v="3"/>
    <n v="1335000"/>
    <s v="TRANSPORTES Y SERVICIOS TRANSER SAS"/>
    <s v="JONATHAN PAEZ PEDRAZA"/>
    <n v="1"/>
    <s v="ENERO"/>
  </r>
  <r>
    <n v="2026"/>
    <s v="02/01/2026"/>
    <s v="RMC"/>
    <n v="6428"/>
    <x v="293"/>
    <s v="CORBATIN SUSPENSION NEUMATICA KENWORTH"/>
    <n v="9"/>
    <n v="1080000"/>
    <s v="TRANSPORTES Y SERVICIOS TRANSER SAS"/>
    <s v="JONATHAN PAEZ PEDRAZA"/>
    <n v="1"/>
    <s v="ENERO"/>
  </r>
  <r>
    <n v="2026"/>
    <s v="02/01/2026"/>
    <s v="RMC"/>
    <n v="6428"/>
    <x v="508"/>
    <s v="MANGUERA CAJA 17&quot; CORTA"/>
    <n v="1"/>
    <n v="62000"/>
    <s v="TRANSPORTES Y SERVICIOS TRANSER SAS"/>
    <s v="JONATHAN PAEZ PEDRAZA"/>
    <n v="1"/>
    <s v="ENERO"/>
  </r>
  <r>
    <n v="2026"/>
    <s v="02/01/2026"/>
    <s v="RMC"/>
    <n v="6428"/>
    <x v="436"/>
    <s v="MANGUERA CAJA 34&quot; LARGA"/>
    <n v="3"/>
    <n v="147000"/>
    <s v="TRANSPORTES Y SERVICIOS TRANSER SAS"/>
    <s v="JONATHAN PAEZ PEDRAZA"/>
    <n v="1"/>
    <s v="ENERO"/>
  </r>
  <r>
    <n v="2026"/>
    <s v="02/01/2026"/>
    <s v="RMC"/>
    <n v="6428"/>
    <x v="3"/>
    <s v="ARANDELA TORRE MONO PARA 18"/>
    <n v="2"/>
    <n v="40000"/>
    <s v="TRANSPORTES Y SERVICIOS TRANSER SAS"/>
    <s v="JONATHAN PAEZ PEDRAZA"/>
    <n v="1"/>
    <s v="ENERO"/>
  </r>
  <r>
    <n v="2026"/>
    <s v="02/01/2026"/>
    <s v="RMC"/>
    <n v="6428"/>
    <x v="269"/>
    <s v="ARANDELA PLANETARIO 46160"/>
    <n v="4"/>
    <n v="76600"/>
    <s v="TRANSPORTES Y SERVICIOS TRANSER SAS"/>
    <s v="JONATHAN PAEZ PEDRAZA"/>
    <n v="1"/>
    <s v="ENERO"/>
  </r>
  <r>
    <n v="2026"/>
    <s v="02/01/2026"/>
    <s v="RMC"/>
    <n v="6428"/>
    <x v="289"/>
    <s v="ARANDELA SATELITE ESCUALIZACION 46160"/>
    <n v="8"/>
    <n v="50400"/>
    <s v="TRANSPORTES Y SERVICIOS TRANSER SAS"/>
    <s v="JONATHAN PAEZ PEDRAZA"/>
    <n v="1"/>
    <s v="ENERO"/>
  </r>
  <r>
    <n v="2026"/>
    <s v="02/01/2026"/>
    <s v="RMC"/>
    <n v="6428"/>
    <x v="336"/>
    <s v="KIT RODAMIENTO TRASERO 46160 PAREJO"/>
    <n v="1"/>
    <n v="1000000"/>
    <s v="TRANSPORTES Y SERVICIOS TRANSER SAS"/>
    <s v="JONATHAN PAEZ PEDRAZA"/>
    <n v="1"/>
    <s v="ENERO"/>
  </r>
  <r>
    <n v="2026"/>
    <s v="02/01/2026"/>
    <s v="RMC"/>
    <n v="6428"/>
    <x v="498"/>
    <s v="KIT TORNILLOS CORONA S 160 (JGOX36)"/>
    <n v="2"/>
    <n v="272000"/>
    <s v="TRANSPORTES Y SERVICIOS TRANSER SAS"/>
    <s v="JONATHAN PAEZ PEDRAZA"/>
    <n v="1"/>
    <s v="ENERO"/>
  </r>
  <r>
    <n v="2026"/>
    <s v="02/01/2026"/>
    <s v="RMC"/>
    <n v="6428"/>
    <x v="465"/>
    <s v="KIT RODAMIENTO DELANTERO 160- DISPAR MER"/>
    <n v="1"/>
    <n v="1100000"/>
    <s v="TRANSPORTES Y SERVICIOS TRANSER SAS"/>
    <s v="JONATHAN PAEZ PEDRAZA"/>
    <n v="1"/>
    <s v="ENERO"/>
  </r>
  <r>
    <n v="2026"/>
    <s v="02/01/2026"/>
    <s v="RMC"/>
    <n v="6428"/>
    <x v="33"/>
    <s v="TUERCA SPEED DELANTERO 46160 (1229G4063)"/>
    <n v="1"/>
    <n v="55000"/>
    <s v="TRANSPORTES Y SERVICIOS TRANSER SAS"/>
    <s v="JONATHAN PAEZ PEDRAZA"/>
    <n v="1"/>
    <s v="ENERO"/>
  </r>
  <r>
    <n v="2026"/>
    <s v="02/01/2026"/>
    <s v="RMC"/>
    <n v="6428"/>
    <x v="323"/>
    <s v="TUERCA DIVISOR Y SPEED TRASERO 160"/>
    <n v="2"/>
    <n v="82000"/>
    <s v="TRANSPORTES Y SERVICIOS TRANSER SAS"/>
    <s v="JONATHAN PAEZ PEDRAZA"/>
    <n v="1"/>
    <s v="ENERO"/>
  </r>
  <r>
    <n v="2026"/>
    <s v="02/01/2026"/>
    <s v="RMC"/>
    <n v="6428"/>
    <x v="120"/>
    <s v="ARANDELA SATELITE DIVISOR 46160"/>
    <n v="4"/>
    <n v="24000"/>
    <s v="TRANSPORTES Y SERVICIOS TRANSER SAS"/>
    <s v="JONATHAN PAEZ PEDRAZA"/>
    <n v="1"/>
    <s v="ENERO"/>
  </r>
  <r>
    <n v="2026"/>
    <s v="02/01/2026"/>
    <s v="RMC"/>
    <n v="6428"/>
    <x v="494"/>
    <s v="ARANDELA BRONCE 46160"/>
    <n v="1"/>
    <n v="90000"/>
    <s v="TRANSPORTES Y SERVICIOS TRANSER SAS"/>
    <s v="JONATHAN PAEZ PEDRAZA"/>
    <n v="1"/>
    <s v="ENERO"/>
  </r>
  <r>
    <n v="2026"/>
    <s v="02/01/2026"/>
    <s v="RMC"/>
    <n v="6428"/>
    <x v="453"/>
    <s v="ARANDELA SATELITE DIVI DS/DP 46 MLB PLNA"/>
    <n v="3"/>
    <n v="51000"/>
    <s v="TRANSPORTES Y SERVICIOS TRANSER SAS"/>
    <s v="JONATHAN PAEZ PEDRAZA"/>
    <n v="1"/>
    <s v="ENERO"/>
  </r>
  <r>
    <n v="2026"/>
    <s v="02/01/2026"/>
    <s v="RMC"/>
    <n v="6428"/>
    <x v="332"/>
    <s v="TUERCA EJE DELANTERO KW FINA 18 HILOS"/>
    <n v="1"/>
    <n v="163000"/>
    <s v="TRANSPORTES Y SERVICIOS TRANSER SAS"/>
    <s v="JONATHAN PAEZ PEDRAZA"/>
    <n v="1"/>
    <s v="ENERO"/>
  </r>
  <r>
    <n v="2026"/>
    <s v="02/01/2026"/>
    <s v="RMC"/>
    <n v="6428"/>
    <x v="398"/>
    <s v="TAPA NEGRA DEFENDER  PASTA 5 1/2&quot; GRANDE"/>
    <n v="3"/>
    <n v="192000"/>
    <s v="TRANSPORTES Y SERVICIOS TRANSER SAS"/>
    <s v="JONATHAN PAEZ PEDRAZA"/>
    <n v="1"/>
    <s v="ENERO"/>
  </r>
  <r>
    <n v="2026"/>
    <s v="02/01/2026"/>
    <s v="RMC"/>
    <n v="6428"/>
    <x v="164"/>
    <s v="SPLINDER 14600 LB BUJE PLAS 9,06&quot; x 1,87"/>
    <n v="1"/>
    <n v="890000"/>
    <s v="TRANSPORTES Y SERVICIOS TRANSER SAS"/>
    <s v="JONATHAN PAEZ PEDRAZA"/>
    <n v="1"/>
    <s v="ENERO"/>
  </r>
  <r>
    <n v="2026"/>
    <s v="02/01/2026"/>
    <s v="RMC"/>
    <n v="6429"/>
    <x v="312"/>
    <s v="CRUCETA 15 1/2&quot; MIXTA S1710 S/GRAPAS"/>
    <n v="2"/>
    <n v="590000"/>
    <s v="TRANSPORTES Y SERVICIOS TRANSER SAS"/>
    <s v="JONATHAN PAEZ PEDRAZA"/>
    <n v="1"/>
    <s v="ENER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D42E8-A465-41EF-8242-71FE1CA2EAC1}" name="TablaDinámica2" cacheId="3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4" firstHeaderRow="1" firstDataRow="1" firstDataCol="1"/>
  <pivotFields count="12">
    <pivotField showAll="0"/>
    <pivotField showAll="0"/>
    <pivotField showAll="0"/>
    <pivotField showAll="0"/>
    <pivotField axis="axisRow" showAll="0">
      <items count="171">
        <item x="56"/>
        <item x="104"/>
        <item x="67"/>
        <item x="134"/>
        <item x="130"/>
        <item x="39"/>
        <item x="41"/>
        <item x="141"/>
        <item x="120"/>
        <item x="121"/>
        <item x="97"/>
        <item x="119"/>
        <item x="123"/>
        <item x="105"/>
        <item x="129"/>
        <item x="28"/>
        <item x="55"/>
        <item x="92"/>
        <item x="10"/>
        <item x="164"/>
        <item x="126"/>
        <item x="71"/>
        <item x="106"/>
        <item x="151"/>
        <item x="72"/>
        <item x="135"/>
        <item x="77"/>
        <item x="142"/>
        <item x="74"/>
        <item x="8"/>
        <item x="132"/>
        <item x="124"/>
        <item x="137"/>
        <item x="109"/>
        <item x="144"/>
        <item x="68"/>
        <item x="165"/>
        <item x="66"/>
        <item x="112"/>
        <item x="93"/>
        <item x="147"/>
        <item x="115"/>
        <item x="116"/>
        <item x="23"/>
        <item x="1"/>
        <item x="59"/>
        <item x="127"/>
        <item x="11"/>
        <item x="131"/>
        <item x="87"/>
        <item x="167"/>
        <item x="30"/>
        <item x="51"/>
        <item x="100"/>
        <item x="50"/>
        <item x="113"/>
        <item x="114"/>
        <item x="3"/>
        <item x="125"/>
        <item x="94"/>
        <item x="117"/>
        <item x="44"/>
        <item x="54"/>
        <item x="76"/>
        <item x="43"/>
        <item x="47"/>
        <item x="52"/>
        <item x="12"/>
        <item x="27"/>
        <item x="7"/>
        <item x="4"/>
        <item x="31"/>
        <item x="46"/>
        <item x="64"/>
        <item x="90"/>
        <item x="73"/>
        <item x="79"/>
        <item x="37"/>
        <item x="157"/>
        <item x="145"/>
        <item x="9"/>
        <item x="6"/>
        <item x="81"/>
        <item x="133"/>
        <item x="75"/>
        <item x="80"/>
        <item x="85"/>
        <item x="154"/>
        <item x="91"/>
        <item x="17"/>
        <item x="161"/>
        <item x="162"/>
        <item x="89"/>
        <item x="158"/>
        <item x="128"/>
        <item x="36"/>
        <item x="96"/>
        <item x="95"/>
        <item x="69"/>
        <item x="25"/>
        <item x="16"/>
        <item x="26"/>
        <item x="86"/>
        <item x="82"/>
        <item x="65"/>
        <item x="24"/>
        <item x="5"/>
        <item x="88"/>
        <item x="146"/>
        <item x="49"/>
        <item x="57"/>
        <item x="42"/>
        <item x="33"/>
        <item x="61"/>
        <item x="70"/>
        <item x="148"/>
        <item x="143"/>
        <item x="45"/>
        <item x="32"/>
        <item x="102"/>
        <item x="110"/>
        <item x="118"/>
        <item x="122"/>
        <item x="14"/>
        <item x="60"/>
        <item x="21"/>
        <item x="29"/>
        <item x="98"/>
        <item x="38"/>
        <item x="156"/>
        <item x="150"/>
        <item x="140"/>
        <item x="101"/>
        <item x="2"/>
        <item x="152"/>
        <item x="63"/>
        <item x="155"/>
        <item x="34"/>
        <item x="40"/>
        <item x="159"/>
        <item x="160"/>
        <item x="138"/>
        <item x="35"/>
        <item x="107"/>
        <item x="136"/>
        <item x="139"/>
        <item x="153"/>
        <item x="78"/>
        <item x="166"/>
        <item x="48"/>
        <item x="149"/>
        <item x="163"/>
        <item x="18"/>
        <item x="111"/>
        <item x="19"/>
        <item x="62"/>
        <item x="0"/>
        <item x="22"/>
        <item x="58"/>
        <item x="13"/>
        <item x="169"/>
        <item x="108"/>
        <item x="168"/>
        <item x="83"/>
        <item x="84"/>
        <item x="53"/>
        <item x="15"/>
        <item x="103"/>
        <item x="99"/>
        <item x="20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714A1-51E8-40A2-9DF6-2C0D2DF75610}" name="TablaDinámica3" cacheId="3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3" firstHeaderRow="1" firstDataRow="1" firstDataCol="1"/>
  <pivotFields count="12">
    <pivotField showAll="0"/>
    <pivotField showAll="0"/>
    <pivotField showAll="0"/>
    <pivotField showAll="0"/>
    <pivotField axis="axisRow" showAll="0">
      <items count="540">
        <item x="416"/>
        <item x="365"/>
        <item x="174"/>
        <item x="533"/>
        <item x="277"/>
        <item x="97"/>
        <item x="117"/>
        <item x="73"/>
        <item x="333"/>
        <item x="53"/>
        <item x="276"/>
        <item x="43"/>
        <item x="58"/>
        <item x="278"/>
        <item x="96"/>
        <item x="7"/>
        <item x="17"/>
        <item x="218"/>
        <item x="314"/>
        <item x="411"/>
        <item x="283"/>
        <item x="487"/>
        <item x="21"/>
        <item x="321"/>
        <item x="155"/>
        <item x="486"/>
        <item x="93"/>
        <item x="324"/>
        <item x="215"/>
        <item x="368"/>
        <item x="50"/>
        <item x="221"/>
        <item x="343"/>
        <item x="445"/>
        <item x="272"/>
        <item x="112"/>
        <item x="363"/>
        <item x="436"/>
        <item x="508"/>
        <item x="489"/>
        <item x="534"/>
        <item x="439"/>
        <item x="452"/>
        <item x="102"/>
        <item x="485"/>
        <item x="212"/>
        <item x="362"/>
        <item x="444"/>
        <item x="106"/>
        <item x="429"/>
        <item x="101"/>
        <item x="451"/>
        <item x="361"/>
        <item x="453"/>
        <item x="364"/>
        <item x="200"/>
        <item x="193"/>
        <item x="438"/>
        <item x="297"/>
        <item x="478"/>
        <item x="403"/>
        <item x="402"/>
        <item x="42"/>
        <item x="424"/>
        <item x="164"/>
        <item x="123"/>
        <item x="105"/>
        <item x="530"/>
        <item x="225"/>
        <item x="369"/>
        <item x="24"/>
        <item x="410"/>
        <item x="374"/>
        <item x="38"/>
        <item x="67"/>
        <item x="32"/>
        <item x="349"/>
        <item x="454"/>
        <item x="263"/>
        <item x="337"/>
        <item x="373"/>
        <item x="342"/>
        <item x="131"/>
        <item x="132"/>
        <item x="136"/>
        <item x="316"/>
        <item x="360"/>
        <item x="307"/>
        <item x="194"/>
        <item x="109"/>
        <item x="350"/>
        <item x="82"/>
        <item x="190"/>
        <item x="320"/>
        <item x="378"/>
        <item x="84"/>
        <item x="507"/>
        <item x="3"/>
        <item x="235"/>
        <item x="119"/>
        <item x="317"/>
        <item x="308"/>
        <item x="481"/>
        <item x="318"/>
        <item x="460"/>
        <item x="382"/>
        <item x="500"/>
        <item x="470"/>
        <item x="305"/>
        <item x="268"/>
        <item x="353"/>
        <item x="159"/>
        <item x="527"/>
        <item x="242"/>
        <item x="404"/>
        <item x="170"/>
        <item x="148"/>
        <item x="129"/>
        <item x="511"/>
        <item x="449"/>
        <item x="471"/>
        <item x="384"/>
        <item x="79"/>
        <item x="310"/>
        <item x="199"/>
        <item x="189"/>
        <item x="87"/>
        <item x="64"/>
        <item x="145"/>
        <item x="388"/>
        <item x="420"/>
        <item x="15"/>
        <item x="251"/>
        <item x="370"/>
        <item x="289"/>
        <item x="269"/>
        <item x="142"/>
        <item x="120"/>
        <item x="141"/>
        <item x="494"/>
        <item x="12"/>
        <item x="22"/>
        <item x="335"/>
        <item x="248"/>
        <item x="516"/>
        <item x="515"/>
        <item x="518"/>
        <item x="514"/>
        <item x="457"/>
        <item x="147"/>
        <item x="396"/>
        <item x="115"/>
        <item x="372"/>
        <item x="329"/>
        <item x="130"/>
        <item x="68"/>
        <item x="224"/>
        <item x="229"/>
        <item x="230"/>
        <item x="376"/>
        <item x="419"/>
        <item x="366"/>
        <item x="395"/>
        <item x="114"/>
        <item x="256"/>
        <item x="60"/>
        <item x="220"/>
        <item x="0"/>
        <item x="56"/>
        <item x="4"/>
        <item x="111"/>
        <item x="285"/>
        <item x="166"/>
        <item x="309"/>
        <item x="99"/>
        <item x="11"/>
        <item x="27"/>
        <item x="257"/>
        <item x="258"/>
        <item x="512"/>
        <item x="210"/>
        <item x="399"/>
        <item x="537"/>
        <item x="113"/>
        <item x="354"/>
        <item x="228"/>
        <item x="249"/>
        <item x="121"/>
        <item x="259"/>
        <item x="296"/>
        <item x="63"/>
        <item x="462"/>
        <item x="146"/>
        <item x="209"/>
        <item x="497"/>
        <item x="192"/>
        <item x="116"/>
        <item x="271"/>
        <item x="409"/>
        <item x="293"/>
        <item x="74"/>
        <item x="239"/>
        <item x="464"/>
        <item x="59"/>
        <item x="78"/>
        <item x="77"/>
        <item x="125"/>
        <item x="232"/>
        <item x="52"/>
        <item x="98"/>
        <item x="408"/>
        <item x="124"/>
        <item x="506"/>
        <item x="158"/>
        <item x="398"/>
        <item x="504"/>
        <item x="430"/>
        <item x="222"/>
        <item x="88"/>
        <item x="347"/>
        <item x="505"/>
        <item x="383"/>
        <item x="205"/>
        <item x="33"/>
        <item x="323"/>
        <item x="226"/>
        <item x="227"/>
        <item x="352"/>
        <item x="319"/>
        <item x="254"/>
        <item x="245"/>
        <item x="304"/>
        <item x="34"/>
        <item x="359"/>
        <item x="173"/>
        <item x="191"/>
        <item x="315"/>
        <item x="306"/>
        <item x="441"/>
        <item x="250"/>
        <item x="302"/>
        <item x="286"/>
        <item x="299"/>
        <item x="217"/>
        <item x="35"/>
        <item x="31"/>
        <item x="149"/>
        <item x="380"/>
        <item x="371"/>
        <item x="428"/>
        <item x="66"/>
        <item x="86"/>
        <item x="332"/>
        <item x="532"/>
        <item x="231"/>
        <item x="134"/>
        <item x="529"/>
        <item x="153"/>
        <item x="238"/>
        <item x="331"/>
        <item x="48"/>
        <item x="180"/>
        <item x="181"/>
        <item x="214"/>
        <item x="183"/>
        <item x="182"/>
        <item x="184"/>
        <item x="463"/>
        <item x="334"/>
        <item x="484"/>
        <item x="110"/>
        <item x="89"/>
        <item x="233"/>
        <item x="325"/>
        <item x="326"/>
        <item x="367"/>
        <item x="30"/>
        <item x="9"/>
        <item x="390"/>
        <item x="287"/>
        <item x="312"/>
        <item x="288"/>
        <item x="135"/>
        <item x="29"/>
        <item x="65"/>
        <item x="415"/>
        <item x="13"/>
        <item x="179"/>
        <item x="294"/>
        <item x="303"/>
        <item x="413"/>
        <item x="407"/>
        <item x="375"/>
        <item x="322"/>
        <item x="479"/>
        <item x="16"/>
        <item x="502"/>
        <item x="157"/>
        <item x="267"/>
        <item x="107"/>
        <item x="61"/>
        <item x="187"/>
        <item x="473"/>
        <item x="476"/>
        <item x="493"/>
        <item x="492"/>
        <item x="44"/>
        <item x="55"/>
        <item x="482"/>
        <item x="211"/>
        <item x="253"/>
        <item x="405"/>
        <item x="26"/>
        <item x="198"/>
        <item x="524"/>
        <item x="523"/>
        <item x="519"/>
        <item x="291"/>
        <item x="423"/>
        <item x="474"/>
        <item x="292"/>
        <item x="6"/>
        <item x="448"/>
        <item x="188"/>
        <item x="355"/>
        <item x="381"/>
        <item x="469"/>
        <item x="412"/>
        <item x="513"/>
        <item x="522"/>
        <item x="521"/>
        <item x="311"/>
        <item x="520"/>
        <item x="241"/>
        <item x="156"/>
        <item x="526"/>
        <item x="421"/>
        <item x="525"/>
        <item x="28"/>
        <item x="517"/>
        <item x="340"/>
        <item x="491"/>
        <item x="330"/>
        <item x="459"/>
        <item x="280"/>
        <item x="264"/>
        <item x="45"/>
        <item x="213"/>
        <item x="69"/>
        <item x="466"/>
        <item x="206"/>
        <item x="435"/>
        <item x="431"/>
        <item x="207"/>
        <item x="54"/>
        <item x="503"/>
        <item x="339"/>
        <item x="223"/>
        <item x="406"/>
        <item x="437"/>
        <item x="389"/>
        <item x="345"/>
        <item x="341"/>
        <item x="126"/>
        <item x="104"/>
        <item x="273"/>
        <item x="338"/>
        <item x="456"/>
        <item x="501"/>
        <item x="266"/>
        <item x="387"/>
        <item x="400"/>
        <item x="490"/>
        <item x="234"/>
        <item x="261"/>
        <item x="265"/>
        <item x="5"/>
        <item x="270"/>
        <item x="418"/>
        <item x="81"/>
        <item x="202"/>
        <item x="139"/>
        <item x="100"/>
        <item x="458"/>
        <item x="509"/>
        <item x="62"/>
        <item x="247"/>
        <item x="162"/>
        <item x="51"/>
        <item x="417"/>
        <item x="260"/>
        <item x="344"/>
        <item x="128"/>
        <item x="301"/>
        <item x="391"/>
        <item x="243"/>
        <item x="450"/>
        <item x="401"/>
        <item x="49"/>
        <item x="262"/>
        <item x="216"/>
        <item x="300"/>
        <item x="432"/>
        <item x="137"/>
        <item x="498"/>
        <item x="140"/>
        <item x="95"/>
        <item x="379"/>
        <item x="465"/>
        <item x="336"/>
        <item x="169"/>
        <item x="495"/>
        <item x="385"/>
        <item x="274"/>
        <item x="536"/>
        <item x="14"/>
        <item x="75"/>
        <item x="201"/>
        <item x="186"/>
        <item x="133"/>
        <item x="185"/>
        <item x="461"/>
        <item x="386"/>
        <item x="538"/>
        <item x="446"/>
        <item x="535"/>
        <item x="108"/>
        <item x="85"/>
        <item x="36"/>
        <item x="236"/>
        <item x="39"/>
        <item x="40"/>
        <item x="20"/>
        <item x="176"/>
        <item x="47"/>
        <item x="41"/>
        <item x="23"/>
        <item x="177"/>
        <item x="178"/>
        <item x="171"/>
        <item x="295"/>
        <item x="196"/>
        <item x="195"/>
        <item x="197"/>
        <item x="496"/>
        <item x="167"/>
        <item x="357"/>
        <item x="46"/>
        <item x="163"/>
        <item x="252"/>
        <item x="25"/>
        <item x="37"/>
        <item x="19"/>
        <item x="298"/>
        <item x="397"/>
        <item x="246"/>
        <item x="281"/>
        <item x="290"/>
        <item x="168"/>
        <item x="480"/>
        <item x="1"/>
        <item x="208"/>
        <item x="83"/>
        <item x="10"/>
        <item x="2"/>
        <item x="244"/>
        <item x="18"/>
        <item x="510"/>
        <item x="219"/>
        <item x="72"/>
        <item x="143"/>
        <item x="284"/>
        <item x="118"/>
        <item x="161"/>
        <item x="160"/>
        <item x="152"/>
        <item x="150"/>
        <item x="175"/>
        <item x="71"/>
        <item x="154"/>
        <item x="151"/>
        <item x="414"/>
        <item x="70"/>
        <item x="434"/>
        <item x="392"/>
        <item x="393"/>
        <item x="433"/>
        <item x="447"/>
        <item x="443"/>
        <item x="103"/>
        <item x="440"/>
        <item x="531"/>
        <item x="488"/>
        <item x="358"/>
        <item x="427"/>
        <item x="346"/>
        <item x="356"/>
        <item x="467"/>
        <item x="203"/>
        <item x="426"/>
        <item x="377"/>
        <item x="475"/>
        <item x="455"/>
        <item x="477"/>
        <item x="442"/>
        <item x="127"/>
        <item x="313"/>
        <item x="425"/>
        <item x="144"/>
        <item x="76"/>
        <item x="90"/>
        <item x="204"/>
        <item x="351"/>
        <item x="91"/>
        <item x="328"/>
        <item x="8"/>
        <item x="92"/>
        <item x="165"/>
        <item x="422"/>
        <item x="327"/>
        <item x="80"/>
        <item x="122"/>
        <item x="499"/>
        <item x="483"/>
        <item x="472"/>
        <item x="94"/>
        <item x="275"/>
        <item x="255"/>
        <item x="394"/>
        <item x="240"/>
        <item x="468"/>
        <item x="348"/>
        <item x="282"/>
        <item x="57"/>
        <item x="138"/>
        <item x="237"/>
        <item x="279"/>
        <item x="528"/>
        <item x="172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5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B90F-C423-42FC-A5CC-F70ABB8B78C3}">
  <dimension ref="A1:O241"/>
  <sheetViews>
    <sheetView tabSelected="1" zoomScale="90" zoomScaleNormal="90" workbookViewId="0">
      <pane xSplit="5" ySplit="2" topLeftCell="F3" activePane="bottomRight" state="frozen"/>
      <selection pane="topRight" activeCell="D1" sqref="D1"/>
      <selection pane="bottomLeft" activeCell="A3" sqref="A3"/>
      <selection pane="bottomRight" activeCell="M2" sqref="M2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3" t="s">
        <v>0</v>
      </c>
      <c r="H1" s="33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4" si="0">+YEAR(B3)</f>
        <v>2021</v>
      </c>
      <c r="B3" s="18" t="s">
        <v>764</v>
      </c>
      <c r="C3" s="18" t="s">
        <v>596</v>
      </c>
      <c r="D3" s="12">
        <v>13382</v>
      </c>
      <c r="E3" s="17" t="s">
        <v>519</v>
      </c>
      <c r="F3" s="12" t="s">
        <v>446</v>
      </c>
      <c r="G3" s="14">
        <v>1</v>
      </c>
      <c r="H3" s="24">
        <v>33000</v>
      </c>
      <c r="I3" s="12" t="s">
        <v>640</v>
      </c>
      <c r="J3" s="6" t="s">
        <v>612</v>
      </c>
      <c r="K3" s="6">
        <f t="shared" ref="K3:K4" si="1">+MONTH(B3)</f>
        <v>7</v>
      </c>
      <c r="L3" s="6" t="str">
        <f t="shared" ref="L3:L66" si="2">VLOOKUP(K3,N:O,2,0)</f>
        <v>JULIO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2021</v>
      </c>
      <c r="B4" s="18" t="s">
        <v>765</v>
      </c>
      <c r="C4" s="18" t="s">
        <v>596</v>
      </c>
      <c r="D4" s="12">
        <v>13320</v>
      </c>
      <c r="E4" s="17">
        <v>10124501</v>
      </c>
      <c r="F4" s="12" t="s">
        <v>550</v>
      </c>
      <c r="G4" s="14">
        <v>1</v>
      </c>
      <c r="H4" s="24">
        <v>1000000.17</v>
      </c>
      <c r="I4" s="12" t="s">
        <v>553</v>
      </c>
      <c r="J4" s="6" t="s">
        <v>612</v>
      </c>
      <c r="K4" s="6">
        <f t="shared" si="1"/>
        <v>7</v>
      </c>
      <c r="L4" s="6" t="str">
        <f t="shared" si="2"/>
        <v>JULIO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ref="A5:A9" si="3">+YEAR(B5)</f>
        <v>2023</v>
      </c>
      <c r="B5" s="18" t="s">
        <v>751</v>
      </c>
      <c r="C5" s="18" t="s">
        <v>596</v>
      </c>
      <c r="D5" s="12">
        <v>17828</v>
      </c>
      <c r="E5" s="17" t="s">
        <v>251</v>
      </c>
      <c r="F5" s="12" t="s">
        <v>252</v>
      </c>
      <c r="G5" s="14">
        <v>1</v>
      </c>
      <c r="H5" s="24">
        <v>64000</v>
      </c>
      <c r="I5" s="12" t="s">
        <v>636</v>
      </c>
      <c r="J5" s="6" t="s">
        <v>615</v>
      </c>
      <c r="K5" s="6">
        <f t="shared" ref="K5:K9" si="4">+MONTH(B5)</f>
        <v>12</v>
      </c>
      <c r="L5" s="6" t="str">
        <f t="shared" si="2"/>
        <v>DICIEMBRE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3"/>
        <v>2023</v>
      </c>
      <c r="B6" s="18" t="s">
        <v>751</v>
      </c>
      <c r="C6" s="18" t="s">
        <v>596</v>
      </c>
      <c r="D6" s="12">
        <v>17825</v>
      </c>
      <c r="E6" s="17" t="s">
        <v>436</v>
      </c>
      <c r="F6" s="12" t="s">
        <v>437</v>
      </c>
      <c r="G6" s="14">
        <v>1</v>
      </c>
      <c r="H6" s="24">
        <v>52000</v>
      </c>
      <c r="I6" s="12" t="s">
        <v>636</v>
      </c>
      <c r="J6" s="6" t="s">
        <v>615</v>
      </c>
      <c r="K6" s="6">
        <f t="shared" si="4"/>
        <v>12</v>
      </c>
      <c r="L6" s="6" t="str">
        <f t="shared" si="2"/>
        <v>DICIEMBRE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3"/>
        <v>2023</v>
      </c>
      <c r="B7" s="18" t="s">
        <v>751</v>
      </c>
      <c r="C7" s="18" t="s">
        <v>596</v>
      </c>
      <c r="D7" s="12">
        <v>17825</v>
      </c>
      <c r="E7" s="17" t="s">
        <v>346</v>
      </c>
      <c r="F7" s="12" t="s">
        <v>347</v>
      </c>
      <c r="G7" s="14">
        <v>1</v>
      </c>
      <c r="H7" s="24">
        <v>125000</v>
      </c>
      <c r="I7" s="12" t="s">
        <v>636</v>
      </c>
      <c r="J7" s="6" t="s">
        <v>615</v>
      </c>
      <c r="K7" s="6">
        <f t="shared" si="4"/>
        <v>12</v>
      </c>
      <c r="L7" s="6" t="str">
        <f t="shared" si="2"/>
        <v>DICIEMBRE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3"/>
        <v>2023</v>
      </c>
      <c r="B8" s="18" t="s">
        <v>852</v>
      </c>
      <c r="C8" s="18" t="s">
        <v>596</v>
      </c>
      <c r="D8" s="12">
        <v>16867</v>
      </c>
      <c r="E8" s="17" t="s">
        <v>548</v>
      </c>
      <c r="F8" s="12" t="s">
        <v>549</v>
      </c>
      <c r="G8" s="14">
        <v>1</v>
      </c>
      <c r="H8" s="24">
        <v>340000</v>
      </c>
      <c r="I8" s="12" t="s">
        <v>641</v>
      </c>
      <c r="J8" s="6" t="s">
        <v>608</v>
      </c>
      <c r="K8" s="6">
        <f t="shared" si="4"/>
        <v>5</v>
      </c>
      <c r="L8" s="6" t="str">
        <f t="shared" si="2"/>
        <v>MAYO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3"/>
        <v>2023</v>
      </c>
      <c r="B9" s="18" t="s">
        <v>751</v>
      </c>
      <c r="C9" s="18" t="s">
        <v>596</v>
      </c>
      <c r="D9" s="12">
        <v>17824</v>
      </c>
      <c r="E9" s="17" t="s">
        <v>1268</v>
      </c>
      <c r="F9" s="12" t="s">
        <v>591</v>
      </c>
      <c r="G9" s="14">
        <v>1</v>
      </c>
      <c r="H9" s="24">
        <v>400000</v>
      </c>
      <c r="I9" s="12" t="s">
        <v>636</v>
      </c>
      <c r="J9" s="6" t="s">
        <v>615</v>
      </c>
      <c r="K9" s="6">
        <f t="shared" si="4"/>
        <v>12</v>
      </c>
      <c r="L9" s="6" t="str">
        <f t="shared" si="2"/>
        <v>DICIEMBRE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ref="A10:A16" si="5">+YEAR(B10)</f>
        <v>2024</v>
      </c>
      <c r="B10" s="18" t="s">
        <v>777</v>
      </c>
      <c r="C10" s="18" t="s">
        <v>596</v>
      </c>
      <c r="D10" s="12">
        <v>18413</v>
      </c>
      <c r="E10" s="17" t="s">
        <v>551</v>
      </c>
      <c r="F10" s="12" t="s">
        <v>552</v>
      </c>
      <c r="G10" s="14">
        <v>1</v>
      </c>
      <c r="H10" s="24">
        <v>128081</v>
      </c>
      <c r="I10" s="12" t="s">
        <v>625</v>
      </c>
      <c r="J10" s="6" t="s">
        <v>626</v>
      </c>
      <c r="K10" s="6">
        <f t="shared" ref="K10:K16" si="6">+MONTH(B10)</f>
        <v>4</v>
      </c>
      <c r="L10" s="6" t="str">
        <f t="shared" si="2"/>
        <v>ABRIL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5"/>
        <v>2024</v>
      </c>
      <c r="B11" s="18" t="s">
        <v>883</v>
      </c>
      <c r="C11" s="18" t="s">
        <v>596</v>
      </c>
      <c r="D11" s="12">
        <v>19326</v>
      </c>
      <c r="E11" s="17">
        <v>4303428</v>
      </c>
      <c r="F11" s="12" t="s">
        <v>885</v>
      </c>
      <c r="G11" s="14">
        <v>1</v>
      </c>
      <c r="H11" s="24">
        <v>375000</v>
      </c>
      <c r="I11" s="12" t="s">
        <v>625</v>
      </c>
      <c r="J11" s="6" t="s">
        <v>615</v>
      </c>
      <c r="K11" s="6">
        <f t="shared" si="6"/>
        <v>11</v>
      </c>
      <c r="L11" s="6" t="str">
        <f t="shared" si="2"/>
        <v>NOVIEMBRE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5"/>
        <v>2024</v>
      </c>
      <c r="B12" s="18" t="s">
        <v>883</v>
      </c>
      <c r="C12" s="18" t="s">
        <v>596</v>
      </c>
      <c r="D12" s="12">
        <v>19326</v>
      </c>
      <c r="E12" s="17" t="s">
        <v>917</v>
      </c>
      <c r="F12" s="12" t="s">
        <v>884</v>
      </c>
      <c r="G12" s="14">
        <v>1</v>
      </c>
      <c r="H12" s="24">
        <v>500000</v>
      </c>
      <c r="I12" s="12" t="s">
        <v>625</v>
      </c>
      <c r="J12" s="6" t="s">
        <v>615</v>
      </c>
      <c r="K12" s="6">
        <f t="shared" si="6"/>
        <v>11</v>
      </c>
      <c r="L12" s="6" t="str">
        <f t="shared" si="2"/>
        <v>NOVIEMBRE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5"/>
        <v>2024</v>
      </c>
      <c r="B13" s="18" t="s">
        <v>812</v>
      </c>
      <c r="C13" s="18" t="s">
        <v>596</v>
      </c>
      <c r="D13" s="12">
        <v>19040</v>
      </c>
      <c r="E13" s="17">
        <v>3803977</v>
      </c>
      <c r="F13" s="12" t="s">
        <v>737</v>
      </c>
      <c r="G13" s="14">
        <v>2</v>
      </c>
      <c r="H13" s="24">
        <v>334000</v>
      </c>
      <c r="I13" s="12" t="s">
        <v>625</v>
      </c>
      <c r="J13" s="6" t="s">
        <v>612</v>
      </c>
      <c r="K13" s="6">
        <f t="shared" si="6"/>
        <v>9</v>
      </c>
      <c r="L13" s="6" t="str">
        <f t="shared" si="2"/>
        <v>SEPTIEMBRE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5"/>
        <v>2024</v>
      </c>
      <c r="B14" s="18" t="s">
        <v>768</v>
      </c>
      <c r="C14" s="18" t="s">
        <v>596</v>
      </c>
      <c r="D14" s="12">
        <v>18393</v>
      </c>
      <c r="E14" s="17" t="s">
        <v>658</v>
      </c>
      <c r="F14" s="12" t="s">
        <v>661</v>
      </c>
      <c r="G14" s="14">
        <v>1</v>
      </c>
      <c r="H14" s="24">
        <v>2200000</v>
      </c>
      <c r="I14" s="12" t="s">
        <v>657</v>
      </c>
      <c r="J14" s="6" t="s">
        <v>608</v>
      </c>
      <c r="K14" s="6">
        <f t="shared" si="6"/>
        <v>4</v>
      </c>
      <c r="L14" s="6" t="str">
        <f t="shared" si="2"/>
        <v>ABRIL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5"/>
        <v>2024</v>
      </c>
      <c r="B15" s="18" t="s">
        <v>861</v>
      </c>
      <c r="C15" s="18" t="s">
        <v>596</v>
      </c>
      <c r="D15" s="12">
        <v>18619</v>
      </c>
      <c r="E15" s="17" t="s">
        <v>655</v>
      </c>
      <c r="F15" s="12" t="s">
        <v>656</v>
      </c>
      <c r="G15" s="14">
        <v>1</v>
      </c>
      <c r="H15" s="24">
        <v>15000</v>
      </c>
      <c r="I15" s="12" t="s">
        <v>657</v>
      </c>
      <c r="J15" s="6" t="s">
        <v>608</v>
      </c>
      <c r="K15" s="6">
        <f t="shared" si="6"/>
        <v>6</v>
      </c>
      <c r="L15" s="6" t="str">
        <f t="shared" si="2"/>
        <v>JUNIO</v>
      </c>
      <c r="M15" s="3"/>
    </row>
    <row r="16" spans="1:15" s="1" customFormat="1" x14ac:dyDescent="0.25">
      <c r="A16" s="5">
        <f t="shared" si="5"/>
        <v>2024</v>
      </c>
      <c r="B16" s="18" t="s">
        <v>871</v>
      </c>
      <c r="C16" s="18" t="s">
        <v>596</v>
      </c>
      <c r="D16" s="12">
        <v>19183</v>
      </c>
      <c r="E16" s="17" t="s">
        <v>872</v>
      </c>
      <c r="F16" s="12" t="s">
        <v>873</v>
      </c>
      <c r="G16" s="14">
        <v>1</v>
      </c>
      <c r="H16" s="24">
        <v>0.95</v>
      </c>
      <c r="I16" s="12" t="s">
        <v>875</v>
      </c>
      <c r="J16" s="6" t="s">
        <v>612</v>
      </c>
      <c r="K16" s="6">
        <f t="shared" si="6"/>
        <v>10</v>
      </c>
      <c r="L16" s="6" t="str">
        <f t="shared" si="2"/>
        <v>OCTUBRE</v>
      </c>
      <c r="M16" s="3"/>
    </row>
    <row r="17" spans="1:12" x14ac:dyDescent="0.25">
      <c r="A17" s="5">
        <f t="shared" ref="A17:A70" si="7">+YEAR(B17)</f>
        <v>2025</v>
      </c>
      <c r="B17" s="18" t="s">
        <v>969</v>
      </c>
      <c r="C17" s="18" t="s">
        <v>596</v>
      </c>
      <c r="D17" s="12">
        <v>20009</v>
      </c>
      <c r="E17" s="17" t="s">
        <v>1210</v>
      </c>
      <c r="F17" s="12" t="s">
        <v>981</v>
      </c>
      <c r="G17" s="14">
        <v>1</v>
      </c>
      <c r="H17" s="24">
        <v>345000.1</v>
      </c>
      <c r="I17" s="12" t="s">
        <v>633</v>
      </c>
      <c r="J17" s="6" t="s">
        <v>612</v>
      </c>
      <c r="K17" s="6">
        <f t="shared" ref="K17:K70" si="8">+MONTH(B17)</f>
        <v>4</v>
      </c>
      <c r="L17" s="6" t="str">
        <f t="shared" si="2"/>
        <v>ABRIL</v>
      </c>
    </row>
    <row r="18" spans="1:12" x14ac:dyDescent="0.25">
      <c r="A18" s="5">
        <f t="shared" si="7"/>
        <v>2025</v>
      </c>
      <c r="B18" s="18" t="s">
        <v>913</v>
      </c>
      <c r="C18" s="18" t="s">
        <v>596</v>
      </c>
      <c r="D18" s="12">
        <v>19702</v>
      </c>
      <c r="E18" s="17" t="s">
        <v>919</v>
      </c>
      <c r="F18" s="12" t="s">
        <v>922</v>
      </c>
      <c r="G18" s="14">
        <v>1</v>
      </c>
      <c r="H18" s="24">
        <v>1894737</v>
      </c>
      <c r="I18" s="12" t="s">
        <v>923</v>
      </c>
      <c r="J18" s="6" t="s">
        <v>612</v>
      </c>
      <c r="K18" s="6">
        <f t="shared" si="8"/>
        <v>2</v>
      </c>
      <c r="L18" s="6" t="str">
        <f t="shared" si="2"/>
        <v>FEBRERO</v>
      </c>
    </row>
    <row r="19" spans="1:12" x14ac:dyDescent="0.25">
      <c r="A19" s="5">
        <f t="shared" si="7"/>
        <v>2025</v>
      </c>
      <c r="B19" s="18" t="s">
        <v>929</v>
      </c>
      <c r="C19" s="18" t="s">
        <v>596</v>
      </c>
      <c r="D19" s="12">
        <v>19773</v>
      </c>
      <c r="E19" s="17">
        <v>4303428</v>
      </c>
      <c r="F19" s="12" t="s">
        <v>885</v>
      </c>
      <c r="G19" s="14">
        <v>1</v>
      </c>
      <c r="H19" s="24">
        <v>348000</v>
      </c>
      <c r="I19" s="12" t="s">
        <v>712</v>
      </c>
      <c r="J19" s="6" t="s">
        <v>608</v>
      </c>
      <c r="K19" s="6">
        <f t="shared" si="8"/>
        <v>2</v>
      </c>
      <c r="L19" s="6" t="str">
        <f t="shared" si="2"/>
        <v>FEBRERO</v>
      </c>
    </row>
    <row r="20" spans="1:12" x14ac:dyDescent="0.25">
      <c r="A20" s="5">
        <f t="shared" si="7"/>
        <v>2025</v>
      </c>
      <c r="B20" s="18" t="s">
        <v>929</v>
      </c>
      <c r="C20" s="18" t="s">
        <v>596</v>
      </c>
      <c r="D20" s="12">
        <v>19773</v>
      </c>
      <c r="E20" s="17" t="s">
        <v>917</v>
      </c>
      <c r="F20" s="12" t="s">
        <v>884</v>
      </c>
      <c r="G20" s="14">
        <v>1</v>
      </c>
      <c r="H20" s="24">
        <v>480000</v>
      </c>
      <c r="I20" s="12" t="s">
        <v>712</v>
      </c>
      <c r="J20" s="6" t="s">
        <v>608</v>
      </c>
      <c r="K20" s="6">
        <f t="shared" si="8"/>
        <v>2</v>
      </c>
      <c r="L20" s="6" t="str">
        <f t="shared" si="2"/>
        <v>FEBRERO</v>
      </c>
    </row>
    <row r="21" spans="1:12" x14ac:dyDescent="0.25">
      <c r="A21" s="5">
        <f t="shared" si="7"/>
        <v>2025</v>
      </c>
      <c r="B21" s="18" t="s">
        <v>944</v>
      </c>
      <c r="C21" s="18" t="s">
        <v>596</v>
      </c>
      <c r="D21" s="12">
        <v>19818</v>
      </c>
      <c r="E21" s="17" t="s">
        <v>713</v>
      </c>
      <c r="F21" s="12" t="s">
        <v>718</v>
      </c>
      <c r="G21" s="14">
        <v>2</v>
      </c>
      <c r="H21" s="24">
        <v>6432568</v>
      </c>
      <c r="I21" s="12" t="s">
        <v>637</v>
      </c>
      <c r="J21" s="6" t="s">
        <v>615</v>
      </c>
      <c r="K21" s="6">
        <f t="shared" si="8"/>
        <v>3</v>
      </c>
      <c r="L21" s="6" t="str">
        <f t="shared" si="2"/>
        <v>MARZO</v>
      </c>
    </row>
    <row r="22" spans="1:12" x14ac:dyDescent="0.25">
      <c r="A22" s="5">
        <f t="shared" si="7"/>
        <v>2025</v>
      </c>
      <c r="B22" s="18" t="s">
        <v>1026</v>
      </c>
      <c r="C22" s="18" t="s">
        <v>596</v>
      </c>
      <c r="D22" s="12">
        <v>20284</v>
      </c>
      <c r="E22" s="17" t="s">
        <v>1035</v>
      </c>
      <c r="F22" s="12" t="s">
        <v>1041</v>
      </c>
      <c r="G22" s="14">
        <v>1</v>
      </c>
      <c r="H22" s="24">
        <v>9599999.4399999995</v>
      </c>
      <c r="I22" s="12" t="s">
        <v>705</v>
      </c>
      <c r="J22" s="6" t="s">
        <v>612</v>
      </c>
      <c r="K22" s="6">
        <f t="shared" si="8"/>
        <v>5</v>
      </c>
      <c r="L22" s="6" t="str">
        <f t="shared" si="2"/>
        <v>MAYO</v>
      </c>
    </row>
    <row r="23" spans="1:12" x14ac:dyDescent="0.25">
      <c r="A23" s="5">
        <f t="shared" si="7"/>
        <v>2025</v>
      </c>
      <c r="B23" s="18" t="s">
        <v>1144</v>
      </c>
      <c r="C23" s="18" t="s">
        <v>596</v>
      </c>
      <c r="D23" s="12">
        <v>20714</v>
      </c>
      <c r="E23" s="17" t="s">
        <v>1147</v>
      </c>
      <c r="F23" s="12" t="s">
        <v>1148</v>
      </c>
      <c r="G23" s="14">
        <v>2</v>
      </c>
      <c r="H23" s="24">
        <v>52000</v>
      </c>
      <c r="I23" s="12" t="s">
        <v>657</v>
      </c>
      <c r="J23" s="6" t="s">
        <v>608</v>
      </c>
      <c r="K23" s="6">
        <f t="shared" si="8"/>
        <v>8</v>
      </c>
      <c r="L23" s="6" t="str">
        <f t="shared" si="2"/>
        <v>AGOSTO</v>
      </c>
    </row>
    <row r="24" spans="1:12" x14ac:dyDescent="0.25">
      <c r="A24" s="5">
        <f t="shared" si="7"/>
        <v>2025</v>
      </c>
      <c r="B24" s="18" t="s">
        <v>1066</v>
      </c>
      <c r="C24" s="18" t="s">
        <v>596</v>
      </c>
      <c r="D24" s="12">
        <v>20445</v>
      </c>
      <c r="E24" s="17" t="s">
        <v>92</v>
      </c>
      <c r="F24" s="12" t="s">
        <v>93</v>
      </c>
      <c r="G24" s="14">
        <v>1</v>
      </c>
      <c r="H24" s="24">
        <v>32300</v>
      </c>
      <c r="I24" s="12" t="s">
        <v>1100</v>
      </c>
      <c r="J24" s="6" t="s">
        <v>892</v>
      </c>
      <c r="K24" s="6">
        <f t="shared" si="8"/>
        <v>7</v>
      </c>
      <c r="L24" s="6" t="str">
        <f t="shared" si="2"/>
        <v>JULIO</v>
      </c>
    </row>
    <row r="25" spans="1:12" x14ac:dyDescent="0.25">
      <c r="A25" s="5">
        <f t="shared" si="7"/>
        <v>2025</v>
      </c>
      <c r="B25" s="18" t="s">
        <v>1354</v>
      </c>
      <c r="C25" s="18" t="s">
        <v>596</v>
      </c>
      <c r="D25" s="12">
        <v>21369</v>
      </c>
      <c r="E25" s="17" t="s">
        <v>1373</v>
      </c>
      <c r="F25" s="12" t="s">
        <v>1374</v>
      </c>
      <c r="G25" s="14">
        <v>1</v>
      </c>
      <c r="H25" s="24">
        <v>2500000</v>
      </c>
      <c r="I25" s="12" t="s">
        <v>1417</v>
      </c>
      <c r="J25" s="6" t="s">
        <v>1419</v>
      </c>
      <c r="K25" s="6">
        <f t="shared" si="8"/>
        <v>12</v>
      </c>
      <c r="L25" s="6" t="str">
        <f t="shared" si="2"/>
        <v>DICIEMBRE</v>
      </c>
    </row>
    <row r="26" spans="1:12" x14ac:dyDescent="0.25">
      <c r="A26" s="5">
        <f t="shared" si="7"/>
        <v>2025</v>
      </c>
      <c r="B26" s="18" t="s">
        <v>1126</v>
      </c>
      <c r="C26" s="18" t="s">
        <v>596</v>
      </c>
      <c r="D26" s="12">
        <v>20674</v>
      </c>
      <c r="E26" s="17" t="s">
        <v>1131</v>
      </c>
      <c r="F26" s="12" t="s">
        <v>1132</v>
      </c>
      <c r="G26" s="14">
        <v>1</v>
      </c>
      <c r="H26" s="24">
        <v>175543.85</v>
      </c>
      <c r="I26" s="12" t="s">
        <v>1133</v>
      </c>
      <c r="J26" s="6" t="s">
        <v>612</v>
      </c>
      <c r="K26" s="6">
        <f t="shared" si="8"/>
        <v>8</v>
      </c>
      <c r="L26" s="6" t="str">
        <f t="shared" si="2"/>
        <v>AGOSTO</v>
      </c>
    </row>
    <row r="27" spans="1:12" x14ac:dyDescent="0.25">
      <c r="A27" s="5">
        <f t="shared" si="7"/>
        <v>2025</v>
      </c>
      <c r="B27" s="18" t="s">
        <v>1136</v>
      </c>
      <c r="C27" s="18" t="s">
        <v>596</v>
      </c>
      <c r="D27" s="12">
        <v>20695</v>
      </c>
      <c r="E27" s="17" t="s">
        <v>1138</v>
      </c>
      <c r="F27" s="12" t="s">
        <v>1139</v>
      </c>
      <c r="G27" s="14">
        <v>1</v>
      </c>
      <c r="H27" s="24">
        <v>249999.81</v>
      </c>
      <c r="I27" s="12" t="s">
        <v>635</v>
      </c>
      <c r="J27" s="6" t="s">
        <v>614</v>
      </c>
      <c r="K27" s="6">
        <f t="shared" si="8"/>
        <v>8</v>
      </c>
      <c r="L27" s="6" t="str">
        <f t="shared" si="2"/>
        <v>AGOSTO</v>
      </c>
    </row>
    <row r="28" spans="1:12" x14ac:dyDescent="0.25">
      <c r="A28" s="5">
        <f t="shared" si="7"/>
        <v>2025</v>
      </c>
      <c r="B28" s="18" t="s">
        <v>1114</v>
      </c>
      <c r="C28" s="18" t="s">
        <v>596</v>
      </c>
      <c r="D28" s="12">
        <v>20658</v>
      </c>
      <c r="E28" s="17">
        <v>9908505</v>
      </c>
      <c r="F28" s="12" t="s">
        <v>1119</v>
      </c>
      <c r="G28" s="14">
        <v>1</v>
      </c>
      <c r="H28" s="24">
        <v>1684783</v>
      </c>
      <c r="I28" s="12" t="s">
        <v>638</v>
      </c>
      <c r="J28" s="6" t="s">
        <v>612</v>
      </c>
      <c r="K28" s="6">
        <f t="shared" si="8"/>
        <v>8</v>
      </c>
      <c r="L28" s="6" t="str">
        <f t="shared" si="2"/>
        <v>AGOSTO</v>
      </c>
    </row>
    <row r="29" spans="1:12" x14ac:dyDescent="0.25">
      <c r="A29" s="5">
        <f t="shared" si="7"/>
        <v>2025</v>
      </c>
      <c r="B29" s="18" t="s">
        <v>1114</v>
      </c>
      <c r="C29" s="18" t="s">
        <v>596</v>
      </c>
      <c r="D29" s="12">
        <v>20658</v>
      </c>
      <c r="E29" s="17" t="s">
        <v>1117</v>
      </c>
      <c r="F29" s="12" t="s">
        <v>1118</v>
      </c>
      <c r="G29" s="14">
        <v>1</v>
      </c>
      <c r="H29" s="24">
        <v>440000</v>
      </c>
      <c r="I29" s="12" t="s">
        <v>638</v>
      </c>
      <c r="J29" s="6" t="s">
        <v>612</v>
      </c>
      <c r="K29" s="6">
        <f t="shared" si="8"/>
        <v>8</v>
      </c>
      <c r="L29" s="6" t="str">
        <f t="shared" si="2"/>
        <v>AGOSTO</v>
      </c>
    </row>
    <row r="30" spans="1:12" x14ac:dyDescent="0.25">
      <c r="A30" s="5">
        <f t="shared" si="7"/>
        <v>2025</v>
      </c>
      <c r="B30" s="18" t="s">
        <v>1274</v>
      </c>
      <c r="C30" s="18" t="s">
        <v>596</v>
      </c>
      <c r="D30" s="12">
        <v>21172</v>
      </c>
      <c r="E30" s="17" t="s">
        <v>1278</v>
      </c>
      <c r="F30" s="12" t="s">
        <v>1279</v>
      </c>
      <c r="G30" s="14">
        <v>10</v>
      </c>
      <c r="H30" s="24">
        <v>1648600</v>
      </c>
      <c r="I30" s="12" t="s">
        <v>625</v>
      </c>
      <c r="J30" s="6" t="s">
        <v>610</v>
      </c>
      <c r="K30" s="6">
        <f t="shared" si="8"/>
        <v>11</v>
      </c>
      <c r="L30" s="6" t="str">
        <f t="shared" si="2"/>
        <v>NOVIEMBRE</v>
      </c>
    </row>
    <row r="31" spans="1:12" x14ac:dyDescent="0.25">
      <c r="A31" s="5">
        <f t="shared" si="7"/>
        <v>2025</v>
      </c>
      <c r="B31" s="18" t="s">
        <v>1274</v>
      </c>
      <c r="C31" s="18" t="s">
        <v>596</v>
      </c>
      <c r="D31" s="12">
        <v>21172</v>
      </c>
      <c r="E31" s="17" t="s">
        <v>1280</v>
      </c>
      <c r="F31" s="12" t="s">
        <v>1281</v>
      </c>
      <c r="G31" s="14">
        <v>5</v>
      </c>
      <c r="H31" s="24">
        <v>1002540</v>
      </c>
      <c r="I31" s="12" t="s">
        <v>625</v>
      </c>
      <c r="J31" s="6" t="s">
        <v>610</v>
      </c>
      <c r="K31" s="6">
        <f t="shared" si="8"/>
        <v>11</v>
      </c>
      <c r="L31" s="6" t="str">
        <f t="shared" si="2"/>
        <v>NOVIEMBRE</v>
      </c>
    </row>
    <row r="32" spans="1:12" x14ac:dyDescent="0.25">
      <c r="A32" s="5">
        <f t="shared" si="7"/>
        <v>2025</v>
      </c>
      <c r="B32" s="18" t="s">
        <v>1274</v>
      </c>
      <c r="C32" s="18" t="s">
        <v>596</v>
      </c>
      <c r="D32" s="12">
        <v>21172</v>
      </c>
      <c r="E32" s="17" t="s">
        <v>325</v>
      </c>
      <c r="F32" s="12" t="s">
        <v>326</v>
      </c>
      <c r="G32" s="14">
        <v>5</v>
      </c>
      <c r="H32" s="24">
        <v>1125000</v>
      </c>
      <c r="I32" s="12" t="s">
        <v>625</v>
      </c>
      <c r="J32" s="6" t="s">
        <v>610</v>
      </c>
      <c r="K32" s="6">
        <f t="shared" si="8"/>
        <v>11</v>
      </c>
      <c r="L32" s="6" t="str">
        <f t="shared" si="2"/>
        <v>NOVIEMBRE</v>
      </c>
    </row>
    <row r="33" spans="1:12" x14ac:dyDescent="0.25">
      <c r="A33" s="5">
        <f t="shared" si="7"/>
        <v>2025</v>
      </c>
      <c r="B33" s="18" t="s">
        <v>1180</v>
      </c>
      <c r="C33" s="18" t="s">
        <v>596</v>
      </c>
      <c r="D33" s="12">
        <v>20928</v>
      </c>
      <c r="E33" s="17">
        <v>691934</v>
      </c>
      <c r="F33" s="12" t="s">
        <v>1181</v>
      </c>
      <c r="G33" s="14">
        <v>1</v>
      </c>
      <c r="H33" s="24">
        <v>156000</v>
      </c>
      <c r="I33" s="12" t="s">
        <v>1063</v>
      </c>
      <c r="J33" s="6" t="s">
        <v>609</v>
      </c>
      <c r="K33" s="6">
        <f t="shared" si="8"/>
        <v>9</v>
      </c>
      <c r="L33" s="6" t="str">
        <f t="shared" si="2"/>
        <v>SEPTIEMBRE</v>
      </c>
    </row>
    <row r="34" spans="1:12" x14ac:dyDescent="0.25">
      <c r="A34" s="5">
        <f t="shared" si="7"/>
        <v>2025</v>
      </c>
      <c r="B34" s="18" t="s">
        <v>1256</v>
      </c>
      <c r="C34" s="18" t="s">
        <v>596</v>
      </c>
      <c r="D34" s="12">
        <v>21107</v>
      </c>
      <c r="E34" s="17" t="s">
        <v>1257</v>
      </c>
      <c r="F34" s="12" t="s">
        <v>1258</v>
      </c>
      <c r="G34" s="14">
        <v>1</v>
      </c>
      <c r="H34" s="24">
        <v>697360</v>
      </c>
      <c r="I34" s="12" t="s">
        <v>1259</v>
      </c>
      <c r="J34" s="6" t="s">
        <v>609</v>
      </c>
      <c r="K34" s="6">
        <f t="shared" si="8"/>
        <v>10</v>
      </c>
      <c r="L34" s="6" t="str">
        <f t="shared" si="2"/>
        <v>OCTUBRE</v>
      </c>
    </row>
    <row r="35" spans="1:12" x14ac:dyDescent="0.25">
      <c r="A35" s="5">
        <f t="shared" si="7"/>
        <v>2025</v>
      </c>
      <c r="B35" s="18" t="s">
        <v>1354</v>
      </c>
      <c r="C35" s="18" t="s">
        <v>596</v>
      </c>
      <c r="D35" s="12">
        <v>21370</v>
      </c>
      <c r="E35" s="17" t="s">
        <v>936</v>
      </c>
      <c r="F35" s="12" t="s">
        <v>937</v>
      </c>
      <c r="G35" s="14">
        <v>6</v>
      </c>
      <c r="H35" s="24">
        <v>300000</v>
      </c>
      <c r="I35" s="12" t="s">
        <v>637</v>
      </c>
      <c r="J35" s="6" t="s">
        <v>615</v>
      </c>
      <c r="K35" s="6">
        <f t="shared" si="8"/>
        <v>12</v>
      </c>
      <c r="L35" s="6" t="str">
        <f t="shared" si="2"/>
        <v>DICIEMBRE</v>
      </c>
    </row>
    <row r="36" spans="1:12" x14ac:dyDescent="0.25">
      <c r="A36" s="5">
        <f t="shared" si="7"/>
        <v>2025</v>
      </c>
      <c r="B36" s="18" t="s">
        <v>1354</v>
      </c>
      <c r="C36" s="18" t="s">
        <v>596</v>
      </c>
      <c r="D36" s="12">
        <v>21371</v>
      </c>
      <c r="E36" s="17" t="s">
        <v>1375</v>
      </c>
      <c r="F36" s="12" t="s">
        <v>523</v>
      </c>
      <c r="G36" s="14">
        <v>4</v>
      </c>
      <c r="H36" s="24">
        <v>30000</v>
      </c>
      <c r="I36" s="12" t="s">
        <v>637</v>
      </c>
      <c r="J36" s="6" t="s">
        <v>615</v>
      </c>
      <c r="K36" s="6">
        <f t="shared" si="8"/>
        <v>12</v>
      </c>
      <c r="L36" s="6" t="str">
        <f t="shared" si="2"/>
        <v>DICIEMBRE</v>
      </c>
    </row>
    <row r="37" spans="1:12" x14ac:dyDescent="0.25">
      <c r="A37" s="5">
        <f t="shared" si="7"/>
        <v>2025</v>
      </c>
      <c r="B37" s="18" t="s">
        <v>1354</v>
      </c>
      <c r="C37" s="18" t="s">
        <v>596</v>
      </c>
      <c r="D37" s="12">
        <v>21371</v>
      </c>
      <c r="E37" s="17" t="s">
        <v>524</v>
      </c>
      <c r="F37" s="12" t="s">
        <v>525</v>
      </c>
      <c r="G37" s="14">
        <v>4</v>
      </c>
      <c r="H37" s="24">
        <v>80000</v>
      </c>
      <c r="I37" s="12" t="s">
        <v>637</v>
      </c>
      <c r="J37" s="6" t="s">
        <v>615</v>
      </c>
      <c r="K37" s="6">
        <f t="shared" si="8"/>
        <v>12</v>
      </c>
      <c r="L37" s="6" t="str">
        <f t="shared" si="2"/>
        <v>DICIEMBRE</v>
      </c>
    </row>
    <row r="38" spans="1:12" x14ac:dyDescent="0.25">
      <c r="A38" s="5">
        <f t="shared" si="7"/>
        <v>2025</v>
      </c>
      <c r="B38" s="18" t="s">
        <v>1369</v>
      </c>
      <c r="C38" s="18" t="s">
        <v>596</v>
      </c>
      <c r="D38" s="12">
        <v>21372</v>
      </c>
      <c r="E38" s="17" t="s">
        <v>1376</v>
      </c>
      <c r="F38" s="12" t="s">
        <v>1377</v>
      </c>
      <c r="G38" s="14">
        <v>1</v>
      </c>
      <c r="H38" s="24">
        <v>271800</v>
      </c>
      <c r="I38" s="12" t="s">
        <v>1418</v>
      </c>
      <c r="J38" s="6" t="s">
        <v>615</v>
      </c>
      <c r="K38" s="6">
        <f t="shared" si="8"/>
        <v>12</v>
      </c>
      <c r="L38" s="6" t="str">
        <f t="shared" si="2"/>
        <v>DICIEMBRE</v>
      </c>
    </row>
    <row r="39" spans="1:12" x14ac:dyDescent="0.25">
      <c r="A39" s="5">
        <f t="shared" si="7"/>
        <v>2025</v>
      </c>
      <c r="B39" s="18" t="s">
        <v>1369</v>
      </c>
      <c r="C39" s="18" t="s">
        <v>596</v>
      </c>
      <c r="D39" s="12">
        <v>21374</v>
      </c>
      <c r="E39" s="17" t="s">
        <v>659</v>
      </c>
      <c r="F39" s="12" t="s">
        <v>662</v>
      </c>
      <c r="G39" s="14">
        <v>5</v>
      </c>
      <c r="H39" s="24">
        <v>650000</v>
      </c>
      <c r="I39" s="12" t="s">
        <v>1418</v>
      </c>
      <c r="J39" s="6" t="s">
        <v>615</v>
      </c>
      <c r="K39" s="6">
        <f t="shared" si="8"/>
        <v>12</v>
      </c>
      <c r="L39" s="6" t="str">
        <f t="shared" si="2"/>
        <v>DICIEMBRE</v>
      </c>
    </row>
    <row r="40" spans="1:12" x14ac:dyDescent="0.25">
      <c r="A40" s="5">
        <f t="shared" si="7"/>
        <v>2025</v>
      </c>
      <c r="B40" s="18" t="s">
        <v>1369</v>
      </c>
      <c r="C40" s="18" t="s">
        <v>596</v>
      </c>
      <c r="D40" s="12">
        <v>21376</v>
      </c>
      <c r="E40" s="17" t="s">
        <v>1378</v>
      </c>
      <c r="F40" s="12" t="s">
        <v>1379</v>
      </c>
      <c r="G40" s="14">
        <v>1</v>
      </c>
      <c r="H40" s="24">
        <v>2400000</v>
      </c>
      <c r="I40" s="12" t="s">
        <v>1418</v>
      </c>
      <c r="J40" s="6" t="s">
        <v>615</v>
      </c>
      <c r="K40" s="6">
        <f t="shared" si="8"/>
        <v>12</v>
      </c>
      <c r="L40" s="6" t="str">
        <f t="shared" si="2"/>
        <v>DICIEMBRE</v>
      </c>
    </row>
    <row r="41" spans="1:12" x14ac:dyDescent="0.25">
      <c r="A41" s="5">
        <f t="shared" si="7"/>
        <v>2025</v>
      </c>
      <c r="B41" s="18" t="s">
        <v>1369</v>
      </c>
      <c r="C41" s="18" t="s">
        <v>596</v>
      </c>
      <c r="D41" s="12">
        <v>21373</v>
      </c>
      <c r="E41" s="17" t="s">
        <v>282</v>
      </c>
      <c r="F41" s="12" t="s">
        <v>283</v>
      </c>
      <c r="G41" s="14">
        <v>1</v>
      </c>
      <c r="H41" s="24">
        <v>316900</v>
      </c>
      <c r="I41" s="12" t="s">
        <v>1418</v>
      </c>
      <c r="J41" s="6" t="s">
        <v>615</v>
      </c>
      <c r="K41" s="6">
        <f t="shared" si="8"/>
        <v>12</v>
      </c>
      <c r="L41" s="6" t="str">
        <f t="shared" si="2"/>
        <v>DICIEMBRE</v>
      </c>
    </row>
    <row r="42" spans="1:12" x14ac:dyDescent="0.25">
      <c r="A42" s="5">
        <f t="shared" si="7"/>
        <v>2025</v>
      </c>
      <c r="B42" s="18" t="s">
        <v>1369</v>
      </c>
      <c r="C42" s="18" t="s">
        <v>596</v>
      </c>
      <c r="D42" s="12">
        <v>21373</v>
      </c>
      <c r="E42" s="17" t="s">
        <v>111</v>
      </c>
      <c r="F42" s="12" t="s">
        <v>112</v>
      </c>
      <c r="G42" s="14">
        <v>4</v>
      </c>
      <c r="H42" s="24">
        <v>223600</v>
      </c>
      <c r="I42" s="12" t="s">
        <v>1418</v>
      </c>
      <c r="J42" s="6" t="s">
        <v>615</v>
      </c>
      <c r="K42" s="6">
        <f t="shared" si="8"/>
        <v>12</v>
      </c>
      <c r="L42" s="6" t="str">
        <f t="shared" si="2"/>
        <v>DICIEMBRE</v>
      </c>
    </row>
    <row r="43" spans="1:12" x14ac:dyDescent="0.25">
      <c r="A43" s="5">
        <f t="shared" si="7"/>
        <v>2025</v>
      </c>
      <c r="B43" s="18" t="s">
        <v>1369</v>
      </c>
      <c r="C43" s="18" t="s">
        <v>596</v>
      </c>
      <c r="D43" s="12">
        <v>21373</v>
      </c>
      <c r="E43" s="17" t="s">
        <v>346</v>
      </c>
      <c r="F43" s="12" t="s">
        <v>347</v>
      </c>
      <c r="G43" s="14">
        <v>1</v>
      </c>
      <c r="H43" s="24">
        <v>97200</v>
      </c>
      <c r="I43" s="12" t="s">
        <v>1418</v>
      </c>
      <c r="J43" s="6" t="s">
        <v>615</v>
      </c>
      <c r="K43" s="6">
        <f t="shared" si="8"/>
        <v>12</v>
      </c>
      <c r="L43" s="6" t="str">
        <f t="shared" si="2"/>
        <v>DICIEMBRE</v>
      </c>
    </row>
    <row r="44" spans="1:12" x14ac:dyDescent="0.25">
      <c r="A44" s="5">
        <f t="shared" si="7"/>
        <v>2025</v>
      </c>
      <c r="B44" s="18" t="s">
        <v>1369</v>
      </c>
      <c r="C44" s="18" t="s">
        <v>596</v>
      </c>
      <c r="D44" s="12">
        <v>21375</v>
      </c>
      <c r="E44" s="17" t="s">
        <v>1376</v>
      </c>
      <c r="F44" s="12" t="s">
        <v>1377</v>
      </c>
      <c r="G44" s="14">
        <v>1</v>
      </c>
      <c r="H44" s="24">
        <v>271800</v>
      </c>
      <c r="I44" s="12" t="s">
        <v>1418</v>
      </c>
      <c r="J44" s="6" t="s">
        <v>615</v>
      </c>
      <c r="K44" s="6">
        <f t="shared" si="8"/>
        <v>12</v>
      </c>
      <c r="L44" s="6" t="str">
        <f t="shared" si="2"/>
        <v>DICIEMBRE</v>
      </c>
    </row>
    <row r="45" spans="1:12" x14ac:dyDescent="0.25">
      <c r="A45" s="5">
        <f t="shared" si="7"/>
        <v>2025</v>
      </c>
      <c r="B45" s="18" t="s">
        <v>1369</v>
      </c>
      <c r="C45" s="18" t="s">
        <v>596</v>
      </c>
      <c r="D45" s="12">
        <v>21375</v>
      </c>
      <c r="E45" s="17" t="s">
        <v>346</v>
      </c>
      <c r="F45" s="12" t="s">
        <v>347</v>
      </c>
      <c r="G45" s="14">
        <v>1</v>
      </c>
      <c r="H45" s="24">
        <v>97200</v>
      </c>
      <c r="I45" s="12" t="s">
        <v>1418</v>
      </c>
      <c r="J45" s="6" t="s">
        <v>615</v>
      </c>
      <c r="K45" s="6">
        <f t="shared" si="8"/>
        <v>12</v>
      </c>
      <c r="L45" s="6" t="str">
        <f t="shared" si="2"/>
        <v>DICIEMBRE</v>
      </c>
    </row>
    <row r="46" spans="1:12" x14ac:dyDescent="0.25">
      <c r="A46" s="5">
        <f t="shared" si="7"/>
        <v>2025</v>
      </c>
      <c r="B46" s="18" t="s">
        <v>1369</v>
      </c>
      <c r="C46" s="18" t="s">
        <v>596</v>
      </c>
      <c r="D46" s="12">
        <v>21375</v>
      </c>
      <c r="E46" s="17" t="s">
        <v>140</v>
      </c>
      <c r="F46" s="12" t="s">
        <v>141</v>
      </c>
      <c r="G46" s="14">
        <v>1</v>
      </c>
      <c r="H46" s="24">
        <v>37300</v>
      </c>
      <c r="I46" s="12" t="s">
        <v>1418</v>
      </c>
      <c r="J46" s="6" t="s">
        <v>615</v>
      </c>
      <c r="K46" s="6">
        <f t="shared" si="8"/>
        <v>12</v>
      </c>
      <c r="L46" s="6" t="str">
        <f t="shared" si="2"/>
        <v>DICIEMBRE</v>
      </c>
    </row>
    <row r="47" spans="1:12" x14ac:dyDescent="0.25">
      <c r="A47" s="5">
        <f t="shared" si="7"/>
        <v>2025</v>
      </c>
      <c r="B47" s="18" t="s">
        <v>1369</v>
      </c>
      <c r="C47" s="18" t="s">
        <v>596</v>
      </c>
      <c r="D47" s="12">
        <v>21375</v>
      </c>
      <c r="E47" s="17" t="s">
        <v>111</v>
      </c>
      <c r="F47" s="12" t="s">
        <v>112</v>
      </c>
      <c r="G47" s="14">
        <v>4</v>
      </c>
      <c r="H47" s="24">
        <v>223600</v>
      </c>
      <c r="I47" s="12" t="s">
        <v>1418</v>
      </c>
      <c r="J47" s="6" t="s">
        <v>615</v>
      </c>
      <c r="K47" s="6">
        <f t="shared" si="8"/>
        <v>12</v>
      </c>
      <c r="L47" s="6" t="str">
        <f t="shared" si="2"/>
        <v>DICIEMBRE</v>
      </c>
    </row>
    <row r="48" spans="1:12" x14ac:dyDescent="0.25">
      <c r="A48" s="5">
        <f t="shared" si="7"/>
        <v>2025</v>
      </c>
      <c r="B48" s="18" t="s">
        <v>1369</v>
      </c>
      <c r="C48" s="18" t="s">
        <v>596</v>
      </c>
      <c r="D48" s="12">
        <v>21375</v>
      </c>
      <c r="E48" s="17">
        <v>21350</v>
      </c>
      <c r="F48" s="12" t="s">
        <v>1357</v>
      </c>
      <c r="G48" s="14">
        <v>1</v>
      </c>
      <c r="H48" s="24">
        <v>83200</v>
      </c>
      <c r="I48" s="12" t="s">
        <v>1418</v>
      </c>
      <c r="J48" s="6" t="s">
        <v>615</v>
      </c>
      <c r="K48" s="6">
        <f t="shared" si="8"/>
        <v>12</v>
      </c>
      <c r="L48" s="6" t="str">
        <f t="shared" si="2"/>
        <v>DICIEMBRE</v>
      </c>
    </row>
    <row r="49" spans="1:12" x14ac:dyDescent="0.25">
      <c r="A49" s="5">
        <f t="shared" si="7"/>
        <v>2025</v>
      </c>
      <c r="B49" s="18" t="s">
        <v>1369</v>
      </c>
      <c r="C49" s="18" t="s">
        <v>596</v>
      </c>
      <c r="D49" s="12">
        <v>21375</v>
      </c>
      <c r="E49" s="17" t="s">
        <v>282</v>
      </c>
      <c r="F49" s="12" t="s">
        <v>283</v>
      </c>
      <c r="G49" s="14">
        <v>1</v>
      </c>
      <c r="H49" s="24">
        <v>316900</v>
      </c>
      <c r="I49" s="12" t="s">
        <v>1418</v>
      </c>
      <c r="J49" s="6" t="s">
        <v>615</v>
      </c>
      <c r="K49" s="6">
        <f t="shared" si="8"/>
        <v>12</v>
      </c>
      <c r="L49" s="6" t="str">
        <f t="shared" si="2"/>
        <v>DICIEMBRE</v>
      </c>
    </row>
    <row r="50" spans="1:12" x14ac:dyDescent="0.25">
      <c r="A50" s="5">
        <f t="shared" si="7"/>
        <v>2025</v>
      </c>
      <c r="B50" s="18" t="s">
        <v>1369</v>
      </c>
      <c r="C50" s="18" t="s">
        <v>596</v>
      </c>
      <c r="D50" s="12">
        <v>21375</v>
      </c>
      <c r="E50" s="17" t="s">
        <v>305</v>
      </c>
      <c r="F50" s="12" t="s">
        <v>306</v>
      </c>
      <c r="G50" s="14">
        <v>1</v>
      </c>
      <c r="H50" s="24">
        <v>313400</v>
      </c>
      <c r="I50" s="12" t="s">
        <v>1418</v>
      </c>
      <c r="J50" s="6" t="s">
        <v>615</v>
      </c>
      <c r="K50" s="6">
        <f t="shared" si="8"/>
        <v>12</v>
      </c>
      <c r="L50" s="6" t="str">
        <f t="shared" si="2"/>
        <v>DICIEMBRE</v>
      </c>
    </row>
    <row r="51" spans="1:12" x14ac:dyDescent="0.25">
      <c r="A51" s="5">
        <f t="shared" si="7"/>
        <v>2025</v>
      </c>
      <c r="B51" s="18" t="s">
        <v>1369</v>
      </c>
      <c r="C51" s="18" t="s">
        <v>596</v>
      </c>
      <c r="D51" s="12">
        <v>21375</v>
      </c>
      <c r="E51" s="17">
        <v>21360</v>
      </c>
      <c r="F51" s="12" t="s">
        <v>1380</v>
      </c>
      <c r="G51" s="14">
        <v>1</v>
      </c>
      <c r="H51" s="24">
        <v>125500</v>
      </c>
      <c r="I51" s="12" t="s">
        <v>1418</v>
      </c>
      <c r="J51" s="6" t="s">
        <v>615</v>
      </c>
      <c r="K51" s="6">
        <f t="shared" si="8"/>
        <v>12</v>
      </c>
      <c r="L51" s="6" t="str">
        <f t="shared" si="2"/>
        <v>DICIEMBRE</v>
      </c>
    </row>
    <row r="52" spans="1:12" x14ac:dyDescent="0.25">
      <c r="A52" s="5">
        <f t="shared" si="7"/>
        <v>2025</v>
      </c>
      <c r="B52" s="18" t="s">
        <v>1369</v>
      </c>
      <c r="C52" s="18" t="s">
        <v>596</v>
      </c>
      <c r="D52" s="12">
        <v>21375</v>
      </c>
      <c r="E52" s="17" t="s">
        <v>1381</v>
      </c>
      <c r="F52" s="12" t="s">
        <v>1382</v>
      </c>
      <c r="G52" s="14">
        <v>1</v>
      </c>
      <c r="H52" s="24">
        <v>472000</v>
      </c>
      <c r="I52" s="12" t="s">
        <v>1418</v>
      </c>
      <c r="J52" s="6" t="s">
        <v>615</v>
      </c>
      <c r="K52" s="6">
        <f t="shared" si="8"/>
        <v>12</v>
      </c>
      <c r="L52" s="6" t="str">
        <f t="shared" si="2"/>
        <v>DICIEMBRE</v>
      </c>
    </row>
    <row r="53" spans="1:12" x14ac:dyDescent="0.25">
      <c r="A53" s="5">
        <f t="shared" si="7"/>
        <v>2025</v>
      </c>
      <c r="B53" s="18" t="s">
        <v>1369</v>
      </c>
      <c r="C53" s="18" t="s">
        <v>596</v>
      </c>
      <c r="D53" s="12">
        <v>21375</v>
      </c>
      <c r="E53" s="17" t="s">
        <v>1383</v>
      </c>
      <c r="F53" s="12" t="s">
        <v>1384</v>
      </c>
      <c r="G53" s="14">
        <v>1</v>
      </c>
      <c r="H53" s="24">
        <v>858700</v>
      </c>
      <c r="I53" s="12" t="s">
        <v>1418</v>
      </c>
      <c r="J53" s="6" t="s">
        <v>615</v>
      </c>
      <c r="K53" s="6">
        <f t="shared" si="8"/>
        <v>12</v>
      </c>
      <c r="L53" s="6" t="str">
        <f t="shared" si="2"/>
        <v>DICIEMBRE</v>
      </c>
    </row>
    <row r="54" spans="1:12" x14ac:dyDescent="0.25">
      <c r="A54" s="5">
        <f t="shared" si="7"/>
        <v>2025</v>
      </c>
      <c r="B54" s="18" t="s">
        <v>1369</v>
      </c>
      <c r="C54" s="18" t="s">
        <v>596</v>
      </c>
      <c r="D54" s="12">
        <v>21373</v>
      </c>
      <c r="E54" s="17">
        <v>21360</v>
      </c>
      <c r="F54" s="12" t="s">
        <v>1380</v>
      </c>
      <c r="G54" s="14">
        <v>1</v>
      </c>
      <c r="H54" s="24">
        <v>125500</v>
      </c>
      <c r="I54" s="12" t="s">
        <v>1418</v>
      </c>
      <c r="J54" s="6" t="s">
        <v>615</v>
      </c>
      <c r="K54" s="6">
        <f t="shared" si="8"/>
        <v>12</v>
      </c>
      <c r="L54" s="6" t="str">
        <f t="shared" si="2"/>
        <v>DICIEMBRE</v>
      </c>
    </row>
    <row r="55" spans="1:12" x14ac:dyDescent="0.25">
      <c r="A55" s="5">
        <f t="shared" si="7"/>
        <v>2025</v>
      </c>
      <c r="B55" s="18" t="s">
        <v>1369</v>
      </c>
      <c r="C55" s="18" t="s">
        <v>596</v>
      </c>
      <c r="D55" s="12">
        <v>21373</v>
      </c>
      <c r="E55" s="17" t="s">
        <v>305</v>
      </c>
      <c r="F55" s="12" t="s">
        <v>306</v>
      </c>
      <c r="G55" s="14">
        <v>1</v>
      </c>
      <c r="H55" s="24">
        <v>313400</v>
      </c>
      <c r="I55" s="12" t="s">
        <v>1418</v>
      </c>
      <c r="J55" s="6" t="s">
        <v>615</v>
      </c>
      <c r="K55" s="6">
        <f t="shared" si="8"/>
        <v>12</v>
      </c>
      <c r="L55" s="6" t="str">
        <f t="shared" si="2"/>
        <v>DICIEMBRE</v>
      </c>
    </row>
    <row r="56" spans="1:12" x14ac:dyDescent="0.25">
      <c r="A56" s="5">
        <f t="shared" si="7"/>
        <v>2025</v>
      </c>
      <c r="B56" s="18" t="s">
        <v>1369</v>
      </c>
      <c r="C56" s="18" t="s">
        <v>596</v>
      </c>
      <c r="D56" s="12">
        <v>21373</v>
      </c>
      <c r="E56" s="17" t="s">
        <v>1381</v>
      </c>
      <c r="F56" s="12" t="s">
        <v>1382</v>
      </c>
      <c r="G56" s="14">
        <v>1</v>
      </c>
      <c r="H56" s="24">
        <v>472000</v>
      </c>
      <c r="I56" s="12" t="s">
        <v>1418</v>
      </c>
      <c r="J56" s="6" t="s">
        <v>615</v>
      </c>
      <c r="K56" s="6">
        <f t="shared" si="8"/>
        <v>12</v>
      </c>
      <c r="L56" s="6" t="str">
        <f t="shared" si="2"/>
        <v>DICIEMBRE</v>
      </c>
    </row>
    <row r="57" spans="1:12" x14ac:dyDescent="0.25">
      <c r="A57" s="5">
        <f t="shared" si="7"/>
        <v>2025</v>
      </c>
      <c r="B57" s="18" t="s">
        <v>1369</v>
      </c>
      <c r="C57" s="18" t="s">
        <v>596</v>
      </c>
      <c r="D57" s="12">
        <v>21373</v>
      </c>
      <c r="E57" s="17" t="s">
        <v>1376</v>
      </c>
      <c r="F57" s="12" t="s">
        <v>1377</v>
      </c>
      <c r="G57" s="14">
        <v>1</v>
      </c>
      <c r="H57" s="24">
        <v>271800</v>
      </c>
      <c r="I57" s="12" t="s">
        <v>1418</v>
      </c>
      <c r="J57" s="6" t="s">
        <v>615</v>
      </c>
      <c r="K57" s="6">
        <f t="shared" si="8"/>
        <v>12</v>
      </c>
      <c r="L57" s="6" t="str">
        <f t="shared" si="2"/>
        <v>DICIEMBRE</v>
      </c>
    </row>
    <row r="58" spans="1:12" x14ac:dyDescent="0.25">
      <c r="A58" s="5">
        <f t="shared" si="7"/>
        <v>2025</v>
      </c>
      <c r="B58" s="18" t="s">
        <v>1369</v>
      </c>
      <c r="C58" s="18" t="s">
        <v>596</v>
      </c>
      <c r="D58" s="12">
        <v>21373</v>
      </c>
      <c r="E58" s="17" t="s">
        <v>140</v>
      </c>
      <c r="F58" s="12" t="s">
        <v>141</v>
      </c>
      <c r="G58" s="14">
        <v>1</v>
      </c>
      <c r="H58" s="24">
        <v>37300</v>
      </c>
      <c r="I58" s="12" t="s">
        <v>1418</v>
      </c>
      <c r="J58" s="6" t="s">
        <v>615</v>
      </c>
      <c r="K58" s="6">
        <f t="shared" si="8"/>
        <v>12</v>
      </c>
      <c r="L58" s="6" t="str">
        <f t="shared" si="2"/>
        <v>DICIEMBRE</v>
      </c>
    </row>
    <row r="59" spans="1:12" x14ac:dyDescent="0.25">
      <c r="A59" s="5">
        <f t="shared" si="7"/>
        <v>2025</v>
      </c>
      <c r="B59" s="18" t="s">
        <v>1369</v>
      </c>
      <c r="C59" s="18" t="s">
        <v>596</v>
      </c>
      <c r="D59" s="12">
        <v>21378</v>
      </c>
      <c r="E59" s="17" t="s">
        <v>1401</v>
      </c>
      <c r="F59" s="12" t="s">
        <v>1402</v>
      </c>
      <c r="G59" s="14">
        <v>1</v>
      </c>
      <c r="H59" s="24">
        <v>289000</v>
      </c>
      <c r="I59" s="12" t="s">
        <v>1418</v>
      </c>
      <c r="J59" s="6" t="s">
        <v>615</v>
      </c>
      <c r="K59" s="6">
        <f t="shared" si="8"/>
        <v>12</v>
      </c>
      <c r="L59" s="6" t="str">
        <f t="shared" si="2"/>
        <v>DICIEMBRE</v>
      </c>
    </row>
    <row r="60" spans="1:12" x14ac:dyDescent="0.25">
      <c r="A60" s="5">
        <f t="shared" si="7"/>
        <v>2025</v>
      </c>
      <c r="B60" s="18" t="s">
        <v>1369</v>
      </c>
      <c r="C60" s="18" t="s">
        <v>596</v>
      </c>
      <c r="D60" s="12">
        <v>21381</v>
      </c>
      <c r="E60" s="17" t="s">
        <v>1385</v>
      </c>
      <c r="F60" s="12" t="s">
        <v>1386</v>
      </c>
      <c r="G60" s="14">
        <v>6</v>
      </c>
      <c r="H60" s="24">
        <v>6300000</v>
      </c>
      <c r="I60" s="12" t="s">
        <v>1367</v>
      </c>
      <c r="J60" s="6" t="s">
        <v>615</v>
      </c>
      <c r="K60" s="6">
        <f t="shared" si="8"/>
        <v>12</v>
      </c>
      <c r="L60" s="6" t="str">
        <f t="shared" si="2"/>
        <v>DICIEMBRE</v>
      </c>
    </row>
    <row r="61" spans="1:12" x14ac:dyDescent="0.25">
      <c r="A61" s="5">
        <f t="shared" si="7"/>
        <v>2025</v>
      </c>
      <c r="B61" s="18" t="s">
        <v>1369</v>
      </c>
      <c r="C61" s="18" t="s">
        <v>596</v>
      </c>
      <c r="D61" s="12">
        <v>21381</v>
      </c>
      <c r="E61" s="17" t="s">
        <v>1387</v>
      </c>
      <c r="F61" s="12" t="s">
        <v>1388</v>
      </c>
      <c r="G61" s="14">
        <v>5</v>
      </c>
      <c r="H61" s="24">
        <v>750000</v>
      </c>
      <c r="I61" s="12" t="s">
        <v>1367</v>
      </c>
      <c r="J61" s="6" t="s">
        <v>615</v>
      </c>
      <c r="K61" s="6">
        <f t="shared" si="8"/>
        <v>12</v>
      </c>
      <c r="L61" s="6" t="str">
        <f t="shared" si="2"/>
        <v>DICIEMBRE</v>
      </c>
    </row>
    <row r="62" spans="1:12" x14ac:dyDescent="0.25">
      <c r="A62" s="5">
        <f t="shared" si="7"/>
        <v>2025</v>
      </c>
      <c r="B62" s="18" t="s">
        <v>1369</v>
      </c>
      <c r="C62" s="18" t="s">
        <v>596</v>
      </c>
      <c r="D62" s="12">
        <v>21381</v>
      </c>
      <c r="E62" s="17" t="s">
        <v>1389</v>
      </c>
      <c r="F62" s="12" t="s">
        <v>1390</v>
      </c>
      <c r="G62" s="14">
        <v>20</v>
      </c>
      <c r="H62" s="24">
        <v>1800000</v>
      </c>
      <c r="I62" s="12" t="s">
        <v>1367</v>
      </c>
      <c r="J62" s="6" t="s">
        <v>615</v>
      </c>
      <c r="K62" s="6">
        <f t="shared" si="8"/>
        <v>12</v>
      </c>
      <c r="L62" s="6" t="str">
        <f t="shared" si="2"/>
        <v>DICIEMBRE</v>
      </c>
    </row>
    <row r="63" spans="1:12" x14ac:dyDescent="0.25">
      <c r="A63" s="5">
        <f t="shared" si="7"/>
        <v>2025</v>
      </c>
      <c r="B63" s="18" t="s">
        <v>1369</v>
      </c>
      <c r="C63" s="18" t="s">
        <v>596</v>
      </c>
      <c r="D63" s="12">
        <v>21381</v>
      </c>
      <c r="E63" s="17" t="s">
        <v>1391</v>
      </c>
      <c r="F63" s="12" t="s">
        <v>1392</v>
      </c>
      <c r="G63" s="14">
        <v>5</v>
      </c>
      <c r="H63" s="24">
        <v>4250000</v>
      </c>
      <c r="I63" s="12" t="s">
        <v>1367</v>
      </c>
      <c r="J63" s="6" t="s">
        <v>615</v>
      </c>
      <c r="K63" s="6">
        <f t="shared" si="8"/>
        <v>12</v>
      </c>
      <c r="L63" s="6" t="str">
        <f t="shared" si="2"/>
        <v>DICIEMBRE</v>
      </c>
    </row>
    <row r="64" spans="1:12" x14ac:dyDescent="0.25">
      <c r="A64" s="5">
        <f t="shared" si="7"/>
        <v>2025</v>
      </c>
      <c r="B64" s="18" t="s">
        <v>1369</v>
      </c>
      <c r="C64" s="18" t="s">
        <v>596</v>
      </c>
      <c r="D64" s="12">
        <v>21381</v>
      </c>
      <c r="E64" s="17" t="s">
        <v>1393</v>
      </c>
      <c r="F64" s="12" t="s">
        <v>1394</v>
      </c>
      <c r="G64" s="14">
        <v>5</v>
      </c>
      <c r="H64" s="24">
        <v>15500000</v>
      </c>
      <c r="I64" s="12" t="s">
        <v>1367</v>
      </c>
      <c r="J64" s="6" t="s">
        <v>615</v>
      </c>
      <c r="K64" s="6">
        <f t="shared" si="8"/>
        <v>12</v>
      </c>
      <c r="L64" s="6" t="str">
        <f t="shared" si="2"/>
        <v>DICIEMBRE</v>
      </c>
    </row>
    <row r="65" spans="1:12" x14ac:dyDescent="0.25">
      <c r="A65" s="5">
        <f t="shared" si="7"/>
        <v>2025</v>
      </c>
      <c r="B65" s="18" t="s">
        <v>1369</v>
      </c>
      <c r="C65" s="18" t="s">
        <v>596</v>
      </c>
      <c r="D65" s="12">
        <v>21381</v>
      </c>
      <c r="E65" s="17" t="s">
        <v>1395</v>
      </c>
      <c r="F65" s="12" t="s">
        <v>1396</v>
      </c>
      <c r="G65" s="14">
        <v>10</v>
      </c>
      <c r="H65" s="24">
        <v>370000</v>
      </c>
      <c r="I65" s="12" t="s">
        <v>1367</v>
      </c>
      <c r="J65" s="6" t="s">
        <v>615</v>
      </c>
      <c r="K65" s="6">
        <f t="shared" si="8"/>
        <v>12</v>
      </c>
      <c r="L65" s="6" t="str">
        <f t="shared" si="2"/>
        <v>DICIEMBRE</v>
      </c>
    </row>
    <row r="66" spans="1:12" x14ac:dyDescent="0.25">
      <c r="A66" s="5">
        <f t="shared" si="7"/>
        <v>2025</v>
      </c>
      <c r="B66" s="18" t="s">
        <v>1369</v>
      </c>
      <c r="C66" s="18" t="s">
        <v>596</v>
      </c>
      <c r="D66" s="12">
        <v>21381</v>
      </c>
      <c r="E66" s="17" t="s">
        <v>1397</v>
      </c>
      <c r="F66" s="12" t="s">
        <v>1398</v>
      </c>
      <c r="G66" s="14">
        <v>20</v>
      </c>
      <c r="H66" s="24">
        <v>82000</v>
      </c>
      <c r="I66" s="12" t="s">
        <v>1367</v>
      </c>
      <c r="J66" s="6" t="s">
        <v>615</v>
      </c>
      <c r="K66" s="6">
        <f t="shared" si="8"/>
        <v>12</v>
      </c>
      <c r="L66" s="6" t="str">
        <f t="shared" si="2"/>
        <v>DICIEMBRE</v>
      </c>
    </row>
    <row r="67" spans="1:12" x14ac:dyDescent="0.25">
      <c r="A67" s="5">
        <f t="shared" si="7"/>
        <v>2025</v>
      </c>
      <c r="B67" s="18" t="s">
        <v>1369</v>
      </c>
      <c r="C67" s="18" t="s">
        <v>596</v>
      </c>
      <c r="D67" s="12">
        <v>21381</v>
      </c>
      <c r="E67" s="17" t="s">
        <v>1399</v>
      </c>
      <c r="F67" s="12" t="s">
        <v>1400</v>
      </c>
      <c r="G67" s="14">
        <v>23</v>
      </c>
      <c r="H67" s="24">
        <v>3795000</v>
      </c>
      <c r="I67" s="12" t="s">
        <v>1367</v>
      </c>
      <c r="J67" s="6" t="s">
        <v>615</v>
      </c>
      <c r="K67" s="6">
        <f t="shared" si="8"/>
        <v>12</v>
      </c>
      <c r="L67" s="6" t="str">
        <f t="shared" ref="L67:L130" si="9">VLOOKUP(K67,N:O,2,0)</f>
        <v>DICIEMBRE</v>
      </c>
    </row>
    <row r="68" spans="1:12" x14ac:dyDescent="0.25">
      <c r="A68" s="5">
        <f t="shared" si="7"/>
        <v>2025</v>
      </c>
      <c r="B68" s="18" t="s">
        <v>1369</v>
      </c>
      <c r="C68" s="18" t="s">
        <v>596</v>
      </c>
      <c r="D68" s="12">
        <v>21380</v>
      </c>
      <c r="E68" s="17" t="s">
        <v>237</v>
      </c>
      <c r="F68" s="12" t="s">
        <v>238</v>
      </c>
      <c r="G68" s="14">
        <v>3</v>
      </c>
      <c r="H68" s="24">
        <v>1260000</v>
      </c>
      <c r="I68" s="12" t="s">
        <v>637</v>
      </c>
      <c r="J68" s="6" t="s">
        <v>615</v>
      </c>
      <c r="K68" s="6">
        <f t="shared" si="8"/>
        <v>12</v>
      </c>
      <c r="L68" s="6" t="str">
        <f t="shared" si="9"/>
        <v>DICIEMBRE</v>
      </c>
    </row>
    <row r="69" spans="1:12" x14ac:dyDescent="0.25">
      <c r="A69" s="5">
        <f t="shared" si="7"/>
        <v>2025</v>
      </c>
      <c r="B69" s="18" t="s">
        <v>1369</v>
      </c>
      <c r="C69" s="18" t="s">
        <v>596</v>
      </c>
      <c r="D69" s="12">
        <v>21379</v>
      </c>
      <c r="E69" s="17" t="s">
        <v>1387</v>
      </c>
      <c r="F69" s="12" t="s">
        <v>1388</v>
      </c>
      <c r="G69" s="14">
        <v>1</v>
      </c>
      <c r="H69" s="24">
        <v>150000</v>
      </c>
      <c r="I69" s="12" t="s">
        <v>1367</v>
      </c>
      <c r="J69" s="6" t="s">
        <v>615</v>
      </c>
      <c r="K69" s="6">
        <f t="shared" si="8"/>
        <v>12</v>
      </c>
      <c r="L69" s="6" t="str">
        <f t="shared" si="9"/>
        <v>DICIEMBRE</v>
      </c>
    </row>
    <row r="70" spans="1:12" x14ac:dyDescent="0.25">
      <c r="A70" s="5">
        <f t="shared" si="7"/>
        <v>2025</v>
      </c>
      <c r="B70" s="18" t="s">
        <v>1369</v>
      </c>
      <c r="C70" s="18" t="s">
        <v>596</v>
      </c>
      <c r="D70" s="12">
        <v>21379</v>
      </c>
      <c r="E70" s="17" t="s">
        <v>1389</v>
      </c>
      <c r="F70" s="12" t="s">
        <v>1390</v>
      </c>
      <c r="G70" s="14">
        <v>4</v>
      </c>
      <c r="H70" s="24">
        <v>360000</v>
      </c>
      <c r="I70" s="12" t="s">
        <v>1367</v>
      </c>
      <c r="J70" s="6" t="s">
        <v>615</v>
      </c>
      <c r="K70" s="6">
        <f t="shared" si="8"/>
        <v>12</v>
      </c>
      <c r="L70" s="6" t="str">
        <f t="shared" si="9"/>
        <v>DICIEMBRE</v>
      </c>
    </row>
    <row r="71" spans="1:12" x14ac:dyDescent="0.25">
      <c r="A71" s="5">
        <f t="shared" ref="A71:A134" si="10">+YEAR(B71)</f>
        <v>2025</v>
      </c>
      <c r="B71" s="18" t="s">
        <v>1369</v>
      </c>
      <c r="C71" s="18" t="s">
        <v>596</v>
      </c>
      <c r="D71" s="12">
        <v>21379</v>
      </c>
      <c r="E71" s="17" t="s">
        <v>1391</v>
      </c>
      <c r="F71" s="12" t="s">
        <v>1392</v>
      </c>
      <c r="G71" s="14">
        <v>1</v>
      </c>
      <c r="H71" s="24">
        <v>850000</v>
      </c>
      <c r="I71" s="12" t="s">
        <v>1367</v>
      </c>
      <c r="J71" s="6" t="s">
        <v>615</v>
      </c>
      <c r="K71" s="6">
        <f t="shared" ref="K71:K134" si="11">+MONTH(B71)</f>
        <v>12</v>
      </c>
      <c r="L71" s="6" t="str">
        <f t="shared" si="9"/>
        <v>DICIEMBRE</v>
      </c>
    </row>
    <row r="72" spans="1:12" x14ac:dyDescent="0.25">
      <c r="A72" s="5">
        <f t="shared" si="10"/>
        <v>2025</v>
      </c>
      <c r="B72" s="18" t="s">
        <v>1369</v>
      </c>
      <c r="C72" s="18" t="s">
        <v>596</v>
      </c>
      <c r="D72" s="12">
        <v>21379</v>
      </c>
      <c r="E72" s="17" t="s">
        <v>1393</v>
      </c>
      <c r="F72" s="12" t="s">
        <v>1394</v>
      </c>
      <c r="G72" s="14">
        <v>1</v>
      </c>
      <c r="H72" s="24">
        <v>3100000</v>
      </c>
      <c r="I72" s="12" t="s">
        <v>1367</v>
      </c>
      <c r="J72" s="6" t="s">
        <v>615</v>
      </c>
      <c r="K72" s="6">
        <f t="shared" si="11"/>
        <v>12</v>
      </c>
      <c r="L72" s="6" t="str">
        <f t="shared" si="9"/>
        <v>DICIEMBRE</v>
      </c>
    </row>
    <row r="73" spans="1:12" x14ac:dyDescent="0.25">
      <c r="A73" s="5">
        <f t="shared" si="10"/>
        <v>2025</v>
      </c>
      <c r="B73" s="18" t="s">
        <v>1369</v>
      </c>
      <c r="C73" s="18" t="s">
        <v>596</v>
      </c>
      <c r="D73" s="12">
        <v>21379</v>
      </c>
      <c r="E73" s="17" t="s">
        <v>1395</v>
      </c>
      <c r="F73" s="12" t="s">
        <v>1396</v>
      </c>
      <c r="G73" s="14">
        <v>2</v>
      </c>
      <c r="H73" s="24">
        <v>74000</v>
      </c>
      <c r="I73" s="12" t="s">
        <v>1367</v>
      </c>
      <c r="J73" s="6" t="s">
        <v>615</v>
      </c>
      <c r="K73" s="6">
        <f t="shared" si="11"/>
        <v>12</v>
      </c>
      <c r="L73" s="6" t="str">
        <f t="shared" si="9"/>
        <v>DICIEMBRE</v>
      </c>
    </row>
    <row r="74" spans="1:12" x14ac:dyDescent="0.25">
      <c r="A74" s="5">
        <f t="shared" si="10"/>
        <v>2025</v>
      </c>
      <c r="B74" s="18" t="s">
        <v>1369</v>
      </c>
      <c r="C74" s="18" t="s">
        <v>596</v>
      </c>
      <c r="D74" s="12">
        <v>21379</v>
      </c>
      <c r="E74" s="17" t="s">
        <v>1399</v>
      </c>
      <c r="F74" s="12" t="s">
        <v>1400</v>
      </c>
      <c r="G74" s="14">
        <v>2</v>
      </c>
      <c r="H74" s="24">
        <v>330000</v>
      </c>
      <c r="I74" s="12" t="s">
        <v>1367</v>
      </c>
      <c r="J74" s="6" t="s">
        <v>615</v>
      </c>
      <c r="K74" s="6">
        <f t="shared" si="11"/>
        <v>12</v>
      </c>
      <c r="L74" s="6" t="str">
        <f t="shared" si="9"/>
        <v>DICIEMBRE</v>
      </c>
    </row>
    <row r="75" spans="1:12" x14ac:dyDescent="0.25">
      <c r="A75" s="5">
        <f t="shared" si="10"/>
        <v>2025</v>
      </c>
      <c r="B75" s="18" t="s">
        <v>1369</v>
      </c>
      <c r="C75" s="18" t="s">
        <v>596</v>
      </c>
      <c r="D75" s="12">
        <v>21379</v>
      </c>
      <c r="E75" s="17" t="s">
        <v>1397</v>
      </c>
      <c r="F75" s="12" t="s">
        <v>1398</v>
      </c>
      <c r="G75" s="14">
        <v>4</v>
      </c>
      <c r="H75" s="24">
        <v>16400</v>
      </c>
      <c r="I75" s="12" t="s">
        <v>1367</v>
      </c>
      <c r="J75" s="6" t="s">
        <v>615</v>
      </c>
      <c r="K75" s="6">
        <f t="shared" si="11"/>
        <v>12</v>
      </c>
      <c r="L75" s="6" t="str">
        <f t="shared" si="9"/>
        <v>DICIEMBRE</v>
      </c>
    </row>
    <row r="76" spans="1:12" x14ac:dyDescent="0.25">
      <c r="A76" s="5">
        <f t="shared" si="10"/>
        <v>2025</v>
      </c>
      <c r="B76" s="18" t="s">
        <v>1370</v>
      </c>
      <c r="C76" s="18" t="s">
        <v>596</v>
      </c>
      <c r="D76" s="12">
        <v>21383</v>
      </c>
      <c r="E76" s="17" t="s">
        <v>1359</v>
      </c>
      <c r="F76" s="12" t="s">
        <v>1360</v>
      </c>
      <c r="G76" s="14">
        <v>5</v>
      </c>
      <c r="H76" s="24">
        <v>850000</v>
      </c>
      <c r="I76" s="12" t="s">
        <v>1367</v>
      </c>
      <c r="J76" s="6" t="s">
        <v>615</v>
      </c>
      <c r="K76" s="6">
        <f t="shared" si="11"/>
        <v>12</v>
      </c>
      <c r="L76" s="6" t="str">
        <f t="shared" si="9"/>
        <v>DICIEMBRE</v>
      </c>
    </row>
    <row r="77" spans="1:12" x14ac:dyDescent="0.25">
      <c r="A77" s="5">
        <f t="shared" si="10"/>
        <v>2025</v>
      </c>
      <c r="B77" s="18" t="s">
        <v>1370</v>
      </c>
      <c r="C77" s="18" t="s">
        <v>596</v>
      </c>
      <c r="D77" s="12">
        <v>21382</v>
      </c>
      <c r="E77" s="17">
        <v>3680324</v>
      </c>
      <c r="F77" s="12" t="s">
        <v>1403</v>
      </c>
      <c r="G77" s="14">
        <v>17</v>
      </c>
      <c r="H77" s="24">
        <v>418585.73</v>
      </c>
      <c r="I77" s="12" t="s">
        <v>637</v>
      </c>
      <c r="J77" s="6" t="s">
        <v>615</v>
      </c>
      <c r="K77" s="6">
        <f t="shared" si="11"/>
        <v>12</v>
      </c>
      <c r="L77" s="6" t="str">
        <f t="shared" si="9"/>
        <v>DICIEMBRE</v>
      </c>
    </row>
    <row r="78" spans="1:12" x14ac:dyDescent="0.25">
      <c r="A78" s="5">
        <f t="shared" si="10"/>
        <v>2025</v>
      </c>
      <c r="B78" s="18" t="s">
        <v>1370</v>
      </c>
      <c r="C78" s="18" t="s">
        <v>596</v>
      </c>
      <c r="D78" s="12">
        <v>21383</v>
      </c>
      <c r="E78" s="17">
        <v>1144</v>
      </c>
      <c r="F78" s="12" t="s">
        <v>1358</v>
      </c>
      <c r="G78" s="14">
        <v>5</v>
      </c>
      <c r="H78" s="24">
        <v>60000</v>
      </c>
      <c r="I78" s="12" t="s">
        <v>1367</v>
      </c>
      <c r="J78" s="6" t="s">
        <v>615</v>
      </c>
      <c r="K78" s="6">
        <f t="shared" si="11"/>
        <v>12</v>
      </c>
      <c r="L78" s="6" t="str">
        <f t="shared" si="9"/>
        <v>DICIEMBRE</v>
      </c>
    </row>
    <row r="79" spans="1:12" x14ac:dyDescent="0.25">
      <c r="A79" s="5">
        <f t="shared" si="10"/>
        <v>2025</v>
      </c>
      <c r="B79" s="18" t="s">
        <v>1370</v>
      </c>
      <c r="C79" s="18" t="s">
        <v>596</v>
      </c>
      <c r="D79" s="12">
        <v>21384</v>
      </c>
      <c r="E79" s="17" t="s">
        <v>43</v>
      </c>
      <c r="F79" s="12" t="s">
        <v>44</v>
      </c>
      <c r="G79" s="14">
        <v>4</v>
      </c>
      <c r="H79" s="24">
        <v>1170400</v>
      </c>
      <c r="I79" s="12" t="s">
        <v>1418</v>
      </c>
      <c r="J79" s="6" t="s">
        <v>615</v>
      </c>
      <c r="K79" s="6">
        <f t="shared" si="11"/>
        <v>12</v>
      </c>
      <c r="L79" s="6" t="str">
        <f t="shared" si="9"/>
        <v>DICIEMBRE</v>
      </c>
    </row>
    <row r="80" spans="1:12" x14ac:dyDescent="0.25">
      <c r="A80" s="5">
        <f t="shared" si="10"/>
        <v>2025</v>
      </c>
      <c r="B80" s="18" t="s">
        <v>1370</v>
      </c>
      <c r="C80" s="18" t="s">
        <v>596</v>
      </c>
      <c r="D80" s="12">
        <v>21383</v>
      </c>
      <c r="E80" s="17" t="s">
        <v>247</v>
      </c>
      <c r="F80" s="12" t="s">
        <v>248</v>
      </c>
      <c r="G80" s="14">
        <v>5</v>
      </c>
      <c r="H80" s="24">
        <v>1635000</v>
      </c>
      <c r="I80" s="12" t="s">
        <v>1367</v>
      </c>
      <c r="J80" s="6" t="s">
        <v>615</v>
      </c>
      <c r="K80" s="6">
        <f t="shared" si="11"/>
        <v>12</v>
      </c>
      <c r="L80" s="6" t="str">
        <f t="shared" si="9"/>
        <v>DICIEMBRE</v>
      </c>
    </row>
    <row r="81" spans="1:12" x14ac:dyDescent="0.25">
      <c r="A81" s="5">
        <f t="shared" si="10"/>
        <v>2025</v>
      </c>
      <c r="B81" s="18" t="s">
        <v>1370</v>
      </c>
      <c r="C81" s="18" t="s">
        <v>596</v>
      </c>
      <c r="D81" s="12">
        <v>21386</v>
      </c>
      <c r="E81" s="17">
        <v>20005483</v>
      </c>
      <c r="F81" s="12" t="s">
        <v>1404</v>
      </c>
      <c r="G81" s="14">
        <v>1</v>
      </c>
      <c r="H81" s="24">
        <v>2600000</v>
      </c>
      <c r="I81" s="12" t="s">
        <v>1063</v>
      </c>
      <c r="J81" s="6" t="s">
        <v>609</v>
      </c>
      <c r="K81" s="6">
        <f t="shared" si="11"/>
        <v>12</v>
      </c>
      <c r="L81" s="6" t="str">
        <f t="shared" si="9"/>
        <v>DICIEMBRE</v>
      </c>
    </row>
    <row r="82" spans="1:12" x14ac:dyDescent="0.25">
      <c r="A82" s="5">
        <f t="shared" si="10"/>
        <v>2025</v>
      </c>
      <c r="B82" s="18" t="s">
        <v>1370</v>
      </c>
      <c r="C82" s="18" t="s">
        <v>596</v>
      </c>
      <c r="D82" s="12">
        <v>21388</v>
      </c>
      <c r="E82" s="17" t="s">
        <v>1405</v>
      </c>
      <c r="F82" s="12" t="s">
        <v>1406</v>
      </c>
      <c r="G82" s="14">
        <v>3</v>
      </c>
      <c r="H82" s="24">
        <v>71400</v>
      </c>
      <c r="I82" s="12" t="s">
        <v>637</v>
      </c>
      <c r="J82" s="6" t="s">
        <v>615</v>
      </c>
      <c r="K82" s="6">
        <f t="shared" si="11"/>
        <v>12</v>
      </c>
      <c r="L82" s="6" t="str">
        <f t="shared" si="9"/>
        <v>DICIEMBRE</v>
      </c>
    </row>
    <row r="83" spans="1:12" x14ac:dyDescent="0.25">
      <c r="A83" s="5">
        <f t="shared" si="10"/>
        <v>2025</v>
      </c>
      <c r="B83" s="18" t="s">
        <v>1370</v>
      </c>
      <c r="C83" s="18" t="s">
        <v>596</v>
      </c>
      <c r="D83" s="12">
        <v>21389</v>
      </c>
      <c r="E83" s="17" t="s">
        <v>1407</v>
      </c>
      <c r="F83" s="12" t="s">
        <v>1311</v>
      </c>
      <c r="G83" s="14">
        <v>1</v>
      </c>
      <c r="H83" s="24">
        <v>2050000</v>
      </c>
      <c r="I83" s="12" t="s">
        <v>637</v>
      </c>
      <c r="J83" s="6" t="s">
        <v>615</v>
      </c>
      <c r="K83" s="6">
        <f t="shared" si="11"/>
        <v>12</v>
      </c>
      <c r="L83" s="6" t="str">
        <f t="shared" si="9"/>
        <v>DICIEMBRE</v>
      </c>
    </row>
    <row r="84" spans="1:12" x14ac:dyDescent="0.25">
      <c r="A84" s="5">
        <f t="shared" si="10"/>
        <v>2025</v>
      </c>
      <c r="B84" s="18" t="s">
        <v>1370</v>
      </c>
      <c r="C84" s="18" t="s">
        <v>596</v>
      </c>
      <c r="D84" s="12">
        <v>21387</v>
      </c>
      <c r="E84" s="17" t="s">
        <v>472</v>
      </c>
      <c r="F84" s="12" t="s">
        <v>473</v>
      </c>
      <c r="G84" s="14">
        <v>4</v>
      </c>
      <c r="H84" s="24">
        <v>181356</v>
      </c>
      <c r="I84" s="12" t="s">
        <v>637</v>
      </c>
      <c r="J84" s="6" t="s">
        <v>615</v>
      </c>
      <c r="K84" s="6">
        <f t="shared" si="11"/>
        <v>12</v>
      </c>
      <c r="L84" s="6" t="str">
        <f t="shared" si="9"/>
        <v>DICIEMBRE</v>
      </c>
    </row>
    <row r="85" spans="1:12" x14ac:dyDescent="0.25">
      <c r="A85" s="5">
        <f t="shared" si="10"/>
        <v>2025</v>
      </c>
      <c r="B85" s="18" t="s">
        <v>1370</v>
      </c>
      <c r="C85" s="18" t="s">
        <v>596</v>
      </c>
      <c r="D85" s="12">
        <v>21393</v>
      </c>
      <c r="E85" s="17" t="s">
        <v>188</v>
      </c>
      <c r="F85" s="12" t="s">
        <v>189</v>
      </c>
      <c r="G85" s="14">
        <v>4</v>
      </c>
      <c r="H85" s="24">
        <v>116000</v>
      </c>
      <c r="I85" s="12" t="s">
        <v>637</v>
      </c>
      <c r="J85" s="6" t="s">
        <v>615</v>
      </c>
      <c r="K85" s="6">
        <f t="shared" si="11"/>
        <v>12</v>
      </c>
      <c r="L85" s="6" t="str">
        <f t="shared" si="9"/>
        <v>DICIEMBRE</v>
      </c>
    </row>
    <row r="86" spans="1:12" x14ac:dyDescent="0.25">
      <c r="A86" s="5">
        <f t="shared" si="10"/>
        <v>2025</v>
      </c>
      <c r="B86" s="18" t="s">
        <v>1370</v>
      </c>
      <c r="C86" s="18" t="s">
        <v>596</v>
      </c>
      <c r="D86" s="12">
        <v>21390</v>
      </c>
      <c r="E86" s="17" t="s">
        <v>1408</v>
      </c>
      <c r="F86" s="12" t="s">
        <v>1409</v>
      </c>
      <c r="G86" s="14">
        <v>1</v>
      </c>
      <c r="H86" s="24">
        <v>370000</v>
      </c>
      <c r="I86" s="12" t="s">
        <v>1063</v>
      </c>
      <c r="J86" s="6" t="s">
        <v>609</v>
      </c>
      <c r="K86" s="6">
        <f t="shared" si="11"/>
        <v>12</v>
      </c>
      <c r="L86" s="6" t="str">
        <f t="shared" si="9"/>
        <v>DICIEMBRE</v>
      </c>
    </row>
    <row r="87" spans="1:12" x14ac:dyDescent="0.25">
      <c r="A87" s="5">
        <f t="shared" si="10"/>
        <v>2025</v>
      </c>
      <c r="B87" s="18" t="s">
        <v>1370</v>
      </c>
      <c r="C87" s="18" t="s">
        <v>596</v>
      </c>
      <c r="D87" s="12">
        <v>21395</v>
      </c>
      <c r="E87" s="17" t="s">
        <v>192</v>
      </c>
      <c r="F87" s="12" t="s">
        <v>193</v>
      </c>
      <c r="G87" s="14">
        <v>1</v>
      </c>
      <c r="H87" s="24">
        <v>320000</v>
      </c>
      <c r="I87" s="12" t="s">
        <v>637</v>
      </c>
      <c r="J87" s="6" t="s">
        <v>615</v>
      </c>
      <c r="K87" s="6">
        <f t="shared" si="11"/>
        <v>12</v>
      </c>
      <c r="L87" s="6" t="str">
        <f t="shared" si="9"/>
        <v>DICIEMBRE</v>
      </c>
    </row>
    <row r="88" spans="1:12" x14ac:dyDescent="0.25">
      <c r="A88" s="5">
        <f t="shared" si="10"/>
        <v>2025</v>
      </c>
      <c r="B88" s="18" t="s">
        <v>1370</v>
      </c>
      <c r="C88" s="18" t="s">
        <v>596</v>
      </c>
      <c r="D88" s="12">
        <v>21395</v>
      </c>
      <c r="E88" s="17">
        <v>4393176</v>
      </c>
      <c r="F88" s="12" t="s">
        <v>1129</v>
      </c>
      <c r="G88" s="14">
        <v>2</v>
      </c>
      <c r="H88" s="24">
        <v>305528</v>
      </c>
      <c r="I88" s="12" t="s">
        <v>637</v>
      </c>
      <c r="J88" s="6" t="s">
        <v>615</v>
      </c>
      <c r="K88" s="6">
        <f t="shared" si="11"/>
        <v>12</v>
      </c>
      <c r="L88" s="6" t="str">
        <f t="shared" si="9"/>
        <v>DICIEMBRE</v>
      </c>
    </row>
    <row r="89" spans="1:12" x14ac:dyDescent="0.25">
      <c r="A89" s="5">
        <f t="shared" si="10"/>
        <v>2025</v>
      </c>
      <c r="B89" s="18" t="s">
        <v>1351</v>
      </c>
      <c r="C89" s="18" t="s">
        <v>596</v>
      </c>
      <c r="D89" s="12">
        <v>21356</v>
      </c>
      <c r="E89" s="17">
        <v>15918</v>
      </c>
      <c r="F89" s="12" t="s">
        <v>285</v>
      </c>
      <c r="G89" s="14">
        <v>3</v>
      </c>
      <c r="H89" s="24">
        <v>9000</v>
      </c>
      <c r="I89" s="12" t="s">
        <v>1287</v>
      </c>
      <c r="J89" s="6" t="s">
        <v>609</v>
      </c>
      <c r="K89" s="6">
        <f t="shared" si="11"/>
        <v>12</v>
      </c>
      <c r="L89" s="6" t="str">
        <f t="shared" si="9"/>
        <v>DICIEMBRE</v>
      </c>
    </row>
    <row r="90" spans="1:12" x14ac:dyDescent="0.25">
      <c r="A90" s="5">
        <f t="shared" si="10"/>
        <v>2025</v>
      </c>
      <c r="B90" s="18" t="s">
        <v>1351</v>
      </c>
      <c r="C90" s="18" t="s">
        <v>596</v>
      </c>
      <c r="D90" s="12">
        <v>21356</v>
      </c>
      <c r="E90" s="17">
        <v>4305294</v>
      </c>
      <c r="F90" s="12" t="s">
        <v>1056</v>
      </c>
      <c r="G90" s="14">
        <v>1</v>
      </c>
      <c r="H90" s="24">
        <v>25000</v>
      </c>
      <c r="I90" s="12" t="s">
        <v>1287</v>
      </c>
      <c r="J90" s="6" t="s">
        <v>609</v>
      </c>
      <c r="K90" s="6">
        <f t="shared" si="11"/>
        <v>12</v>
      </c>
      <c r="L90" s="6" t="str">
        <f t="shared" si="9"/>
        <v>DICIEMBRE</v>
      </c>
    </row>
    <row r="91" spans="1:12" x14ac:dyDescent="0.25">
      <c r="A91" s="5">
        <f t="shared" si="10"/>
        <v>2025</v>
      </c>
      <c r="B91" s="18" t="s">
        <v>1351</v>
      </c>
      <c r="C91" s="18" t="s">
        <v>596</v>
      </c>
      <c r="D91" s="12">
        <v>21358</v>
      </c>
      <c r="E91" s="17" t="s">
        <v>1355</v>
      </c>
      <c r="F91" s="12" t="s">
        <v>1356</v>
      </c>
      <c r="G91" s="14">
        <v>10</v>
      </c>
      <c r="H91" s="24">
        <v>305000</v>
      </c>
      <c r="I91" s="12" t="s">
        <v>637</v>
      </c>
      <c r="J91" s="6" t="s">
        <v>615</v>
      </c>
      <c r="K91" s="6">
        <f t="shared" si="11"/>
        <v>12</v>
      </c>
      <c r="L91" s="6" t="str">
        <f t="shared" si="9"/>
        <v>DICIEMBRE</v>
      </c>
    </row>
    <row r="92" spans="1:12" x14ac:dyDescent="0.25">
      <c r="A92" s="5">
        <f t="shared" si="10"/>
        <v>2025</v>
      </c>
      <c r="B92" s="18" t="s">
        <v>1305</v>
      </c>
      <c r="C92" s="18" t="s">
        <v>596</v>
      </c>
      <c r="D92" s="12">
        <v>21306</v>
      </c>
      <c r="E92" s="17" t="s">
        <v>1349</v>
      </c>
      <c r="F92" s="12" t="s">
        <v>1350</v>
      </c>
      <c r="G92" s="14">
        <v>2</v>
      </c>
      <c r="H92" s="24">
        <v>3630000</v>
      </c>
      <c r="I92" s="12" t="s">
        <v>625</v>
      </c>
      <c r="J92" s="6" t="s">
        <v>612</v>
      </c>
      <c r="K92" s="6">
        <f t="shared" si="11"/>
        <v>12</v>
      </c>
      <c r="L92" s="6" t="str">
        <f t="shared" si="9"/>
        <v>DICIEMBRE</v>
      </c>
    </row>
    <row r="93" spans="1:12" x14ac:dyDescent="0.25">
      <c r="A93" s="5">
        <f t="shared" si="10"/>
        <v>2025</v>
      </c>
      <c r="B93" s="18" t="s">
        <v>1370</v>
      </c>
      <c r="C93" s="18" t="s">
        <v>596</v>
      </c>
      <c r="D93" s="12">
        <v>21398</v>
      </c>
      <c r="E93" s="17">
        <v>4300912</v>
      </c>
      <c r="F93" s="12" t="s">
        <v>528</v>
      </c>
      <c r="G93" s="14">
        <v>1</v>
      </c>
      <c r="H93" s="24">
        <v>120000</v>
      </c>
      <c r="I93" s="12" t="s">
        <v>1287</v>
      </c>
      <c r="J93" s="6" t="s">
        <v>609</v>
      </c>
      <c r="K93" s="6">
        <f t="shared" si="11"/>
        <v>12</v>
      </c>
      <c r="L93" s="6" t="str">
        <f t="shared" si="9"/>
        <v>DICIEMBRE</v>
      </c>
    </row>
    <row r="94" spans="1:12" x14ac:dyDescent="0.25">
      <c r="A94" s="5">
        <f t="shared" si="10"/>
        <v>2025</v>
      </c>
      <c r="B94" s="18" t="s">
        <v>1370</v>
      </c>
      <c r="C94" s="18" t="s">
        <v>596</v>
      </c>
      <c r="D94" s="12">
        <v>21398</v>
      </c>
      <c r="E94" s="17">
        <v>4301842</v>
      </c>
      <c r="F94" s="12" t="s">
        <v>1410</v>
      </c>
      <c r="G94" s="14">
        <v>1</v>
      </c>
      <c r="H94" s="24">
        <v>60000</v>
      </c>
      <c r="I94" s="12" t="s">
        <v>1287</v>
      </c>
      <c r="J94" s="6" t="s">
        <v>609</v>
      </c>
      <c r="K94" s="6">
        <f t="shared" si="11"/>
        <v>12</v>
      </c>
      <c r="L94" s="6" t="str">
        <f t="shared" si="9"/>
        <v>DICIEMBRE</v>
      </c>
    </row>
    <row r="95" spans="1:12" x14ac:dyDescent="0.25">
      <c r="A95" s="5">
        <f t="shared" si="10"/>
        <v>2025</v>
      </c>
      <c r="B95" s="18" t="s">
        <v>1370</v>
      </c>
      <c r="C95" s="18" t="s">
        <v>596</v>
      </c>
      <c r="D95" s="12">
        <v>21398</v>
      </c>
      <c r="E95" s="17" t="s">
        <v>262</v>
      </c>
      <c r="F95" s="12" t="s">
        <v>263</v>
      </c>
      <c r="G95" s="14">
        <v>1</v>
      </c>
      <c r="H95" s="24">
        <v>106000</v>
      </c>
      <c r="I95" s="12" t="s">
        <v>1287</v>
      </c>
      <c r="J95" s="6" t="s">
        <v>609</v>
      </c>
      <c r="K95" s="6">
        <f t="shared" si="11"/>
        <v>12</v>
      </c>
      <c r="L95" s="6" t="str">
        <f t="shared" si="9"/>
        <v>DICIEMBRE</v>
      </c>
    </row>
    <row r="96" spans="1:12" x14ac:dyDescent="0.25">
      <c r="A96" s="5">
        <f t="shared" si="10"/>
        <v>2025</v>
      </c>
      <c r="B96" s="18" t="s">
        <v>1370</v>
      </c>
      <c r="C96" s="18" t="s">
        <v>596</v>
      </c>
      <c r="D96" s="12">
        <v>21398</v>
      </c>
      <c r="E96" s="17">
        <v>4303424</v>
      </c>
      <c r="F96" s="12" t="s">
        <v>135</v>
      </c>
      <c r="G96" s="14">
        <v>1</v>
      </c>
      <c r="H96" s="24">
        <v>25000</v>
      </c>
      <c r="I96" s="12" t="s">
        <v>1287</v>
      </c>
      <c r="J96" s="6" t="s">
        <v>609</v>
      </c>
      <c r="K96" s="6">
        <f t="shared" si="11"/>
        <v>12</v>
      </c>
      <c r="L96" s="6" t="str">
        <f t="shared" si="9"/>
        <v>DICIEMBRE</v>
      </c>
    </row>
    <row r="97" spans="1:12" x14ac:dyDescent="0.25">
      <c r="A97" s="5">
        <f t="shared" si="10"/>
        <v>2025</v>
      </c>
      <c r="B97" s="18" t="s">
        <v>1370</v>
      </c>
      <c r="C97" s="18" t="s">
        <v>596</v>
      </c>
      <c r="D97" s="12">
        <v>21398</v>
      </c>
      <c r="E97" s="17" t="s">
        <v>179</v>
      </c>
      <c r="F97" s="12" t="s">
        <v>180</v>
      </c>
      <c r="G97" s="14">
        <v>2</v>
      </c>
      <c r="H97" s="24">
        <v>720000</v>
      </c>
      <c r="I97" s="12" t="s">
        <v>1287</v>
      </c>
      <c r="J97" s="6" t="s">
        <v>609</v>
      </c>
      <c r="K97" s="6">
        <f t="shared" si="11"/>
        <v>12</v>
      </c>
      <c r="L97" s="6" t="str">
        <f t="shared" si="9"/>
        <v>DICIEMBRE</v>
      </c>
    </row>
    <row r="98" spans="1:12" x14ac:dyDescent="0.25">
      <c r="A98" s="5">
        <f t="shared" si="10"/>
        <v>2025</v>
      </c>
      <c r="B98" s="18" t="s">
        <v>1370</v>
      </c>
      <c r="C98" s="18" t="s">
        <v>596</v>
      </c>
      <c r="D98" s="12">
        <v>21398</v>
      </c>
      <c r="E98" s="17" t="s">
        <v>355</v>
      </c>
      <c r="F98" s="12" t="s">
        <v>356</v>
      </c>
      <c r="G98" s="14">
        <v>2</v>
      </c>
      <c r="H98" s="24">
        <v>310000</v>
      </c>
      <c r="I98" s="12" t="s">
        <v>1287</v>
      </c>
      <c r="J98" s="6" t="s">
        <v>609</v>
      </c>
      <c r="K98" s="6">
        <f t="shared" si="11"/>
        <v>12</v>
      </c>
      <c r="L98" s="6" t="str">
        <f t="shared" si="9"/>
        <v>DICIEMBRE</v>
      </c>
    </row>
    <row r="99" spans="1:12" x14ac:dyDescent="0.25">
      <c r="A99" s="5">
        <f t="shared" si="10"/>
        <v>2025</v>
      </c>
      <c r="B99" s="18" t="s">
        <v>1370</v>
      </c>
      <c r="C99" s="18" t="s">
        <v>596</v>
      </c>
      <c r="D99" s="12">
        <v>21398</v>
      </c>
      <c r="E99" s="17">
        <v>4303124</v>
      </c>
      <c r="F99" s="12" t="s">
        <v>25</v>
      </c>
      <c r="G99" s="14">
        <v>2</v>
      </c>
      <c r="H99" s="24">
        <v>40000</v>
      </c>
      <c r="I99" s="12" t="s">
        <v>1287</v>
      </c>
      <c r="J99" s="6" t="s">
        <v>609</v>
      </c>
      <c r="K99" s="6">
        <f t="shared" si="11"/>
        <v>12</v>
      </c>
      <c r="L99" s="6" t="str">
        <f t="shared" si="9"/>
        <v>DICIEMBRE</v>
      </c>
    </row>
    <row r="100" spans="1:12" x14ac:dyDescent="0.25">
      <c r="A100" s="5">
        <f t="shared" si="10"/>
        <v>2025</v>
      </c>
      <c r="B100" s="18" t="s">
        <v>1370</v>
      </c>
      <c r="C100" s="18" t="s">
        <v>596</v>
      </c>
      <c r="D100" s="12">
        <v>21398</v>
      </c>
      <c r="E100" s="17" t="s">
        <v>1411</v>
      </c>
      <c r="F100" s="12" t="s">
        <v>1412</v>
      </c>
      <c r="G100" s="14">
        <v>1</v>
      </c>
      <c r="H100" s="24">
        <v>2457000</v>
      </c>
      <c r="I100" s="12" t="s">
        <v>1287</v>
      </c>
      <c r="J100" s="6" t="s">
        <v>609</v>
      </c>
      <c r="K100" s="6">
        <f t="shared" si="11"/>
        <v>12</v>
      </c>
      <c r="L100" s="6" t="str">
        <f t="shared" si="9"/>
        <v>DICIEMBRE</v>
      </c>
    </row>
    <row r="101" spans="1:12" x14ac:dyDescent="0.25">
      <c r="A101" s="5">
        <f t="shared" si="10"/>
        <v>2025</v>
      </c>
      <c r="B101" s="18" t="s">
        <v>1370</v>
      </c>
      <c r="C101" s="18" t="s">
        <v>596</v>
      </c>
      <c r="D101" s="12">
        <v>21398</v>
      </c>
      <c r="E101" s="17" t="s">
        <v>220</v>
      </c>
      <c r="F101" s="12" t="s">
        <v>221</v>
      </c>
      <c r="G101" s="14">
        <v>1</v>
      </c>
      <c r="H101" s="24">
        <v>406000</v>
      </c>
      <c r="I101" s="12" t="s">
        <v>1287</v>
      </c>
      <c r="J101" s="6" t="s">
        <v>609</v>
      </c>
      <c r="K101" s="6">
        <f t="shared" si="11"/>
        <v>12</v>
      </c>
      <c r="L101" s="6" t="str">
        <f t="shared" si="9"/>
        <v>DICIEMBRE</v>
      </c>
    </row>
    <row r="102" spans="1:12" x14ac:dyDescent="0.25">
      <c r="A102" s="5">
        <f t="shared" si="10"/>
        <v>2025</v>
      </c>
      <c r="B102" s="18" t="s">
        <v>1370</v>
      </c>
      <c r="C102" s="18" t="s">
        <v>596</v>
      </c>
      <c r="D102" s="12">
        <v>21398</v>
      </c>
      <c r="E102" s="17" t="s">
        <v>293</v>
      </c>
      <c r="F102" s="12" t="s">
        <v>294</v>
      </c>
      <c r="G102" s="14">
        <v>1</v>
      </c>
      <c r="H102" s="24">
        <v>398000</v>
      </c>
      <c r="I102" s="12" t="s">
        <v>1287</v>
      </c>
      <c r="J102" s="6" t="s">
        <v>609</v>
      </c>
      <c r="K102" s="6">
        <f t="shared" si="11"/>
        <v>12</v>
      </c>
      <c r="L102" s="6" t="str">
        <f t="shared" si="9"/>
        <v>DICIEMBRE</v>
      </c>
    </row>
    <row r="103" spans="1:12" x14ac:dyDescent="0.25">
      <c r="A103" s="5">
        <f t="shared" si="10"/>
        <v>2025</v>
      </c>
      <c r="B103" s="18" t="s">
        <v>1370</v>
      </c>
      <c r="C103" s="18" t="s">
        <v>596</v>
      </c>
      <c r="D103" s="12">
        <v>21398</v>
      </c>
      <c r="E103" s="17" t="s">
        <v>198</v>
      </c>
      <c r="F103" s="12" t="s">
        <v>199</v>
      </c>
      <c r="G103" s="14">
        <v>2</v>
      </c>
      <c r="H103" s="24">
        <v>660000</v>
      </c>
      <c r="I103" s="12" t="s">
        <v>1287</v>
      </c>
      <c r="J103" s="6" t="s">
        <v>609</v>
      </c>
      <c r="K103" s="6">
        <f t="shared" si="11"/>
        <v>12</v>
      </c>
      <c r="L103" s="6" t="str">
        <f t="shared" si="9"/>
        <v>DICIEMBRE</v>
      </c>
    </row>
    <row r="104" spans="1:12" x14ac:dyDescent="0.25">
      <c r="A104" s="5">
        <f t="shared" si="10"/>
        <v>2025</v>
      </c>
      <c r="B104" s="18" t="s">
        <v>1371</v>
      </c>
      <c r="C104" s="18" t="s">
        <v>596</v>
      </c>
      <c r="D104" s="12">
        <v>21399</v>
      </c>
      <c r="E104" s="17" t="s">
        <v>496</v>
      </c>
      <c r="F104" s="12" t="s">
        <v>497</v>
      </c>
      <c r="G104" s="14">
        <v>1</v>
      </c>
      <c r="H104" s="24">
        <v>260000</v>
      </c>
      <c r="I104" s="12" t="s">
        <v>1063</v>
      </c>
      <c r="J104" s="6" t="s">
        <v>609</v>
      </c>
      <c r="K104" s="6">
        <f t="shared" si="11"/>
        <v>12</v>
      </c>
      <c r="L104" s="6" t="str">
        <f t="shared" si="9"/>
        <v>DICIEMBRE</v>
      </c>
    </row>
    <row r="105" spans="1:12" x14ac:dyDescent="0.25">
      <c r="A105" s="5">
        <f t="shared" si="10"/>
        <v>2025</v>
      </c>
      <c r="B105" s="18" t="s">
        <v>1372</v>
      </c>
      <c r="C105" s="18" t="s">
        <v>596</v>
      </c>
      <c r="D105" s="12">
        <v>21407</v>
      </c>
      <c r="E105" s="17" t="s">
        <v>735</v>
      </c>
      <c r="F105" s="12" t="s">
        <v>736</v>
      </c>
      <c r="G105" s="14">
        <v>3</v>
      </c>
      <c r="H105" s="24">
        <v>750000</v>
      </c>
      <c r="I105" s="12" t="s">
        <v>1063</v>
      </c>
      <c r="J105" s="6" t="s">
        <v>609</v>
      </c>
      <c r="K105" s="6">
        <f t="shared" si="11"/>
        <v>12</v>
      </c>
      <c r="L105" s="6" t="str">
        <f t="shared" si="9"/>
        <v>DICIEMBRE</v>
      </c>
    </row>
    <row r="106" spans="1:12" x14ac:dyDescent="0.25">
      <c r="A106" s="5">
        <f t="shared" si="10"/>
        <v>2025</v>
      </c>
      <c r="B106" s="18" t="s">
        <v>1372</v>
      </c>
      <c r="C106" s="18" t="s">
        <v>596</v>
      </c>
      <c r="D106" s="12">
        <v>21407</v>
      </c>
      <c r="E106" s="17" t="s">
        <v>514</v>
      </c>
      <c r="F106" s="12" t="s">
        <v>515</v>
      </c>
      <c r="G106" s="14">
        <v>3</v>
      </c>
      <c r="H106" s="24">
        <v>900000</v>
      </c>
      <c r="I106" s="12" t="s">
        <v>1063</v>
      </c>
      <c r="J106" s="6" t="s">
        <v>609</v>
      </c>
      <c r="K106" s="6">
        <f t="shared" si="11"/>
        <v>12</v>
      </c>
      <c r="L106" s="6" t="str">
        <f t="shared" si="9"/>
        <v>DICIEMBRE</v>
      </c>
    </row>
    <row r="107" spans="1:12" x14ac:dyDescent="0.25">
      <c r="A107" s="5">
        <f t="shared" si="10"/>
        <v>2025</v>
      </c>
      <c r="B107" s="18" t="s">
        <v>1372</v>
      </c>
      <c r="C107" s="18" t="s">
        <v>596</v>
      </c>
      <c r="D107" s="12">
        <v>21409</v>
      </c>
      <c r="E107" s="17" t="s">
        <v>338</v>
      </c>
      <c r="F107" s="12" t="s">
        <v>339</v>
      </c>
      <c r="G107" s="14">
        <v>2</v>
      </c>
      <c r="H107" s="24">
        <v>30200</v>
      </c>
      <c r="I107" s="12" t="s">
        <v>1418</v>
      </c>
      <c r="J107" s="6" t="s">
        <v>615</v>
      </c>
      <c r="K107" s="6">
        <f t="shared" si="11"/>
        <v>12</v>
      </c>
      <c r="L107" s="6" t="str">
        <f t="shared" si="9"/>
        <v>DICIEMBRE</v>
      </c>
    </row>
    <row r="108" spans="1:12" x14ac:dyDescent="0.25">
      <c r="A108" s="5">
        <f t="shared" si="10"/>
        <v>2025</v>
      </c>
      <c r="B108" s="18" t="s">
        <v>1372</v>
      </c>
      <c r="C108" s="18" t="s">
        <v>596</v>
      </c>
      <c r="D108" s="12">
        <v>21409</v>
      </c>
      <c r="E108" s="17" t="s">
        <v>140</v>
      </c>
      <c r="F108" s="12" t="s">
        <v>141</v>
      </c>
      <c r="G108" s="14">
        <v>1</v>
      </c>
      <c r="H108" s="24">
        <v>37300</v>
      </c>
      <c r="I108" s="12" t="s">
        <v>1418</v>
      </c>
      <c r="J108" s="6" t="s">
        <v>615</v>
      </c>
      <c r="K108" s="6">
        <f t="shared" si="11"/>
        <v>12</v>
      </c>
      <c r="L108" s="6" t="str">
        <f t="shared" si="9"/>
        <v>DICIEMBRE</v>
      </c>
    </row>
    <row r="109" spans="1:12" x14ac:dyDescent="0.25">
      <c r="A109" s="5">
        <f t="shared" si="10"/>
        <v>2025</v>
      </c>
      <c r="B109" s="18" t="s">
        <v>1372</v>
      </c>
      <c r="C109" s="18" t="s">
        <v>596</v>
      </c>
      <c r="D109" s="12">
        <v>21409</v>
      </c>
      <c r="E109" s="17" t="s">
        <v>346</v>
      </c>
      <c r="F109" s="12" t="s">
        <v>347</v>
      </c>
      <c r="G109" s="14">
        <v>1</v>
      </c>
      <c r="H109" s="24">
        <v>97200</v>
      </c>
      <c r="I109" s="12" t="s">
        <v>1418</v>
      </c>
      <c r="J109" s="6" t="s">
        <v>615</v>
      </c>
      <c r="K109" s="6">
        <f t="shared" si="11"/>
        <v>12</v>
      </c>
      <c r="L109" s="6" t="str">
        <f t="shared" si="9"/>
        <v>DICIEMBRE</v>
      </c>
    </row>
    <row r="110" spans="1:12" x14ac:dyDescent="0.25">
      <c r="A110" s="5">
        <f t="shared" si="10"/>
        <v>2025</v>
      </c>
      <c r="B110" s="18" t="s">
        <v>1372</v>
      </c>
      <c r="C110" s="18" t="s">
        <v>596</v>
      </c>
      <c r="D110" s="12">
        <v>21409</v>
      </c>
      <c r="E110" s="17" t="s">
        <v>1381</v>
      </c>
      <c r="F110" s="12" t="s">
        <v>1382</v>
      </c>
      <c r="G110" s="14">
        <v>1</v>
      </c>
      <c r="H110" s="24">
        <v>472000</v>
      </c>
      <c r="I110" s="12" t="s">
        <v>1418</v>
      </c>
      <c r="J110" s="6" t="s">
        <v>615</v>
      </c>
      <c r="K110" s="6">
        <f t="shared" si="11"/>
        <v>12</v>
      </c>
      <c r="L110" s="6" t="str">
        <f t="shared" si="9"/>
        <v>DICIEMBRE</v>
      </c>
    </row>
    <row r="111" spans="1:12" x14ac:dyDescent="0.25">
      <c r="A111" s="5">
        <f t="shared" si="10"/>
        <v>2025</v>
      </c>
      <c r="B111" s="18" t="s">
        <v>1372</v>
      </c>
      <c r="C111" s="18" t="s">
        <v>596</v>
      </c>
      <c r="D111" s="12">
        <v>21409</v>
      </c>
      <c r="E111" s="17">
        <v>21360</v>
      </c>
      <c r="F111" s="12" t="s">
        <v>1380</v>
      </c>
      <c r="G111" s="14">
        <v>1</v>
      </c>
      <c r="H111" s="24">
        <v>125500</v>
      </c>
      <c r="I111" s="12" t="s">
        <v>1418</v>
      </c>
      <c r="J111" s="6" t="s">
        <v>615</v>
      </c>
      <c r="K111" s="6">
        <f t="shared" si="11"/>
        <v>12</v>
      </c>
      <c r="L111" s="6" t="str">
        <f t="shared" si="9"/>
        <v>DICIEMBRE</v>
      </c>
    </row>
    <row r="112" spans="1:12" x14ac:dyDescent="0.25">
      <c r="A112" s="5">
        <f t="shared" si="10"/>
        <v>2025</v>
      </c>
      <c r="B112" s="18" t="s">
        <v>1372</v>
      </c>
      <c r="C112" s="18" t="s">
        <v>596</v>
      </c>
      <c r="D112" s="12">
        <v>21409</v>
      </c>
      <c r="E112" s="17">
        <v>21350</v>
      </c>
      <c r="F112" s="12" t="s">
        <v>1357</v>
      </c>
      <c r="G112" s="14">
        <v>1</v>
      </c>
      <c r="H112" s="24">
        <v>83200</v>
      </c>
      <c r="I112" s="12" t="s">
        <v>1418</v>
      </c>
      <c r="J112" s="6" t="s">
        <v>615</v>
      </c>
      <c r="K112" s="6">
        <f t="shared" si="11"/>
        <v>12</v>
      </c>
      <c r="L112" s="6" t="str">
        <f t="shared" si="9"/>
        <v>DICIEMBRE</v>
      </c>
    </row>
    <row r="113" spans="1:12" x14ac:dyDescent="0.25">
      <c r="A113" s="5">
        <f t="shared" si="10"/>
        <v>2025</v>
      </c>
      <c r="B113" s="18" t="s">
        <v>1372</v>
      </c>
      <c r="C113" s="18" t="s">
        <v>596</v>
      </c>
      <c r="D113" s="12">
        <v>21409</v>
      </c>
      <c r="E113" s="17" t="s">
        <v>305</v>
      </c>
      <c r="F113" s="12" t="s">
        <v>306</v>
      </c>
      <c r="G113" s="14">
        <v>1</v>
      </c>
      <c r="H113" s="24">
        <v>313400</v>
      </c>
      <c r="I113" s="12" t="s">
        <v>1418</v>
      </c>
      <c r="J113" s="6" t="s">
        <v>615</v>
      </c>
      <c r="K113" s="6">
        <f t="shared" si="11"/>
        <v>12</v>
      </c>
      <c r="L113" s="6" t="str">
        <f t="shared" si="9"/>
        <v>DICIEMBRE</v>
      </c>
    </row>
    <row r="114" spans="1:12" x14ac:dyDescent="0.25">
      <c r="A114" s="5">
        <f t="shared" si="10"/>
        <v>2025</v>
      </c>
      <c r="B114" s="18" t="s">
        <v>1372</v>
      </c>
      <c r="C114" s="18" t="s">
        <v>596</v>
      </c>
      <c r="D114" s="12">
        <v>21408</v>
      </c>
      <c r="E114" s="17" t="s">
        <v>111</v>
      </c>
      <c r="F114" s="12" t="s">
        <v>112</v>
      </c>
      <c r="G114" s="14">
        <v>4</v>
      </c>
      <c r="H114" s="24">
        <v>223600</v>
      </c>
      <c r="I114" s="12" t="s">
        <v>1418</v>
      </c>
      <c r="J114" s="6" t="s">
        <v>615</v>
      </c>
      <c r="K114" s="6">
        <f t="shared" si="11"/>
        <v>12</v>
      </c>
      <c r="L114" s="6" t="str">
        <f t="shared" si="9"/>
        <v>DICIEMBRE</v>
      </c>
    </row>
    <row r="115" spans="1:12" x14ac:dyDescent="0.25">
      <c r="A115" s="5">
        <f t="shared" si="10"/>
        <v>2025</v>
      </c>
      <c r="B115" s="18" t="s">
        <v>1372</v>
      </c>
      <c r="C115" s="18" t="s">
        <v>596</v>
      </c>
      <c r="D115" s="12">
        <v>21408</v>
      </c>
      <c r="E115" s="17">
        <v>21360</v>
      </c>
      <c r="F115" s="12" t="s">
        <v>1380</v>
      </c>
      <c r="G115" s="14">
        <v>1</v>
      </c>
      <c r="H115" s="24">
        <v>125500</v>
      </c>
      <c r="I115" s="12" t="s">
        <v>1418</v>
      </c>
      <c r="J115" s="6" t="s">
        <v>615</v>
      </c>
      <c r="K115" s="6">
        <f t="shared" si="11"/>
        <v>12</v>
      </c>
      <c r="L115" s="6" t="str">
        <f t="shared" si="9"/>
        <v>DICIEMBRE</v>
      </c>
    </row>
    <row r="116" spans="1:12" x14ac:dyDescent="0.25">
      <c r="A116" s="5">
        <f t="shared" si="10"/>
        <v>2025</v>
      </c>
      <c r="B116" s="18" t="s">
        <v>1372</v>
      </c>
      <c r="C116" s="18" t="s">
        <v>596</v>
      </c>
      <c r="D116" s="12">
        <v>21408</v>
      </c>
      <c r="E116" s="17">
        <v>21350</v>
      </c>
      <c r="F116" s="12" t="s">
        <v>1357</v>
      </c>
      <c r="G116" s="14">
        <v>1</v>
      </c>
      <c r="H116" s="24">
        <v>83200</v>
      </c>
      <c r="I116" s="12" t="s">
        <v>1418</v>
      </c>
      <c r="J116" s="6" t="s">
        <v>615</v>
      </c>
      <c r="K116" s="6">
        <f t="shared" si="11"/>
        <v>12</v>
      </c>
      <c r="L116" s="6" t="str">
        <f t="shared" si="9"/>
        <v>DICIEMBRE</v>
      </c>
    </row>
    <row r="117" spans="1:12" x14ac:dyDescent="0.25">
      <c r="A117" s="5">
        <f t="shared" si="10"/>
        <v>2025</v>
      </c>
      <c r="B117" s="18" t="s">
        <v>1372</v>
      </c>
      <c r="C117" s="18" t="s">
        <v>596</v>
      </c>
      <c r="D117" s="12">
        <v>21408</v>
      </c>
      <c r="E117" s="17" t="s">
        <v>1381</v>
      </c>
      <c r="F117" s="12" t="s">
        <v>1382</v>
      </c>
      <c r="G117" s="14">
        <v>1</v>
      </c>
      <c r="H117" s="24">
        <v>472000</v>
      </c>
      <c r="I117" s="12" t="s">
        <v>1418</v>
      </c>
      <c r="J117" s="6" t="s">
        <v>615</v>
      </c>
      <c r="K117" s="6">
        <f t="shared" si="11"/>
        <v>12</v>
      </c>
      <c r="L117" s="6" t="str">
        <f t="shared" si="9"/>
        <v>DICIEMBRE</v>
      </c>
    </row>
    <row r="118" spans="1:12" x14ac:dyDescent="0.25">
      <c r="A118" s="5">
        <f t="shared" si="10"/>
        <v>2025</v>
      </c>
      <c r="B118" s="18" t="s">
        <v>1372</v>
      </c>
      <c r="C118" s="18" t="s">
        <v>596</v>
      </c>
      <c r="D118" s="12">
        <v>21408</v>
      </c>
      <c r="E118" s="17" t="s">
        <v>338</v>
      </c>
      <c r="F118" s="12" t="s">
        <v>339</v>
      </c>
      <c r="G118" s="14">
        <v>2</v>
      </c>
      <c r="H118" s="24">
        <v>30200</v>
      </c>
      <c r="I118" s="12" t="s">
        <v>1418</v>
      </c>
      <c r="J118" s="6" t="s">
        <v>615</v>
      </c>
      <c r="K118" s="6">
        <f t="shared" si="11"/>
        <v>12</v>
      </c>
      <c r="L118" s="6" t="str">
        <f t="shared" si="9"/>
        <v>DICIEMBRE</v>
      </c>
    </row>
    <row r="119" spans="1:12" x14ac:dyDescent="0.25">
      <c r="A119" s="5">
        <f t="shared" si="10"/>
        <v>2025</v>
      </c>
      <c r="B119" s="18" t="s">
        <v>1372</v>
      </c>
      <c r="C119" s="18" t="s">
        <v>596</v>
      </c>
      <c r="D119" s="12">
        <v>21408</v>
      </c>
      <c r="E119" s="17" t="s">
        <v>140</v>
      </c>
      <c r="F119" s="12" t="s">
        <v>141</v>
      </c>
      <c r="G119" s="14">
        <v>1</v>
      </c>
      <c r="H119" s="24">
        <v>37300</v>
      </c>
      <c r="I119" s="12" t="s">
        <v>1418</v>
      </c>
      <c r="J119" s="6" t="s">
        <v>615</v>
      </c>
      <c r="K119" s="6">
        <f t="shared" si="11"/>
        <v>12</v>
      </c>
      <c r="L119" s="6" t="str">
        <f t="shared" si="9"/>
        <v>DICIEMBRE</v>
      </c>
    </row>
    <row r="120" spans="1:12" x14ac:dyDescent="0.25">
      <c r="A120" s="5">
        <f t="shared" si="10"/>
        <v>2025</v>
      </c>
      <c r="B120" s="18" t="s">
        <v>1372</v>
      </c>
      <c r="C120" s="18" t="s">
        <v>596</v>
      </c>
      <c r="D120" s="12">
        <v>21408</v>
      </c>
      <c r="E120" s="17" t="s">
        <v>346</v>
      </c>
      <c r="F120" s="12" t="s">
        <v>347</v>
      </c>
      <c r="G120" s="14">
        <v>1</v>
      </c>
      <c r="H120" s="24">
        <v>97200</v>
      </c>
      <c r="I120" s="12" t="s">
        <v>1418</v>
      </c>
      <c r="J120" s="6" t="s">
        <v>615</v>
      </c>
      <c r="K120" s="6">
        <f t="shared" si="11"/>
        <v>12</v>
      </c>
      <c r="L120" s="6" t="str">
        <f t="shared" si="9"/>
        <v>DICIEMBRE</v>
      </c>
    </row>
    <row r="121" spans="1:12" x14ac:dyDescent="0.25">
      <c r="A121" s="5">
        <f t="shared" si="10"/>
        <v>2025</v>
      </c>
      <c r="B121" s="18" t="s">
        <v>1372</v>
      </c>
      <c r="C121" s="18" t="s">
        <v>596</v>
      </c>
      <c r="D121" s="12">
        <v>21410</v>
      </c>
      <c r="E121" s="17" t="s">
        <v>188</v>
      </c>
      <c r="F121" s="12" t="s">
        <v>189</v>
      </c>
      <c r="G121" s="14">
        <v>3</v>
      </c>
      <c r="H121" s="24">
        <v>105000</v>
      </c>
      <c r="I121" s="12" t="s">
        <v>1287</v>
      </c>
      <c r="J121" s="6" t="s">
        <v>609</v>
      </c>
      <c r="K121" s="6">
        <f t="shared" si="11"/>
        <v>12</v>
      </c>
      <c r="L121" s="6" t="str">
        <f t="shared" si="9"/>
        <v>DICIEMBRE</v>
      </c>
    </row>
    <row r="122" spans="1:12" x14ac:dyDescent="0.25">
      <c r="A122" s="5">
        <f t="shared" si="10"/>
        <v>2025</v>
      </c>
      <c r="B122" s="18" t="s">
        <v>1372</v>
      </c>
      <c r="C122" s="18" t="s">
        <v>596</v>
      </c>
      <c r="D122" s="12">
        <v>21415</v>
      </c>
      <c r="E122" s="17" t="s">
        <v>1438</v>
      </c>
      <c r="F122" s="12" t="s">
        <v>1439</v>
      </c>
      <c r="G122" s="14">
        <v>20</v>
      </c>
      <c r="H122" s="24">
        <v>14900009</v>
      </c>
      <c r="I122" s="12" t="s">
        <v>1367</v>
      </c>
      <c r="J122" s="6" t="s">
        <v>615</v>
      </c>
      <c r="K122" s="6">
        <f t="shared" si="11"/>
        <v>12</v>
      </c>
      <c r="L122" s="6" t="str">
        <f t="shared" si="9"/>
        <v>DICIEMBRE</v>
      </c>
    </row>
    <row r="123" spans="1:12" x14ac:dyDescent="0.25">
      <c r="A123" s="5">
        <f t="shared" si="10"/>
        <v>2025</v>
      </c>
      <c r="B123" s="18" t="s">
        <v>1428</v>
      </c>
      <c r="C123" s="18" t="s">
        <v>596</v>
      </c>
      <c r="D123" s="12">
        <v>21419</v>
      </c>
      <c r="E123" s="17" t="s">
        <v>196</v>
      </c>
      <c r="F123" s="12" t="s">
        <v>197</v>
      </c>
      <c r="G123" s="14">
        <v>3</v>
      </c>
      <c r="H123" s="24">
        <v>6450001.3200000003</v>
      </c>
      <c r="I123" s="12" t="s">
        <v>1456</v>
      </c>
      <c r="J123" s="6" t="s">
        <v>615</v>
      </c>
      <c r="K123" s="6">
        <f t="shared" si="11"/>
        <v>12</v>
      </c>
      <c r="L123" s="6" t="str">
        <f t="shared" si="9"/>
        <v>DICIEMBRE</v>
      </c>
    </row>
    <row r="124" spans="1:12" x14ac:dyDescent="0.25">
      <c r="A124" s="5">
        <f t="shared" si="10"/>
        <v>2025</v>
      </c>
      <c r="B124" s="18" t="s">
        <v>1353</v>
      </c>
      <c r="C124" s="18" t="s">
        <v>596</v>
      </c>
      <c r="D124" s="12">
        <v>21352</v>
      </c>
      <c r="E124" s="17" t="s">
        <v>247</v>
      </c>
      <c r="F124" s="12" t="s">
        <v>248</v>
      </c>
      <c r="G124" s="14">
        <v>5</v>
      </c>
      <c r="H124" s="24">
        <v>1635000</v>
      </c>
      <c r="I124" s="12" t="s">
        <v>1367</v>
      </c>
      <c r="J124" s="6" t="s">
        <v>615</v>
      </c>
      <c r="K124" s="6">
        <f t="shared" si="11"/>
        <v>12</v>
      </c>
      <c r="L124" s="6" t="str">
        <f t="shared" si="9"/>
        <v>DICIEMBRE</v>
      </c>
    </row>
    <row r="125" spans="1:12" x14ac:dyDescent="0.25">
      <c r="A125" s="5">
        <f t="shared" si="10"/>
        <v>2025</v>
      </c>
      <c r="B125" s="18" t="s">
        <v>1353</v>
      </c>
      <c r="C125" s="18" t="s">
        <v>596</v>
      </c>
      <c r="D125" s="12">
        <v>21350</v>
      </c>
      <c r="E125" s="17" t="s">
        <v>247</v>
      </c>
      <c r="F125" s="12" t="s">
        <v>248</v>
      </c>
      <c r="G125" s="14">
        <v>5</v>
      </c>
      <c r="H125" s="24">
        <v>1635000</v>
      </c>
      <c r="I125" s="12" t="s">
        <v>1367</v>
      </c>
      <c r="J125" s="6" t="s">
        <v>615</v>
      </c>
      <c r="K125" s="6">
        <f t="shared" si="11"/>
        <v>12</v>
      </c>
      <c r="L125" s="6" t="str">
        <f t="shared" si="9"/>
        <v>DICIEMBRE</v>
      </c>
    </row>
    <row r="126" spans="1:12" x14ac:dyDescent="0.25">
      <c r="A126" s="5">
        <f t="shared" si="10"/>
        <v>2025</v>
      </c>
      <c r="B126" s="18" t="s">
        <v>1353</v>
      </c>
      <c r="C126" s="18" t="s">
        <v>596</v>
      </c>
      <c r="D126" s="12">
        <v>21350</v>
      </c>
      <c r="E126" s="17" t="s">
        <v>1359</v>
      </c>
      <c r="F126" s="12" t="s">
        <v>1360</v>
      </c>
      <c r="G126" s="14">
        <v>5</v>
      </c>
      <c r="H126" s="24">
        <v>850000</v>
      </c>
      <c r="I126" s="12" t="s">
        <v>1367</v>
      </c>
      <c r="J126" s="6" t="s">
        <v>615</v>
      </c>
      <c r="K126" s="6">
        <f t="shared" si="11"/>
        <v>12</v>
      </c>
      <c r="L126" s="6" t="str">
        <f t="shared" si="9"/>
        <v>DICIEMBRE</v>
      </c>
    </row>
    <row r="127" spans="1:12" x14ac:dyDescent="0.25">
      <c r="A127" s="5">
        <f t="shared" si="10"/>
        <v>2025</v>
      </c>
      <c r="B127" s="18" t="s">
        <v>1353</v>
      </c>
      <c r="C127" s="18" t="s">
        <v>596</v>
      </c>
      <c r="D127" s="12">
        <v>21353</v>
      </c>
      <c r="E127" s="17">
        <v>1144</v>
      </c>
      <c r="F127" s="12" t="s">
        <v>1358</v>
      </c>
      <c r="G127" s="14">
        <v>5</v>
      </c>
      <c r="H127" s="24">
        <v>60000</v>
      </c>
      <c r="I127" s="12" t="s">
        <v>1367</v>
      </c>
      <c r="J127" s="6" t="s">
        <v>615</v>
      </c>
      <c r="K127" s="6">
        <f t="shared" si="11"/>
        <v>12</v>
      </c>
      <c r="L127" s="6" t="str">
        <f t="shared" si="9"/>
        <v>DICIEMBRE</v>
      </c>
    </row>
    <row r="128" spans="1:12" x14ac:dyDescent="0.25">
      <c r="A128" s="5">
        <f t="shared" si="10"/>
        <v>2025</v>
      </c>
      <c r="B128" s="18" t="s">
        <v>1353</v>
      </c>
      <c r="C128" s="18" t="s">
        <v>596</v>
      </c>
      <c r="D128" s="12">
        <v>21353</v>
      </c>
      <c r="E128" s="17" t="s">
        <v>1359</v>
      </c>
      <c r="F128" s="12" t="s">
        <v>1360</v>
      </c>
      <c r="G128" s="14">
        <v>5</v>
      </c>
      <c r="H128" s="24">
        <v>850000</v>
      </c>
      <c r="I128" s="12" t="s">
        <v>1367</v>
      </c>
      <c r="J128" s="6" t="s">
        <v>615</v>
      </c>
      <c r="K128" s="6">
        <f t="shared" si="11"/>
        <v>12</v>
      </c>
      <c r="L128" s="6" t="str">
        <f t="shared" si="9"/>
        <v>DICIEMBRE</v>
      </c>
    </row>
    <row r="129" spans="1:12" x14ac:dyDescent="0.25">
      <c r="A129" s="5">
        <f t="shared" si="10"/>
        <v>2025</v>
      </c>
      <c r="B129" s="18" t="s">
        <v>1353</v>
      </c>
      <c r="C129" s="18" t="s">
        <v>596</v>
      </c>
      <c r="D129" s="12">
        <v>21353</v>
      </c>
      <c r="E129" s="17" t="s">
        <v>1361</v>
      </c>
      <c r="F129" s="12" t="s">
        <v>1362</v>
      </c>
      <c r="G129" s="14">
        <v>5</v>
      </c>
      <c r="H129" s="24">
        <v>750000</v>
      </c>
      <c r="I129" s="12" t="s">
        <v>1367</v>
      </c>
      <c r="J129" s="6" t="s">
        <v>615</v>
      </c>
      <c r="K129" s="6">
        <f t="shared" si="11"/>
        <v>12</v>
      </c>
      <c r="L129" s="6" t="str">
        <f t="shared" si="9"/>
        <v>DICIEMBRE</v>
      </c>
    </row>
    <row r="130" spans="1:12" x14ac:dyDescent="0.25">
      <c r="A130" s="5">
        <f t="shared" si="10"/>
        <v>2025</v>
      </c>
      <c r="B130" s="18" t="s">
        <v>1353</v>
      </c>
      <c r="C130" s="18" t="s">
        <v>596</v>
      </c>
      <c r="D130" s="12">
        <v>21351</v>
      </c>
      <c r="E130" s="17" t="s">
        <v>247</v>
      </c>
      <c r="F130" s="12" t="s">
        <v>248</v>
      </c>
      <c r="G130" s="14">
        <v>5</v>
      </c>
      <c r="H130" s="24">
        <v>1635000</v>
      </c>
      <c r="I130" s="12" t="s">
        <v>1367</v>
      </c>
      <c r="J130" s="6" t="s">
        <v>615</v>
      </c>
      <c r="K130" s="6">
        <f t="shared" si="11"/>
        <v>12</v>
      </c>
      <c r="L130" s="6" t="str">
        <f t="shared" si="9"/>
        <v>DICIEMBRE</v>
      </c>
    </row>
    <row r="131" spans="1:12" x14ac:dyDescent="0.25">
      <c r="A131" s="5">
        <f t="shared" si="10"/>
        <v>2025</v>
      </c>
      <c r="B131" s="18" t="s">
        <v>1353</v>
      </c>
      <c r="C131" s="18" t="s">
        <v>596</v>
      </c>
      <c r="D131" s="12">
        <v>21351</v>
      </c>
      <c r="E131" s="17" t="s">
        <v>1359</v>
      </c>
      <c r="F131" s="12" t="s">
        <v>1360</v>
      </c>
      <c r="G131" s="14">
        <v>5</v>
      </c>
      <c r="H131" s="24">
        <v>850000</v>
      </c>
      <c r="I131" s="12" t="s">
        <v>1367</v>
      </c>
      <c r="J131" s="6" t="s">
        <v>615</v>
      </c>
      <c r="K131" s="6">
        <f t="shared" si="11"/>
        <v>12</v>
      </c>
      <c r="L131" s="6" t="str">
        <f t="shared" ref="L131:L194" si="12">VLOOKUP(K131,N:O,2,0)</f>
        <v>DICIEMBRE</v>
      </c>
    </row>
    <row r="132" spans="1:12" x14ac:dyDescent="0.25">
      <c r="A132" s="5">
        <f t="shared" si="10"/>
        <v>2025</v>
      </c>
      <c r="B132" s="18" t="s">
        <v>1353</v>
      </c>
      <c r="C132" s="18" t="s">
        <v>596</v>
      </c>
      <c r="D132" s="12">
        <v>21351</v>
      </c>
      <c r="E132" s="17">
        <v>1144</v>
      </c>
      <c r="F132" s="12" t="s">
        <v>1358</v>
      </c>
      <c r="G132" s="14">
        <v>5</v>
      </c>
      <c r="H132" s="24">
        <v>60000</v>
      </c>
      <c r="I132" s="12" t="s">
        <v>1367</v>
      </c>
      <c r="J132" s="6" t="s">
        <v>615</v>
      </c>
      <c r="K132" s="6">
        <f t="shared" si="11"/>
        <v>12</v>
      </c>
      <c r="L132" s="6" t="str">
        <f t="shared" si="12"/>
        <v>DICIEMBRE</v>
      </c>
    </row>
    <row r="133" spans="1:12" x14ac:dyDescent="0.25">
      <c r="A133" s="5">
        <f t="shared" si="10"/>
        <v>2025</v>
      </c>
      <c r="B133" s="18" t="s">
        <v>1354</v>
      </c>
      <c r="C133" s="18" t="s">
        <v>596</v>
      </c>
      <c r="D133" s="12">
        <v>21364</v>
      </c>
      <c r="E133" s="17" t="s">
        <v>1016</v>
      </c>
      <c r="F133" s="12" t="s">
        <v>1017</v>
      </c>
      <c r="G133" s="14">
        <v>1</v>
      </c>
      <c r="H133" s="24">
        <v>340000</v>
      </c>
      <c r="I133" s="12" t="s">
        <v>637</v>
      </c>
      <c r="J133" s="6" t="s">
        <v>615</v>
      </c>
      <c r="K133" s="6">
        <f t="shared" si="11"/>
        <v>12</v>
      </c>
      <c r="L133" s="6" t="str">
        <f t="shared" si="12"/>
        <v>DICIEMBRE</v>
      </c>
    </row>
    <row r="134" spans="1:12" x14ac:dyDescent="0.25">
      <c r="A134" s="5">
        <f t="shared" si="10"/>
        <v>2025</v>
      </c>
      <c r="B134" s="18" t="s">
        <v>1353</v>
      </c>
      <c r="C134" s="18" t="s">
        <v>596</v>
      </c>
      <c r="D134" s="12">
        <v>21349</v>
      </c>
      <c r="E134" s="17" t="s">
        <v>1363</v>
      </c>
      <c r="F134" s="12" t="s">
        <v>1364</v>
      </c>
      <c r="G134" s="14">
        <v>1</v>
      </c>
      <c r="H134" s="24">
        <v>1956521</v>
      </c>
      <c r="I134" s="12" t="s">
        <v>638</v>
      </c>
      <c r="J134" s="6" t="s">
        <v>892</v>
      </c>
      <c r="K134" s="6">
        <f t="shared" si="11"/>
        <v>12</v>
      </c>
      <c r="L134" s="6" t="str">
        <f t="shared" si="12"/>
        <v>DICIEMBRE</v>
      </c>
    </row>
    <row r="135" spans="1:12" x14ac:dyDescent="0.25">
      <c r="A135" s="5">
        <f t="shared" ref="A135:A151" si="13">+YEAR(B135)</f>
        <v>2025</v>
      </c>
      <c r="B135" s="18" t="s">
        <v>1428</v>
      </c>
      <c r="C135" s="18" t="s">
        <v>596</v>
      </c>
      <c r="D135" s="12">
        <v>21417</v>
      </c>
      <c r="E135" s="17" t="s">
        <v>1440</v>
      </c>
      <c r="F135" s="12" t="s">
        <v>1441</v>
      </c>
      <c r="G135" s="14">
        <v>12</v>
      </c>
      <c r="H135" s="24">
        <v>3600000</v>
      </c>
      <c r="I135" s="12" t="s">
        <v>637</v>
      </c>
      <c r="J135" s="6" t="s">
        <v>615</v>
      </c>
      <c r="K135" s="6">
        <f t="shared" ref="K135:K151" si="14">+MONTH(B135)</f>
        <v>12</v>
      </c>
      <c r="L135" s="6" t="str">
        <f t="shared" si="12"/>
        <v>DICIEMBRE</v>
      </c>
    </row>
    <row r="136" spans="1:12" x14ac:dyDescent="0.25">
      <c r="A136" s="5">
        <f t="shared" si="13"/>
        <v>2025</v>
      </c>
      <c r="B136" s="18" t="s">
        <v>1428</v>
      </c>
      <c r="C136" s="18" t="s">
        <v>596</v>
      </c>
      <c r="D136" s="12">
        <v>21417</v>
      </c>
      <c r="E136" s="17">
        <v>3803478</v>
      </c>
      <c r="F136" s="12" t="s">
        <v>1442</v>
      </c>
      <c r="G136" s="14">
        <v>4</v>
      </c>
      <c r="H136" s="24">
        <v>1022564</v>
      </c>
      <c r="I136" s="12" t="s">
        <v>637</v>
      </c>
      <c r="J136" s="6" t="s">
        <v>615</v>
      </c>
      <c r="K136" s="6">
        <f t="shared" si="14"/>
        <v>12</v>
      </c>
      <c r="L136" s="6" t="str">
        <f t="shared" si="12"/>
        <v>DICIEMBRE</v>
      </c>
    </row>
    <row r="137" spans="1:12" x14ac:dyDescent="0.25">
      <c r="A137" s="5">
        <f t="shared" si="13"/>
        <v>2025</v>
      </c>
      <c r="B137" s="18" t="s">
        <v>1428</v>
      </c>
      <c r="C137" s="18" t="s">
        <v>596</v>
      </c>
      <c r="D137" s="12">
        <v>21417</v>
      </c>
      <c r="E137" s="17">
        <v>5406110</v>
      </c>
      <c r="F137" s="12" t="s">
        <v>1443</v>
      </c>
      <c r="G137" s="14">
        <v>2</v>
      </c>
      <c r="H137" s="24">
        <v>1680000</v>
      </c>
      <c r="I137" s="12" t="s">
        <v>637</v>
      </c>
      <c r="J137" s="6" t="s">
        <v>615</v>
      </c>
      <c r="K137" s="6">
        <f t="shared" si="14"/>
        <v>12</v>
      </c>
      <c r="L137" s="6" t="str">
        <f t="shared" si="12"/>
        <v>DICIEMBRE</v>
      </c>
    </row>
    <row r="138" spans="1:12" x14ac:dyDescent="0.25">
      <c r="A138" s="5">
        <f t="shared" si="13"/>
        <v>2025</v>
      </c>
      <c r="B138" s="18" t="s">
        <v>1354</v>
      </c>
      <c r="C138" s="18" t="s">
        <v>596</v>
      </c>
      <c r="D138" s="12">
        <v>21364</v>
      </c>
      <c r="E138" s="17" t="s">
        <v>170</v>
      </c>
      <c r="F138" s="12" t="s">
        <v>171</v>
      </c>
      <c r="G138" s="14">
        <v>1</v>
      </c>
      <c r="H138" s="24">
        <v>1580000</v>
      </c>
      <c r="I138" s="12" t="s">
        <v>637</v>
      </c>
      <c r="J138" s="6" t="s">
        <v>615</v>
      </c>
      <c r="K138" s="6">
        <f t="shared" si="14"/>
        <v>12</v>
      </c>
      <c r="L138" s="6" t="str">
        <f t="shared" si="12"/>
        <v>DICIEMBRE</v>
      </c>
    </row>
    <row r="139" spans="1:12" x14ac:dyDescent="0.25">
      <c r="A139" s="5">
        <f t="shared" si="13"/>
        <v>2025</v>
      </c>
      <c r="B139" s="18" t="s">
        <v>1428</v>
      </c>
      <c r="C139" s="18" t="s">
        <v>596</v>
      </c>
      <c r="D139" s="12">
        <v>21420</v>
      </c>
      <c r="E139" s="17" t="s">
        <v>1444</v>
      </c>
      <c r="F139" s="12" t="s">
        <v>1445</v>
      </c>
      <c r="G139" s="14">
        <v>6</v>
      </c>
      <c r="H139" s="24">
        <v>120000</v>
      </c>
      <c r="I139" s="12" t="s">
        <v>1287</v>
      </c>
      <c r="J139" s="6" t="s">
        <v>609</v>
      </c>
      <c r="K139" s="6">
        <f t="shared" si="14"/>
        <v>12</v>
      </c>
      <c r="L139" s="6" t="str">
        <f t="shared" si="12"/>
        <v>DICIEMBRE</v>
      </c>
    </row>
    <row r="140" spans="1:12" x14ac:dyDescent="0.25">
      <c r="A140" s="5">
        <f t="shared" si="13"/>
        <v>2025</v>
      </c>
      <c r="B140" s="18" t="s">
        <v>1428</v>
      </c>
      <c r="C140" s="18" t="s">
        <v>596</v>
      </c>
      <c r="D140" s="12">
        <v>21420</v>
      </c>
      <c r="E140" s="17" t="s">
        <v>1420</v>
      </c>
      <c r="F140" s="12" t="s">
        <v>1112</v>
      </c>
      <c r="G140" s="14">
        <v>10</v>
      </c>
      <c r="H140" s="24">
        <v>150000</v>
      </c>
      <c r="I140" s="12" t="s">
        <v>1287</v>
      </c>
      <c r="J140" s="6" t="s">
        <v>609</v>
      </c>
      <c r="K140" s="6">
        <f t="shared" si="14"/>
        <v>12</v>
      </c>
      <c r="L140" s="6" t="str">
        <f t="shared" si="12"/>
        <v>DICIEMBRE</v>
      </c>
    </row>
    <row r="141" spans="1:12" x14ac:dyDescent="0.25">
      <c r="A141" s="5">
        <f t="shared" si="13"/>
        <v>2025</v>
      </c>
      <c r="B141" s="18" t="s">
        <v>1354</v>
      </c>
      <c r="C141" s="18" t="s">
        <v>596</v>
      </c>
      <c r="D141" s="12">
        <v>21365</v>
      </c>
      <c r="E141" s="17">
        <v>128049</v>
      </c>
      <c r="F141" s="12" t="s">
        <v>269</v>
      </c>
      <c r="G141" s="14">
        <v>2</v>
      </c>
      <c r="H141" s="24">
        <v>76000</v>
      </c>
      <c r="I141" s="12" t="s">
        <v>637</v>
      </c>
      <c r="J141" s="6" t="s">
        <v>615</v>
      </c>
      <c r="K141" s="6">
        <f t="shared" si="14"/>
        <v>12</v>
      </c>
      <c r="L141" s="6" t="str">
        <f t="shared" si="12"/>
        <v>DICIEMBRE</v>
      </c>
    </row>
    <row r="142" spans="1:12" x14ac:dyDescent="0.25">
      <c r="A142" s="5">
        <f t="shared" si="13"/>
        <v>2025</v>
      </c>
      <c r="B142" s="18" t="s">
        <v>1354</v>
      </c>
      <c r="C142" s="18" t="s">
        <v>596</v>
      </c>
      <c r="D142" s="12">
        <v>21365</v>
      </c>
      <c r="E142" s="17" t="s">
        <v>1365</v>
      </c>
      <c r="F142" s="12" t="s">
        <v>1366</v>
      </c>
      <c r="G142" s="14">
        <v>4</v>
      </c>
      <c r="H142" s="24">
        <v>40000</v>
      </c>
      <c r="I142" s="12" t="s">
        <v>637</v>
      </c>
      <c r="J142" s="6" t="s">
        <v>615</v>
      </c>
      <c r="K142" s="6">
        <f t="shared" si="14"/>
        <v>12</v>
      </c>
      <c r="L142" s="6" t="str">
        <f t="shared" si="12"/>
        <v>DICIEMBRE</v>
      </c>
    </row>
    <row r="143" spans="1:12" x14ac:dyDescent="0.25">
      <c r="A143" s="5">
        <f t="shared" si="13"/>
        <v>2025</v>
      </c>
      <c r="B143" s="18" t="s">
        <v>1428</v>
      </c>
      <c r="C143" s="18" t="s">
        <v>596</v>
      </c>
      <c r="D143" s="12">
        <v>21422</v>
      </c>
      <c r="E143" s="17" t="s">
        <v>1446</v>
      </c>
      <c r="F143" s="12" t="s">
        <v>1447</v>
      </c>
      <c r="G143" s="14">
        <v>4</v>
      </c>
      <c r="H143" s="24">
        <v>1160000</v>
      </c>
      <c r="I143" s="12" t="s">
        <v>637</v>
      </c>
      <c r="J143" s="6" t="s">
        <v>615</v>
      </c>
      <c r="K143" s="6">
        <f t="shared" si="14"/>
        <v>12</v>
      </c>
      <c r="L143" s="6" t="str">
        <f t="shared" si="12"/>
        <v>DICIEMBRE</v>
      </c>
    </row>
    <row r="144" spans="1:12" x14ac:dyDescent="0.25">
      <c r="A144" s="5">
        <f t="shared" si="13"/>
        <v>2025</v>
      </c>
      <c r="B144" s="18" t="s">
        <v>1428</v>
      </c>
      <c r="C144" s="18" t="s">
        <v>596</v>
      </c>
      <c r="D144" s="12">
        <v>21425</v>
      </c>
      <c r="E144" s="17" t="s">
        <v>1448</v>
      </c>
      <c r="F144" s="12" t="s">
        <v>1449</v>
      </c>
      <c r="G144" s="14">
        <v>4</v>
      </c>
      <c r="H144" s="24">
        <v>70400</v>
      </c>
      <c r="I144" s="12" t="s">
        <v>1454</v>
      </c>
      <c r="J144" s="6" t="s">
        <v>609</v>
      </c>
      <c r="K144" s="6">
        <f t="shared" si="14"/>
        <v>12</v>
      </c>
      <c r="L144" s="6" t="str">
        <f t="shared" si="12"/>
        <v>DICIEMBRE</v>
      </c>
    </row>
    <row r="145" spans="1:12" x14ac:dyDescent="0.25">
      <c r="A145" s="5">
        <f t="shared" si="13"/>
        <v>2025</v>
      </c>
      <c r="B145" s="18" t="s">
        <v>1428</v>
      </c>
      <c r="C145" s="18" t="s">
        <v>596</v>
      </c>
      <c r="D145" s="12">
        <v>21424</v>
      </c>
      <c r="E145" s="17" t="s">
        <v>309</v>
      </c>
      <c r="F145" s="12" t="s">
        <v>310</v>
      </c>
      <c r="G145" s="14">
        <v>1</v>
      </c>
      <c r="H145" s="24">
        <v>2235600</v>
      </c>
      <c r="I145" s="12" t="s">
        <v>1456</v>
      </c>
      <c r="J145" s="6" t="s">
        <v>615</v>
      </c>
      <c r="K145" s="6">
        <f t="shared" si="14"/>
        <v>12</v>
      </c>
      <c r="L145" s="6" t="str">
        <f t="shared" si="12"/>
        <v>DICIEMBRE</v>
      </c>
    </row>
    <row r="146" spans="1:12" x14ac:dyDescent="0.25">
      <c r="A146" s="5">
        <f t="shared" si="13"/>
        <v>2025</v>
      </c>
      <c r="B146" s="18" t="s">
        <v>1354</v>
      </c>
      <c r="C146" s="18" t="s">
        <v>596</v>
      </c>
      <c r="D146" s="12">
        <v>21367</v>
      </c>
      <c r="E146" s="17" t="s">
        <v>1413</v>
      </c>
      <c r="F146" s="12" t="s">
        <v>1414</v>
      </c>
      <c r="G146" s="14">
        <v>1</v>
      </c>
      <c r="H146" s="24">
        <v>12920000</v>
      </c>
      <c r="I146" s="12" t="s">
        <v>1367</v>
      </c>
      <c r="J146" s="6" t="s">
        <v>615</v>
      </c>
      <c r="K146" s="6">
        <f t="shared" si="14"/>
        <v>12</v>
      </c>
      <c r="L146" s="6" t="str">
        <f t="shared" si="12"/>
        <v>DICIEMBRE</v>
      </c>
    </row>
    <row r="147" spans="1:12" x14ac:dyDescent="0.25">
      <c r="A147" s="5">
        <f t="shared" si="13"/>
        <v>2025</v>
      </c>
      <c r="B147" s="18" t="s">
        <v>1354</v>
      </c>
      <c r="C147" s="18" t="s">
        <v>596</v>
      </c>
      <c r="D147" s="12">
        <v>21366</v>
      </c>
      <c r="E147" s="17" t="s">
        <v>1415</v>
      </c>
      <c r="F147" s="12" t="s">
        <v>1416</v>
      </c>
      <c r="G147" s="14">
        <v>4</v>
      </c>
      <c r="H147" s="24">
        <v>158240</v>
      </c>
      <c r="I147" s="12" t="s">
        <v>637</v>
      </c>
      <c r="J147" s="6" t="s">
        <v>615</v>
      </c>
      <c r="K147" s="6">
        <f t="shared" si="14"/>
        <v>12</v>
      </c>
      <c r="L147" s="6" t="str">
        <f t="shared" si="12"/>
        <v>DICIEMBRE</v>
      </c>
    </row>
    <row r="148" spans="1:12" x14ac:dyDescent="0.25">
      <c r="A148" s="5">
        <f t="shared" si="13"/>
        <v>2025</v>
      </c>
      <c r="B148" s="18" t="s">
        <v>1354</v>
      </c>
      <c r="C148" s="18" t="s">
        <v>596</v>
      </c>
      <c r="D148" s="12">
        <v>21362</v>
      </c>
      <c r="E148" s="17">
        <v>7059</v>
      </c>
      <c r="F148" s="12" t="s">
        <v>27</v>
      </c>
      <c r="G148" s="14">
        <v>2</v>
      </c>
      <c r="H148" s="24">
        <v>360000</v>
      </c>
      <c r="I148" s="12" t="s">
        <v>637</v>
      </c>
      <c r="J148" s="6" t="s">
        <v>615</v>
      </c>
      <c r="K148" s="6">
        <f t="shared" si="14"/>
        <v>12</v>
      </c>
      <c r="L148" s="6" t="str">
        <f t="shared" si="12"/>
        <v>DICIEMBRE</v>
      </c>
    </row>
    <row r="149" spans="1:12" x14ac:dyDescent="0.25">
      <c r="A149" s="5">
        <f t="shared" si="13"/>
        <v>2025</v>
      </c>
      <c r="B149" s="18" t="s">
        <v>1354</v>
      </c>
      <c r="C149" s="18" t="s">
        <v>596</v>
      </c>
      <c r="D149" s="12">
        <v>21361</v>
      </c>
      <c r="E149" s="17" t="s">
        <v>237</v>
      </c>
      <c r="F149" s="12" t="s">
        <v>238</v>
      </c>
      <c r="G149" s="14">
        <v>2</v>
      </c>
      <c r="H149" s="24">
        <v>836000</v>
      </c>
      <c r="I149" s="12" t="s">
        <v>637</v>
      </c>
      <c r="J149" s="6" t="s">
        <v>615</v>
      </c>
      <c r="K149" s="6">
        <f t="shared" si="14"/>
        <v>12</v>
      </c>
      <c r="L149" s="6" t="str">
        <f t="shared" si="12"/>
        <v>DICIEMBRE</v>
      </c>
    </row>
    <row r="150" spans="1:12" x14ac:dyDescent="0.25">
      <c r="A150" s="5">
        <f t="shared" si="13"/>
        <v>2025</v>
      </c>
      <c r="B150" s="18" t="s">
        <v>1354</v>
      </c>
      <c r="C150" s="18" t="s">
        <v>596</v>
      </c>
      <c r="D150" s="12">
        <v>21361</v>
      </c>
      <c r="E150" s="17">
        <v>328349</v>
      </c>
      <c r="F150" s="12" t="s">
        <v>107</v>
      </c>
      <c r="G150" s="14">
        <v>1</v>
      </c>
      <c r="H150" s="24">
        <v>710000</v>
      </c>
      <c r="I150" s="12" t="s">
        <v>637</v>
      </c>
      <c r="J150" s="6" t="s">
        <v>615</v>
      </c>
      <c r="K150" s="6">
        <f t="shared" si="14"/>
        <v>12</v>
      </c>
      <c r="L150" s="6" t="str">
        <f t="shared" si="12"/>
        <v>DICIEMBRE</v>
      </c>
    </row>
    <row r="151" spans="1:12" x14ac:dyDescent="0.25">
      <c r="A151" s="5">
        <f t="shared" si="13"/>
        <v>2025</v>
      </c>
      <c r="B151" s="18" t="s">
        <v>1354</v>
      </c>
      <c r="C151" s="18" t="s">
        <v>596</v>
      </c>
      <c r="D151" s="12">
        <v>21368</v>
      </c>
      <c r="E151" s="17" t="s">
        <v>1413</v>
      </c>
      <c r="F151" s="12" t="s">
        <v>1414</v>
      </c>
      <c r="G151" s="14">
        <v>2</v>
      </c>
      <c r="H151" s="24">
        <v>25840000</v>
      </c>
      <c r="I151" s="12" t="s">
        <v>1367</v>
      </c>
      <c r="J151" s="6" t="s">
        <v>615</v>
      </c>
      <c r="K151" s="6">
        <f t="shared" si="14"/>
        <v>12</v>
      </c>
      <c r="L151" s="6" t="str">
        <f t="shared" si="12"/>
        <v>DICIEMBRE</v>
      </c>
    </row>
    <row r="152" spans="1:12" x14ac:dyDescent="0.25">
      <c r="A152" s="5">
        <f t="shared" ref="A152:A166" si="15">+YEAR(B152)</f>
        <v>2026</v>
      </c>
      <c r="B152" s="18" t="s">
        <v>1426</v>
      </c>
      <c r="C152" s="18" t="s">
        <v>596</v>
      </c>
      <c r="D152" s="12">
        <v>21433</v>
      </c>
      <c r="E152" s="17">
        <v>4301535</v>
      </c>
      <c r="F152" s="12" t="s">
        <v>1432</v>
      </c>
      <c r="G152" s="14">
        <v>1</v>
      </c>
      <c r="H152" s="24">
        <v>326000</v>
      </c>
      <c r="I152" s="12" t="s">
        <v>1454</v>
      </c>
      <c r="J152" s="6" t="s">
        <v>1348</v>
      </c>
      <c r="K152" s="6">
        <f t="shared" ref="K152:K166" si="16">+MONTH(B152)</f>
        <v>1</v>
      </c>
      <c r="L152" s="6" t="str">
        <f t="shared" si="12"/>
        <v>ENERO</v>
      </c>
    </row>
    <row r="153" spans="1:12" x14ac:dyDescent="0.25">
      <c r="A153" s="5">
        <f t="shared" si="15"/>
        <v>2026</v>
      </c>
      <c r="B153" s="18" t="s">
        <v>1431</v>
      </c>
      <c r="C153" s="18" t="s">
        <v>596</v>
      </c>
      <c r="D153" s="12">
        <v>21435</v>
      </c>
      <c r="E153" s="17" t="s">
        <v>1433</v>
      </c>
      <c r="F153" s="12" t="s">
        <v>1434</v>
      </c>
      <c r="G153" s="14">
        <v>1</v>
      </c>
      <c r="H153" s="24">
        <v>1400000</v>
      </c>
      <c r="I153" s="12" t="s">
        <v>1063</v>
      </c>
      <c r="J153" s="6" t="s">
        <v>1348</v>
      </c>
      <c r="K153" s="6">
        <f t="shared" si="16"/>
        <v>1</v>
      </c>
      <c r="L153" s="6" t="str">
        <f t="shared" si="12"/>
        <v>ENERO</v>
      </c>
    </row>
    <row r="154" spans="1:12" x14ac:dyDescent="0.25">
      <c r="A154" s="5">
        <f t="shared" si="15"/>
        <v>2026</v>
      </c>
      <c r="B154" s="18" t="s">
        <v>1431</v>
      </c>
      <c r="C154" s="18" t="s">
        <v>596</v>
      </c>
      <c r="D154" s="12">
        <v>21434</v>
      </c>
      <c r="E154" s="17" t="s">
        <v>1435</v>
      </c>
      <c r="F154" s="12" t="s">
        <v>1436</v>
      </c>
      <c r="G154" s="14">
        <v>1</v>
      </c>
      <c r="H154" s="24">
        <v>122000</v>
      </c>
      <c r="I154" s="12" t="s">
        <v>1287</v>
      </c>
      <c r="J154" s="6" t="s">
        <v>1348</v>
      </c>
      <c r="K154" s="6">
        <f t="shared" si="16"/>
        <v>1</v>
      </c>
      <c r="L154" s="6" t="str">
        <f t="shared" si="12"/>
        <v>ENERO</v>
      </c>
    </row>
    <row r="155" spans="1:12" x14ac:dyDescent="0.25">
      <c r="A155" s="5">
        <f t="shared" si="15"/>
        <v>2026</v>
      </c>
      <c r="B155" s="18" t="s">
        <v>1431</v>
      </c>
      <c r="C155" s="18" t="s">
        <v>596</v>
      </c>
      <c r="D155" s="12">
        <v>21434</v>
      </c>
      <c r="E155" s="17">
        <v>4304549</v>
      </c>
      <c r="F155" s="12" t="s">
        <v>1437</v>
      </c>
      <c r="G155" s="14">
        <v>1</v>
      </c>
      <c r="H155" s="24">
        <v>1158000</v>
      </c>
      <c r="I155" s="12" t="s">
        <v>1287</v>
      </c>
      <c r="J155" s="6" t="s">
        <v>1348</v>
      </c>
      <c r="K155" s="6">
        <f t="shared" si="16"/>
        <v>1</v>
      </c>
      <c r="L155" s="6" t="str">
        <f t="shared" si="12"/>
        <v>ENERO</v>
      </c>
    </row>
    <row r="156" spans="1:12" x14ac:dyDescent="0.25">
      <c r="A156" s="5">
        <f t="shared" si="15"/>
        <v>2026</v>
      </c>
      <c r="B156" s="18" t="s">
        <v>1431</v>
      </c>
      <c r="C156" s="18" t="s">
        <v>596</v>
      </c>
      <c r="D156" s="12">
        <v>21436</v>
      </c>
      <c r="E156" s="17" t="s">
        <v>1359</v>
      </c>
      <c r="F156" s="12" t="s">
        <v>1360</v>
      </c>
      <c r="G156" s="14">
        <v>5</v>
      </c>
      <c r="H156" s="24">
        <v>850000</v>
      </c>
      <c r="I156" s="12" t="s">
        <v>1367</v>
      </c>
      <c r="J156" s="6" t="s">
        <v>615</v>
      </c>
      <c r="K156" s="6">
        <f t="shared" si="16"/>
        <v>1</v>
      </c>
      <c r="L156" s="6" t="str">
        <f t="shared" si="12"/>
        <v>ENERO</v>
      </c>
    </row>
    <row r="157" spans="1:12" x14ac:dyDescent="0.25">
      <c r="A157" s="5">
        <f t="shared" si="15"/>
        <v>2026</v>
      </c>
      <c r="B157" s="18" t="s">
        <v>1431</v>
      </c>
      <c r="C157" s="18" t="s">
        <v>596</v>
      </c>
      <c r="D157" s="12">
        <v>21436</v>
      </c>
      <c r="E157" s="17" t="s">
        <v>1361</v>
      </c>
      <c r="F157" s="12" t="s">
        <v>1362</v>
      </c>
      <c r="G157" s="14">
        <v>10</v>
      </c>
      <c r="H157" s="24">
        <v>1500000</v>
      </c>
      <c r="I157" s="12" t="s">
        <v>1367</v>
      </c>
      <c r="J157" s="6" t="s">
        <v>615</v>
      </c>
      <c r="K157" s="6">
        <f t="shared" si="16"/>
        <v>1</v>
      </c>
      <c r="L157" s="6" t="str">
        <f t="shared" si="12"/>
        <v>ENERO</v>
      </c>
    </row>
    <row r="158" spans="1:12" x14ac:dyDescent="0.25">
      <c r="A158" s="5">
        <f t="shared" si="15"/>
        <v>2026</v>
      </c>
      <c r="B158" s="18" t="s">
        <v>1431</v>
      </c>
      <c r="C158" s="18" t="s">
        <v>596</v>
      </c>
      <c r="D158" s="12">
        <v>21436</v>
      </c>
      <c r="E158" s="17">
        <v>1144</v>
      </c>
      <c r="F158" s="12" t="s">
        <v>1358</v>
      </c>
      <c r="G158" s="14">
        <v>5</v>
      </c>
      <c r="H158" s="24">
        <v>60000</v>
      </c>
      <c r="I158" s="12" t="s">
        <v>1367</v>
      </c>
      <c r="J158" s="6" t="s">
        <v>615</v>
      </c>
      <c r="K158" s="6">
        <f t="shared" si="16"/>
        <v>1</v>
      </c>
      <c r="L158" s="6" t="str">
        <f t="shared" si="12"/>
        <v>ENERO</v>
      </c>
    </row>
    <row r="159" spans="1:12" x14ac:dyDescent="0.25">
      <c r="A159" s="5">
        <f t="shared" si="15"/>
        <v>2026</v>
      </c>
      <c r="B159" s="18" t="s">
        <v>1429</v>
      </c>
      <c r="C159" s="18" t="s">
        <v>596</v>
      </c>
      <c r="D159" s="12">
        <v>21429</v>
      </c>
      <c r="E159" s="17" t="s">
        <v>247</v>
      </c>
      <c r="F159" s="12" t="s">
        <v>248</v>
      </c>
      <c r="G159" s="14">
        <v>4</v>
      </c>
      <c r="H159" s="24">
        <v>1308000</v>
      </c>
      <c r="I159" s="12" t="s">
        <v>1367</v>
      </c>
      <c r="J159" s="6" t="s">
        <v>615</v>
      </c>
      <c r="K159" s="6">
        <f t="shared" si="16"/>
        <v>1</v>
      </c>
      <c r="L159" s="6" t="str">
        <f t="shared" si="12"/>
        <v>ENERO</v>
      </c>
    </row>
    <row r="160" spans="1:12" x14ac:dyDescent="0.25">
      <c r="A160" s="5">
        <f t="shared" si="15"/>
        <v>2026</v>
      </c>
      <c r="B160" s="18" t="s">
        <v>1429</v>
      </c>
      <c r="C160" s="18" t="s">
        <v>596</v>
      </c>
      <c r="D160" s="12">
        <v>21429</v>
      </c>
      <c r="E160" s="17" t="s">
        <v>1359</v>
      </c>
      <c r="F160" s="12" t="s">
        <v>1360</v>
      </c>
      <c r="G160" s="14">
        <v>5</v>
      </c>
      <c r="H160" s="24">
        <v>850000</v>
      </c>
      <c r="I160" s="12" t="s">
        <v>1367</v>
      </c>
      <c r="J160" s="6" t="s">
        <v>615</v>
      </c>
      <c r="K160" s="6">
        <f t="shared" si="16"/>
        <v>1</v>
      </c>
      <c r="L160" s="6" t="str">
        <f t="shared" si="12"/>
        <v>ENERO</v>
      </c>
    </row>
    <row r="161" spans="1:12" x14ac:dyDescent="0.25">
      <c r="A161" s="5">
        <f t="shared" si="15"/>
        <v>2026</v>
      </c>
      <c r="B161" s="18" t="s">
        <v>1429</v>
      </c>
      <c r="C161" s="18" t="s">
        <v>596</v>
      </c>
      <c r="D161" s="12">
        <v>21429</v>
      </c>
      <c r="E161" s="17">
        <v>1144</v>
      </c>
      <c r="F161" s="12" t="s">
        <v>1358</v>
      </c>
      <c r="G161" s="14">
        <v>5</v>
      </c>
      <c r="H161" s="24">
        <v>60000</v>
      </c>
      <c r="I161" s="12" t="s">
        <v>1367</v>
      </c>
      <c r="J161" s="6" t="s">
        <v>615</v>
      </c>
      <c r="K161" s="6">
        <f t="shared" si="16"/>
        <v>1</v>
      </c>
      <c r="L161" s="6" t="str">
        <f t="shared" si="12"/>
        <v>ENERO</v>
      </c>
    </row>
    <row r="162" spans="1:12" x14ac:dyDescent="0.25">
      <c r="A162" s="5">
        <f t="shared" si="15"/>
        <v>2026</v>
      </c>
      <c r="B162" s="18" t="s">
        <v>1457</v>
      </c>
      <c r="C162" s="18" t="s">
        <v>596</v>
      </c>
      <c r="D162" s="12">
        <v>21437</v>
      </c>
      <c r="E162" s="17" t="s">
        <v>1459</v>
      </c>
      <c r="F162" s="12" t="s">
        <v>1460</v>
      </c>
      <c r="G162" s="14">
        <v>2</v>
      </c>
      <c r="H162" s="24">
        <v>372000</v>
      </c>
      <c r="I162" s="12" t="s">
        <v>1063</v>
      </c>
      <c r="J162" s="6" t="s">
        <v>609</v>
      </c>
      <c r="K162" s="6">
        <f t="shared" si="16"/>
        <v>1</v>
      </c>
      <c r="L162" s="6" t="str">
        <f t="shared" si="12"/>
        <v>ENERO</v>
      </c>
    </row>
    <row r="163" spans="1:12" x14ac:dyDescent="0.25">
      <c r="A163" s="5">
        <f t="shared" si="15"/>
        <v>2026</v>
      </c>
      <c r="B163" s="18" t="s">
        <v>1457</v>
      </c>
      <c r="C163" s="18" t="s">
        <v>596</v>
      </c>
      <c r="D163" s="12">
        <v>21438</v>
      </c>
      <c r="E163" s="17" t="s">
        <v>1461</v>
      </c>
      <c r="F163" s="12" t="s">
        <v>1462</v>
      </c>
      <c r="G163" s="14">
        <v>1</v>
      </c>
      <c r="H163" s="24">
        <v>636000</v>
      </c>
      <c r="I163" s="12" t="s">
        <v>1063</v>
      </c>
      <c r="J163" s="6" t="s">
        <v>609</v>
      </c>
      <c r="K163" s="6">
        <f t="shared" si="16"/>
        <v>1</v>
      </c>
      <c r="L163" s="6" t="str">
        <f t="shared" si="12"/>
        <v>ENERO</v>
      </c>
    </row>
    <row r="164" spans="1:12" x14ac:dyDescent="0.25">
      <c r="A164" s="5">
        <f t="shared" si="15"/>
        <v>2026</v>
      </c>
      <c r="B164" s="18" t="s">
        <v>1457</v>
      </c>
      <c r="C164" s="18" t="s">
        <v>596</v>
      </c>
      <c r="D164" s="12">
        <v>21438</v>
      </c>
      <c r="E164" s="17">
        <v>4921475</v>
      </c>
      <c r="F164" s="12" t="s">
        <v>1463</v>
      </c>
      <c r="G164" s="14">
        <v>1</v>
      </c>
      <c r="H164" s="24">
        <v>360000</v>
      </c>
      <c r="I164" s="12" t="s">
        <v>1063</v>
      </c>
      <c r="J164" s="6" t="s">
        <v>609</v>
      </c>
      <c r="K164" s="6">
        <f t="shared" si="16"/>
        <v>1</v>
      </c>
      <c r="L164" s="6" t="str">
        <f t="shared" si="12"/>
        <v>ENERO</v>
      </c>
    </row>
    <row r="165" spans="1:12" x14ac:dyDescent="0.25">
      <c r="A165" s="5">
        <f t="shared" si="15"/>
        <v>2026</v>
      </c>
      <c r="B165" s="18" t="s">
        <v>1457</v>
      </c>
      <c r="C165" s="18" t="s">
        <v>596</v>
      </c>
      <c r="D165" s="12">
        <v>21440</v>
      </c>
      <c r="E165" s="17" t="s">
        <v>1464</v>
      </c>
      <c r="F165" s="12" t="s">
        <v>1465</v>
      </c>
      <c r="G165" s="14">
        <v>2</v>
      </c>
      <c r="H165" s="24">
        <v>174000</v>
      </c>
      <c r="I165" s="12" t="s">
        <v>1063</v>
      </c>
      <c r="J165" s="6" t="s">
        <v>609</v>
      </c>
      <c r="K165" s="6">
        <f t="shared" si="16"/>
        <v>1</v>
      </c>
      <c r="L165" s="6" t="str">
        <f t="shared" si="12"/>
        <v>ENERO</v>
      </c>
    </row>
    <row r="166" spans="1:12" x14ac:dyDescent="0.25">
      <c r="A166" s="5">
        <f t="shared" si="15"/>
        <v>2026</v>
      </c>
      <c r="B166" s="18" t="s">
        <v>1457</v>
      </c>
      <c r="C166" s="18" t="s">
        <v>596</v>
      </c>
      <c r="D166" s="12">
        <v>21440</v>
      </c>
      <c r="E166" s="17" t="s">
        <v>1466</v>
      </c>
      <c r="F166" s="12" t="s">
        <v>1467</v>
      </c>
      <c r="G166" s="14">
        <v>3</v>
      </c>
      <c r="H166" s="24">
        <v>384000</v>
      </c>
      <c r="I166" s="12" t="s">
        <v>1063</v>
      </c>
      <c r="J166" s="6" t="s">
        <v>609</v>
      </c>
      <c r="K166" s="6">
        <f t="shared" si="16"/>
        <v>1</v>
      </c>
      <c r="L166" s="6" t="str">
        <f t="shared" si="12"/>
        <v>ENERO</v>
      </c>
    </row>
    <row r="167" spans="1:12" x14ac:dyDescent="0.25">
      <c r="A167" s="5">
        <f t="shared" ref="A167:A230" si="17">+YEAR(B167)</f>
        <v>2026</v>
      </c>
      <c r="B167" s="18" t="s">
        <v>1457</v>
      </c>
      <c r="C167" s="18" t="s">
        <v>596</v>
      </c>
      <c r="D167" s="12">
        <v>21442</v>
      </c>
      <c r="E167" s="17">
        <v>9908505</v>
      </c>
      <c r="F167" s="12" t="s">
        <v>1119</v>
      </c>
      <c r="G167" s="14">
        <v>1</v>
      </c>
      <c r="H167" s="24">
        <v>1811667</v>
      </c>
      <c r="I167" s="12" t="s">
        <v>638</v>
      </c>
      <c r="J167" s="6" t="s">
        <v>612</v>
      </c>
      <c r="K167" s="6">
        <f t="shared" ref="K167:K230" si="18">+MONTH(B167)</f>
        <v>1</v>
      </c>
      <c r="L167" s="6" t="str">
        <f t="shared" si="12"/>
        <v>ENERO</v>
      </c>
    </row>
    <row r="168" spans="1:12" x14ac:dyDescent="0.25">
      <c r="A168" s="5">
        <f t="shared" si="17"/>
        <v>2026</v>
      </c>
      <c r="B168" s="18" t="s">
        <v>1457</v>
      </c>
      <c r="C168" s="18" t="s">
        <v>596</v>
      </c>
      <c r="D168" s="12">
        <v>21442</v>
      </c>
      <c r="E168" s="17" t="s">
        <v>1117</v>
      </c>
      <c r="F168" s="12" t="s">
        <v>1118</v>
      </c>
      <c r="G168" s="14">
        <v>1</v>
      </c>
      <c r="H168" s="24">
        <v>486132</v>
      </c>
      <c r="I168" s="12" t="s">
        <v>638</v>
      </c>
      <c r="J168" s="6" t="s">
        <v>612</v>
      </c>
      <c r="K168" s="6">
        <f t="shared" si="18"/>
        <v>1</v>
      </c>
      <c r="L168" s="6" t="str">
        <f t="shared" si="12"/>
        <v>ENERO</v>
      </c>
    </row>
    <row r="169" spans="1:12" x14ac:dyDescent="0.25">
      <c r="A169" s="5">
        <f t="shared" si="17"/>
        <v>2026</v>
      </c>
      <c r="B169" s="18" t="s">
        <v>1457</v>
      </c>
      <c r="C169" s="18" t="s">
        <v>596</v>
      </c>
      <c r="D169" s="12">
        <v>21442</v>
      </c>
      <c r="E169" s="17">
        <v>9908404</v>
      </c>
      <c r="F169" s="12" t="s">
        <v>1468</v>
      </c>
      <c r="G169" s="14">
        <v>1</v>
      </c>
      <c r="H169" s="24">
        <v>336842</v>
      </c>
      <c r="I169" s="12" t="s">
        <v>638</v>
      </c>
      <c r="J169" s="6" t="s">
        <v>612</v>
      </c>
      <c r="K169" s="6">
        <f t="shared" si="18"/>
        <v>1</v>
      </c>
      <c r="L169" s="6" t="str">
        <f t="shared" si="12"/>
        <v>ENERO</v>
      </c>
    </row>
    <row r="170" spans="1:12" x14ac:dyDescent="0.25">
      <c r="A170" s="5">
        <f t="shared" si="17"/>
        <v>2026</v>
      </c>
      <c r="B170" s="18" t="s">
        <v>1457</v>
      </c>
      <c r="C170" s="18" t="s">
        <v>596</v>
      </c>
      <c r="D170" s="12">
        <v>21442</v>
      </c>
      <c r="E170" s="17">
        <v>9908407</v>
      </c>
      <c r="F170" s="12" t="s">
        <v>1469</v>
      </c>
      <c r="G170" s="14">
        <v>1</v>
      </c>
      <c r="H170" s="24">
        <v>350000</v>
      </c>
      <c r="I170" s="12" t="s">
        <v>638</v>
      </c>
      <c r="J170" s="6" t="s">
        <v>612</v>
      </c>
      <c r="K170" s="6">
        <f t="shared" si="18"/>
        <v>1</v>
      </c>
      <c r="L170" s="6" t="str">
        <f t="shared" si="12"/>
        <v>ENERO</v>
      </c>
    </row>
    <row r="171" spans="1:12" x14ac:dyDescent="0.25">
      <c r="A171" s="5">
        <f t="shared" si="17"/>
        <v>2026</v>
      </c>
      <c r="B171" s="18" t="s">
        <v>1427</v>
      </c>
      <c r="C171" s="18" t="s">
        <v>596</v>
      </c>
      <c r="D171" s="12">
        <v>21432</v>
      </c>
      <c r="E171" s="17" t="s">
        <v>1433</v>
      </c>
      <c r="F171" s="12" t="s">
        <v>1434</v>
      </c>
      <c r="G171" s="14">
        <v>1</v>
      </c>
      <c r="H171" s="24">
        <v>1400000</v>
      </c>
      <c r="I171" s="12" t="s">
        <v>1063</v>
      </c>
      <c r="J171" s="6" t="s">
        <v>1348</v>
      </c>
      <c r="K171" s="6">
        <f t="shared" si="18"/>
        <v>1</v>
      </c>
      <c r="L171" s="6" t="str">
        <f t="shared" si="12"/>
        <v>ENERO</v>
      </c>
    </row>
    <row r="172" spans="1:12" x14ac:dyDescent="0.25">
      <c r="A172" s="5">
        <f t="shared" si="17"/>
        <v>2026</v>
      </c>
      <c r="B172" s="18" t="s">
        <v>1457</v>
      </c>
      <c r="C172" s="18" t="s">
        <v>596</v>
      </c>
      <c r="D172" s="12">
        <v>21444</v>
      </c>
      <c r="E172" s="17" t="s">
        <v>1470</v>
      </c>
      <c r="F172" s="12" t="s">
        <v>1471</v>
      </c>
      <c r="G172" s="14">
        <v>6</v>
      </c>
      <c r="H172" s="24">
        <v>1919154</v>
      </c>
      <c r="I172" s="12" t="s">
        <v>923</v>
      </c>
      <c r="J172" s="6" t="s">
        <v>612</v>
      </c>
      <c r="K172" s="6">
        <f t="shared" si="18"/>
        <v>1</v>
      </c>
      <c r="L172" s="6" t="str">
        <f t="shared" si="12"/>
        <v>ENERO</v>
      </c>
    </row>
    <row r="173" spans="1:12" x14ac:dyDescent="0.25">
      <c r="A173" s="5">
        <f t="shared" si="17"/>
        <v>2026</v>
      </c>
      <c r="B173" s="18" t="s">
        <v>1457</v>
      </c>
      <c r="C173" s="18" t="s">
        <v>596</v>
      </c>
      <c r="D173" s="12">
        <v>21443</v>
      </c>
      <c r="E173" s="17" t="s">
        <v>1472</v>
      </c>
      <c r="F173" s="12" t="s">
        <v>1473</v>
      </c>
      <c r="G173" s="14">
        <v>1</v>
      </c>
      <c r="H173" s="24">
        <v>1657300</v>
      </c>
      <c r="I173" s="12" t="s">
        <v>637</v>
      </c>
      <c r="J173" s="6" t="s">
        <v>615</v>
      </c>
      <c r="K173" s="6">
        <f t="shared" si="18"/>
        <v>1</v>
      </c>
      <c r="L173" s="6" t="str">
        <f t="shared" si="12"/>
        <v>ENERO</v>
      </c>
    </row>
    <row r="174" spans="1:12" x14ac:dyDescent="0.25">
      <c r="A174" s="5">
        <f t="shared" si="17"/>
        <v>2026</v>
      </c>
      <c r="B174" s="18" t="s">
        <v>1457</v>
      </c>
      <c r="C174" s="18" t="s">
        <v>596</v>
      </c>
      <c r="D174" s="12">
        <v>21443</v>
      </c>
      <c r="E174" s="17">
        <v>210724</v>
      </c>
      <c r="F174" s="12" t="s">
        <v>450</v>
      </c>
      <c r="G174" s="14">
        <v>1</v>
      </c>
      <c r="H174" s="24">
        <v>120000</v>
      </c>
      <c r="I174" s="12" t="s">
        <v>637</v>
      </c>
      <c r="J174" s="6" t="s">
        <v>615</v>
      </c>
      <c r="K174" s="6">
        <f t="shared" si="18"/>
        <v>1</v>
      </c>
      <c r="L174" s="6" t="str">
        <f t="shared" si="12"/>
        <v>ENERO</v>
      </c>
    </row>
    <row r="175" spans="1:12" x14ac:dyDescent="0.25">
      <c r="A175" s="5">
        <f t="shared" si="17"/>
        <v>2026</v>
      </c>
      <c r="B175" s="18" t="s">
        <v>1457</v>
      </c>
      <c r="C175" s="18" t="s">
        <v>596</v>
      </c>
      <c r="D175" s="12">
        <v>21443</v>
      </c>
      <c r="E175" s="17">
        <v>27274</v>
      </c>
      <c r="F175" s="12" t="s">
        <v>507</v>
      </c>
      <c r="G175" s="14">
        <v>2</v>
      </c>
      <c r="H175" s="24">
        <v>48600</v>
      </c>
      <c r="I175" s="12" t="s">
        <v>637</v>
      </c>
      <c r="J175" s="6" t="s">
        <v>615</v>
      </c>
      <c r="K175" s="6">
        <f t="shared" si="18"/>
        <v>1</v>
      </c>
      <c r="L175" s="6" t="str">
        <f t="shared" si="12"/>
        <v>ENERO</v>
      </c>
    </row>
    <row r="176" spans="1:12" x14ac:dyDescent="0.25">
      <c r="A176" s="5">
        <f t="shared" si="17"/>
        <v>2026</v>
      </c>
      <c r="B176" s="18" t="s">
        <v>1457</v>
      </c>
      <c r="C176" s="18" t="s">
        <v>596</v>
      </c>
      <c r="D176" s="12">
        <v>21443</v>
      </c>
      <c r="E176" s="17">
        <v>86781</v>
      </c>
      <c r="F176" s="12" t="s">
        <v>323</v>
      </c>
      <c r="G176" s="14">
        <v>4</v>
      </c>
      <c r="H176" s="24">
        <v>68000</v>
      </c>
      <c r="I176" s="12" t="s">
        <v>637</v>
      </c>
      <c r="J176" s="6" t="s">
        <v>615</v>
      </c>
      <c r="K176" s="6">
        <f t="shared" si="18"/>
        <v>1</v>
      </c>
      <c r="L176" s="6" t="str">
        <f t="shared" si="12"/>
        <v>ENERO</v>
      </c>
    </row>
    <row r="177" spans="1:12" x14ac:dyDescent="0.25">
      <c r="A177" s="5">
        <f t="shared" si="17"/>
        <v>2026</v>
      </c>
      <c r="B177" s="18" t="s">
        <v>1457</v>
      </c>
      <c r="C177" s="18" t="s">
        <v>596</v>
      </c>
      <c r="D177" s="12">
        <v>21443</v>
      </c>
      <c r="E177" s="17" t="s">
        <v>1474</v>
      </c>
      <c r="F177" s="12" t="s">
        <v>1475</v>
      </c>
      <c r="G177" s="14">
        <v>1</v>
      </c>
      <c r="H177" s="24">
        <v>2118000</v>
      </c>
      <c r="I177" s="12" t="s">
        <v>637</v>
      </c>
      <c r="J177" s="6" t="s">
        <v>615</v>
      </c>
      <c r="K177" s="6">
        <f t="shared" si="18"/>
        <v>1</v>
      </c>
      <c r="L177" s="6" t="str">
        <f t="shared" si="12"/>
        <v>ENERO</v>
      </c>
    </row>
    <row r="178" spans="1:12" x14ac:dyDescent="0.25">
      <c r="A178" s="5">
        <f t="shared" si="17"/>
        <v>2026</v>
      </c>
      <c r="B178" s="18" t="s">
        <v>1457</v>
      </c>
      <c r="C178" s="18" t="s">
        <v>596</v>
      </c>
      <c r="D178" s="12">
        <v>21443</v>
      </c>
      <c r="E178" s="17">
        <v>210736</v>
      </c>
      <c r="F178" s="12" t="s">
        <v>504</v>
      </c>
      <c r="G178" s="14">
        <v>1</v>
      </c>
      <c r="H178" s="24">
        <v>122000</v>
      </c>
      <c r="I178" s="12" t="s">
        <v>637</v>
      </c>
      <c r="J178" s="6" t="s">
        <v>615</v>
      </c>
      <c r="K178" s="6">
        <f t="shared" si="18"/>
        <v>1</v>
      </c>
      <c r="L178" s="6" t="str">
        <f t="shared" si="12"/>
        <v>ENERO</v>
      </c>
    </row>
    <row r="179" spans="1:12" x14ac:dyDescent="0.25">
      <c r="A179" s="5">
        <f t="shared" si="17"/>
        <v>2026</v>
      </c>
      <c r="B179" s="18" t="s">
        <v>1457</v>
      </c>
      <c r="C179" s="18" t="s">
        <v>596</v>
      </c>
      <c r="D179" s="12">
        <v>21443</v>
      </c>
      <c r="E179" s="17">
        <v>27274</v>
      </c>
      <c r="F179" s="12" t="s">
        <v>507</v>
      </c>
      <c r="G179" s="14">
        <v>2</v>
      </c>
      <c r="H179" s="24">
        <v>48600</v>
      </c>
      <c r="I179" s="12" t="s">
        <v>637</v>
      </c>
      <c r="J179" s="6" t="s">
        <v>615</v>
      </c>
      <c r="K179" s="6">
        <f t="shared" si="18"/>
        <v>1</v>
      </c>
      <c r="L179" s="6" t="str">
        <f t="shared" si="12"/>
        <v>ENERO</v>
      </c>
    </row>
    <row r="180" spans="1:12" x14ac:dyDescent="0.25">
      <c r="A180" s="5">
        <f t="shared" si="17"/>
        <v>2026</v>
      </c>
      <c r="B180" s="18" t="s">
        <v>1457</v>
      </c>
      <c r="C180" s="18" t="s">
        <v>596</v>
      </c>
      <c r="D180" s="12">
        <v>21443</v>
      </c>
      <c r="E180" s="17">
        <v>86781</v>
      </c>
      <c r="F180" s="12" t="s">
        <v>323</v>
      </c>
      <c r="G180" s="14">
        <v>4</v>
      </c>
      <c r="H180" s="24">
        <v>68000</v>
      </c>
      <c r="I180" s="12" t="s">
        <v>637</v>
      </c>
      <c r="J180" s="6" t="s">
        <v>615</v>
      </c>
      <c r="K180" s="6">
        <f t="shared" si="18"/>
        <v>1</v>
      </c>
      <c r="L180" s="6" t="str">
        <f t="shared" si="12"/>
        <v>ENERO</v>
      </c>
    </row>
    <row r="181" spans="1:12" x14ac:dyDescent="0.25">
      <c r="A181" s="5">
        <f t="shared" si="17"/>
        <v>2026</v>
      </c>
      <c r="B181" s="18" t="s">
        <v>1457</v>
      </c>
      <c r="C181" s="18" t="s">
        <v>596</v>
      </c>
      <c r="D181" s="12">
        <v>21445</v>
      </c>
      <c r="E181" s="17">
        <v>4303796</v>
      </c>
      <c r="F181" s="12" t="s">
        <v>1476</v>
      </c>
      <c r="G181" s="14">
        <v>1</v>
      </c>
      <c r="H181" s="24">
        <v>367000</v>
      </c>
      <c r="I181" s="12" t="s">
        <v>1454</v>
      </c>
      <c r="J181" s="6" t="s">
        <v>609</v>
      </c>
      <c r="K181" s="6">
        <f t="shared" si="18"/>
        <v>1</v>
      </c>
      <c r="L181" s="6" t="str">
        <f t="shared" si="12"/>
        <v>ENERO</v>
      </c>
    </row>
    <row r="182" spans="1:12" x14ac:dyDescent="0.25">
      <c r="A182" s="5">
        <f t="shared" si="17"/>
        <v>2026</v>
      </c>
      <c r="B182" s="18" t="s">
        <v>1458</v>
      </c>
      <c r="C182" s="18" t="s">
        <v>596</v>
      </c>
      <c r="D182" s="12">
        <v>21446</v>
      </c>
      <c r="E182" s="17" t="s">
        <v>181</v>
      </c>
      <c r="F182" s="12" t="s">
        <v>182</v>
      </c>
      <c r="G182" s="14">
        <v>2</v>
      </c>
      <c r="H182" s="24">
        <v>200000</v>
      </c>
      <c r="I182" s="12" t="s">
        <v>1287</v>
      </c>
      <c r="J182" s="6" t="s">
        <v>609</v>
      </c>
      <c r="K182" s="6">
        <f t="shared" si="18"/>
        <v>1</v>
      </c>
      <c r="L182" s="6" t="str">
        <f t="shared" si="12"/>
        <v>ENERO</v>
      </c>
    </row>
    <row r="183" spans="1:12" x14ac:dyDescent="0.25">
      <c r="A183" s="5">
        <f t="shared" si="17"/>
        <v>2026</v>
      </c>
      <c r="B183" s="18" t="s">
        <v>1458</v>
      </c>
      <c r="C183" s="18" t="s">
        <v>596</v>
      </c>
      <c r="D183" s="12">
        <v>21448</v>
      </c>
      <c r="E183" s="17">
        <v>4300204</v>
      </c>
      <c r="F183" s="12" t="s">
        <v>1477</v>
      </c>
      <c r="G183" s="14">
        <v>2</v>
      </c>
      <c r="H183" s="24">
        <v>44000</v>
      </c>
      <c r="I183" s="12" t="s">
        <v>1287</v>
      </c>
      <c r="J183" s="6" t="s">
        <v>609</v>
      </c>
      <c r="K183" s="6">
        <f t="shared" si="18"/>
        <v>1</v>
      </c>
      <c r="L183" s="6" t="str">
        <f t="shared" si="12"/>
        <v>ENERO</v>
      </c>
    </row>
    <row r="184" spans="1:12" x14ac:dyDescent="0.25">
      <c r="A184" s="5">
        <f t="shared" si="17"/>
        <v>2026</v>
      </c>
      <c r="B184" s="18" t="s">
        <v>1458</v>
      </c>
      <c r="C184" s="18" t="s">
        <v>596</v>
      </c>
      <c r="D184" s="12">
        <v>21449</v>
      </c>
      <c r="E184" s="17">
        <v>4300204</v>
      </c>
      <c r="F184" s="12" t="s">
        <v>1477</v>
      </c>
      <c r="G184" s="14">
        <v>1</v>
      </c>
      <c r="H184" s="24">
        <v>22000</v>
      </c>
      <c r="I184" s="12" t="s">
        <v>1287</v>
      </c>
      <c r="J184" s="6" t="s">
        <v>609</v>
      </c>
      <c r="K184" s="6">
        <f t="shared" si="18"/>
        <v>1</v>
      </c>
      <c r="L184" s="6" t="str">
        <f t="shared" si="12"/>
        <v>ENERO</v>
      </c>
    </row>
    <row r="185" spans="1:12" x14ac:dyDescent="0.25">
      <c r="A185" s="5">
        <f t="shared" si="17"/>
        <v>2026</v>
      </c>
      <c r="B185" s="18" t="s">
        <v>1458</v>
      </c>
      <c r="C185" s="18" t="s">
        <v>596</v>
      </c>
      <c r="D185" s="12">
        <v>21450</v>
      </c>
      <c r="E185" s="17" t="s">
        <v>373</v>
      </c>
      <c r="F185" s="12" t="s">
        <v>374</v>
      </c>
      <c r="G185" s="14">
        <v>2</v>
      </c>
      <c r="H185" s="24">
        <v>920000</v>
      </c>
      <c r="I185" s="12" t="s">
        <v>1287</v>
      </c>
      <c r="J185" s="6" t="s">
        <v>609</v>
      </c>
      <c r="K185" s="6">
        <f t="shared" si="18"/>
        <v>1</v>
      </c>
      <c r="L185" s="6" t="str">
        <f t="shared" si="12"/>
        <v>ENERO</v>
      </c>
    </row>
    <row r="186" spans="1:12" x14ac:dyDescent="0.25">
      <c r="A186" s="5">
        <f t="shared" si="17"/>
        <v>2026</v>
      </c>
      <c r="B186" s="18" t="s">
        <v>1458</v>
      </c>
      <c r="C186" s="18" t="s">
        <v>596</v>
      </c>
      <c r="D186" s="12">
        <v>21451</v>
      </c>
      <c r="E186" s="17" t="s">
        <v>1478</v>
      </c>
      <c r="F186" s="12" t="s">
        <v>1479</v>
      </c>
      <c r="G186" s="14">
        <v>1</v>
      </c>
      <c r="H186" s="24">
        <v>410000</v>
      </c>
      <c r="I186" s="12" t="s">
        <v>1520</v>
      </c>
      <c r="J186" s="6" t="s">
        <v>615</v>
      </c>
      <c r="K186" s="6">
        <f t="shared" si="18"/>
        <v>1</v>
      </c>
      <c r="L186" s="6" t="str">
        <f t="shared" si="12"/>
        <v>ENERO</v>
      </c>
    </row>
    <row r="187" spans="1:12" x14ac:dyDescent="0.25">
      <c r="A187" s="5">
        <f t="shared" si="17"/>
        <v>2026</v>
      </c>
      <c r="B187" s="18" t="s">
        <v>1458</v>
      </c>
      <c r="C187" s="18" t="s">
        <v>596</v>
      </c>
      <c r="D187" s="12">
        <v>21451</v>
      </c>
      <c r="E187" s="17">
        <v>691445</v>
      </c>
      <c r="F187" s="12" t="s">
        <v>1480</v>
      </c>
      <c r="G187" s="14">
        <v>1</v>
      </c>
      <c r="H187" s="24">
        <v>289898</v>
      </c>
      <c r="I187" s="12" t="s">
        <v>1520</v>
      </c>
      <c r="J187" s="6" t="s">
        <v>615</v>
      </c>
      <c r="K187" s="6">
        <f t="shared" si="18"/>
        <v>1</v>
      </c>
      <c r="L187" s="6" t="str">
        <f t="shared" si="12"/>
        <v>ENERO</v>
      </c>
    </row>
    <row r="188" spans="1:12" x14ac:dyDescent="0.25">
      <c r="A188" s="5">
        <f t="shared" si="17"/>
        <v>2026</v>
      </c>
      <c r="B188" s="18" t="s">
        <v>1458</v>
      </c>
      <c r="C188" s="18" t="s">
        <v>596</v>
      </c>
      <c r="D188" s="12">
        <v>21451</v>
      </c>
      <c r="E188" s="17">
        <v>18025</v>
      </c>
      <c r="F188" s="12" t="s">
        <v>926</v>
      </c>
      <c r="G188" s="14">
        <v>1</v>
      </c>
      <c r="H188" s="24">
        <v>800000</v>
      </c>
      <c r="I188" s="12" t="s">
        <v>1520</v>
      </c>
      <c r="J188" s="6" t="s">
        <v>615</v>
      </c>
      <c r="K188" s="6">
        <f t="shared" si="18"/>
        <v>1</v>
      </c>
      <c r="L188" s="6" t="str">
        <f t="shared" si="12"/>
        <v>ENERO</v>
      </c>
    </row>
    <row r="189" spans="1:12" x14ac:dyDescent="0.25">
      <c r="A189" s="5">
        <f t="shared" si="17"/>
        <v>2026</v>
      </c>
      <c r="B189" s="18" t="s">
        <v>1458</v>
      </c>
      <c r="C189" s="18" t="s">
        <v>596</v>
      </c>
      <c r="D189" s="12">
        <v>21451</v>
      </c>
      <c r="E189" s="17" t="s">
        <v>1481</v>
      </c>
      <c r="F189" s="12" t="s">
        <v>1227</v>
      </c>
      <c r="G189" s="14">
        <v>1</v>
      </c>
      <c r="H189" s="24">
        <v>3206731.77</v>
      </c>
      <c r="I189" s="12" t="s">
        <v>1520</v>
      </c>
      <c r="J189" s="6" t="s">
        <v>615</v>
      </c>
      <c r="K189" s="6">
        <f t="shared" si="18"/>
        <v>1</v>
      </c>
      <c r="L189" s="6" t="str">
        <f t="shared" si="12"/>
        <v>ENERO</v>
      </c>
    </row>
    <row r="190" spans="1:12" x14ac:dyDescent="0.25">
      <c r="A190" s="5">
        <f t="shared" si="17"/>
        <v>2026</v>
      </c>
      <c r="B190" s="18" t="s">
        <v>1458</v>
      </c>
      <c r="C190" s="18" t="s">
        <v>596</v>
      </c>
      <c r="D190" s="12">
        <v>21451</v>
      </c>
      <c r="E190" s="17">
        <v>4303603</v>
      </c>
      <c r="F190" s="12" t="s">
        <v>335</v>
      </c>
      <c r="G190" s="14">
        <v>1</v>
      </c>
      <c r="H190" s="24">
        <v>42775</v>
      </c>
      <c r="I190" s="12" t="s">
        <v>1520</v>
      </c>
      <c r="J190" s="6" t="s">
        <v>615</v>
      </c>
      <c r="K190" s="6">
        <f t="shared" si="18"/>
        <v>1</v>
      </c>
      <c r="L190" s="6" t="str">
        <f t="shared" si="12"/>
        <v>ENERO</v>
      </c>
    </row>
    <row r="191" spans="1:12" x14ac:dyDescent="0.25">
      <c r="A191" s="5">
        <f t="shared" si="17"/>
        <v>2026</v>
      </c>
      <c r="B191" s="18" t="s">
        <v>1458</v>
      </c>
      <c r="C191" s="18" t="s">
        <v>596</v>
      </c>
      <c r="D191" s="12">
        <v>21451</v>
      </c>
      <c r="E191" s="17" t="s">
        <v>413</v>
      </c>
      <c r="F191" s="12" t="s">
        <v>414</v>
      </c>
      <c r="G191" s="14">
        <v>1</v>
      </c>
      <c r="H191" s="24">
        <v>83775</v>
      </c>
      <c r="I191" s="12" t="s">
        <v>1520</v>
      </c>
      <c r="J191" s="6" t="s">
        <v>615</v>
      </c>
      <c r="K191" s="6">
        <f t="shared" si="18"/>
        <v>1</v>
      </c>
      <c r="L191" s="6" t="str">
        <f t="shared" si="12"/>
        <v>ENERO</v>
      </c>
    </row>
    <row r="192" spans="1:12" x14ac:dyDescent="0.25">
      <c r="A192" s="5">
        <f t="shared" si="17"/>
        <v>2026</v>
      </c>
      <c r="B192" s="18" t="s">
        <v>1458</v>
      </c>
      <c r="C192" s="18" t="s">
        <v>596</v>
      </c>
      <c r="D192" s="12">
        <v>21451</v>
      </c>
      <c r="E192" s="17">
        <v>16463</v>
      </c>
      <c r="F192" s="12" t="s">
        <v>1482</v>
      </c>
      <c r="G192" s="14">
        <v>1</v>
      </c>
      <c r="H192" s="24">
        <v>88313</v>
      </c>
      <c r="I192" s="12" t="s">
        <v>1520</v>
      </c>
      <c r="J192" s="6" t="s">
        <v>615</v>
      </c>
      <c r="K192" s="6">
        <f t="shared" si="18"/>
        <v>1</v>
      </c>
      <c r="L192" s="6" t="str">
        <f t="shared" si="12"/>
        <v>ENERO</v>
      </c>
    </row>
    <row r="193" spans="1:12" x14ac:dyDescent="0.25">
      <c r="A193" s="5">
        <f t="shared" si="17"/>
        <v>2026</v>
      </c>
      <c r="B193" s="18" t="s">
        <v>1458</v>
      </c>
      <c r="C193" s="18" t="s">
        <v>596</v>
      </c>
      <c r="D193" s="12">
        <v>21451</v>
      </c>
      <c r="E193" s="17">
        <v>4302398</v>
      </c>
      <c r="F193" s="12" t="s">
        <v>412</v>
      </c>
      <c r="G193" s="14">
        <v>2</v>
      </c>
      <c r="H193" s="24">
        <v>61326</v>
      </c>
      <c r="I193" s="12" t="s">
        <v>1520</v>
      </c>
      <c r="J193" s="6" t="s">
        <v>615</v>
      </c>
      <c r="K193" s="6">
        <f t="shared" si="18"/>
        <v>1</v>
      </c>
      <c r="L193" s="6" t="str">
        <f t="shared" si="12"/>
        <v>ENERO</v>
      </c>
    </row>
    <row r="194" spans="1:12" x14ac:dyDescent="0.25">
      <c r="A194" s="5">
        <f t="shared" si="17"/>
        <v>2026</v>
      </c>
      <c r="B194" s="18" t="s">
        <v>1458</v>
      </c>
      <c r="C194" s="18" t="s">
        <v>596</v>
      </c>
      <c r="D194" s="12">
        <v>21451</v>
      </c>
      <c r="E194" s="17" t="s">
        <v>251</v>
      </c>
      <c r="F194" s="12" t="s">
        <v>252</v>
      </c>
      <c r="G194" s="14">
        <v>1</v>
      </c>
      <c r="H194" s="24">
        <v>59070</v>
      </c>
      <c r="I194" s="12" t="s">
        <v>1520</v>
      </c>
      <c r="J194" s="6" t="s">
        <v>615</v>
      </c>
      <c r="K194" s="6">
        <f t="shared" si="18"/>
        <v>1</v>
      </c>
      <c r="L194" s="6" t="str">
        <f t="shared" si="12"/>
        <v>ENERO</v>
      </c>
    </row>
    <row r="195" spans="1:12" x14ac:dyDescent="0.25">
      <c r="A195" s="5">
        <f t="shared" si="17"/>
        <v>2026</v>
      </c>
      <c r="B195" s="18" t="s">
        <v>1458</v>
      </c>
      <c r="C195" s="18" t="s">
        <v>596</v>
      </c>
      <c r="D195" s="12">
        <v>21451</v>
      </c>
      <c r="E195" s="17" t="s">
        <v>659</v>
      </c>
      <c r="F195" s="12" t="s">
        <v>662</v>
      </c>
      <c r="G195" s="14">
        <v>1</v>
      </c>
      <c r="H195" s="24">
        <v>156998.35</v>
      </c>
      <c r="I195" s="12" t="s">
        <v>1520</v>
      </c>
      <c r="J195" s="6" t="s">
        <v>615</v>
      </c>
      <c r="K195" s="6">
        <f t="shared" si="18"/>
        <v>1</v>
      </c>
      <c r="L195" s="6" t="str">
        <f t="shared" ref="L195:L258" si="19">VLOOKUP(K195,N:O,2,0)</f>
        <v>ENERO</v>
      </c>
    </row>
    <row r="196" spans="1:12" x14ac:dyDescent="0.25">
      <c r="A196" s="5">
        <f t="shared" si="17"/>
        <v>2026</v>
      </c>
      <c r="B196" s="18" t="s">
        <v>1458</v>
      </c>
      <c r="C196" s="18" t="s">
        <v>596</v>
      </c>
      <c r="D196" s="12">
        <v>21451</v>
      </c>
      <c r="E196" s="17" t="s">
        <v>1483</v>
      </c>
      <c r="F196" s="12" t="s">
        <v>1484</v>
      </c>
      <c r="G196" s="14">
        <v>2</v>
      </c>
      <c r="H196" s="24">
        <v>360000</v>
      </c>
      <c r="I196" s="12" t="s">
        <v>1520</v>
      </c>
      <c r="J196" s="6" t="s">
        <v>615</v>
      </c>
      <c r="K196" s="6">
        <f t="shared" si="18"/>
        <v>1</v>
      </c>
      <c r="L196" s="6" t="str">
        <f t="shared" si="19"/>
        <v>ENERO</v>
      </c>
    </row>
    <row r="197" spans="1:12" x14ac:dyDescent="0.25">
      <c r="A197" s="5">
        <f t="shared" si="17"/>
        <v>2026</v>
      </c>
      <c r="B197" s="18" t="s">
        <v>1458</v>
      </c>
      <c r="C197" s="18" t="s">
        <v>596</v>
      </c>
      <c r="D197" s="12">
        <v>21451</v>
      </c>
      <c r="E197" s="17">
        <v>4303825</v>
      </c>
      <c r="F197" s="12" t="s">
        <v>1485</v>
      </c>
      <c r="G197" s="14">
        <v>2</v>
      </c>
      <c r="H197" s="24">
        <v>936326</v>
      </c>
      <c r="I197" s="12" t="s">
        <v>1520</v>
      </c>
      <c r="J197" s="6" t="s">
        <v>615</v>
      </c>
      <c r="K197" s="6">
        <f t="shared" si="18"/>
        <v>1</v>
      </c>
      <c r="L197" s="6" t="str">
        <f t="shared" si="19"/>
        <v>ENERO</v>
      </c>
    </row>
    <row r="198" spans="1:12" x14ac:dyDescent="0.25">
      <c r="A198" s="5">
        <f t="shared" si="17"/>
        <v>2026</v>
      </c>
      <c r="B198" s="18" t="s">
        <v>1458</v>
      </c>
      <c r="C198" s="18" t="s">
        <v>596</v>
      </c>
      <c r="D198" s="12">
        <v>21451</v>
      </c>
      <c r="E198" s="17" t="s">
        <v>1486</v>
      </c>
      <c r="F198" s="12" t="s">
        <v>1487</v>
      </c>
      <c r="G198" s="14">
        <v>1</v>
      </c>
      <c r="H198" s="24">
        <v>2200000</v>
      </c>
      <c r="I198" s="12" t="s">
        <v>1520</v>
      </c>
      <c r="J198" s="6" t="s">
        <v>615</v>
      </c>
      <c r="K198" s="6">
        <f t="shared" si="18"/>
        <v>1</v>
      </c>
      <c r="L198" s="6" t="str">
        <f t="shared" si="19"/>
        <v>ENERO</v>
      </c>
    </row>
    <row r="199" spans="1:12" x14ac:dyDescent="0.25">
      <c r="A199" s="5">
        <f t="shared" si="17"/>
        <v>2026</v>
      </c>
      <c r="B199" s="18" t="s">
        <v>1458</v>
      </c>
      <c r="C199" s="18" t="s">
        <v>596</v>
      </c>
      <c r="D199" s="12">
        <v>21451</v>
      </c>
      <c r="E199" s="17" t="s">
        <v>1488</v>
      </c>
      <c r="F199" s="12" t="s">
        <v>1489</v>
      </c>
      <c r="G199" s="14">
        <v>1</v>
      </c>
      <c r="H199" s="24">
        <v>1450000</v>
      </c>
      <c r="I199" s="12" t="s">
        <v>1520</v>
      </c>
      <c r="J199" s="6" t="s">
        <v>615</v>
      </c>
      <c r="K199" s="6">
        <f t="shared" si="18"/>
        <v>1</v>
      </c>
      <c r="L199" s="6" t="str">
        <f t="shared" si="19"/>
        <v>ENERO</v>
      </c>
    </row>
    <row r="200" spans="1:12" x14ac:dyDescent="0.25">
      <c r="A200" s="5">
        <f t="shared" si="17"/>
        <v>2026</v>
      </c>
      <c r="B200" s="18" t="s">
        <v>1458</v>
      </c>
      <c r="C200" s="18" t="s">
        <v>596</v>
      </c>
      <c r="D200" s="12">
        <v>21451</v>
      </c>
      <c r="E200" s="17" t="s">
        <v>235</v>
      </c>
      <c r="F200" s="12" t="s">
        <v>236</v>
      </c>
      <c r="G200" s="14">
        <v>1</v>
      </c>
      <c r="H200" s="24">
        <v>1120230</v>
      </c>
      <c r="I200" s="12" t="s">
        <v>1520</v>
      </c>
      <c r="J200" s="6" t="s">
        <v>615</v>
      </c>
      <c r="K200" s="6">
        <f t="shared" si="18"/>
        <v>1</v>
      </c>
      <c r="L200" s="6" t="str">
        <f t="shared" si="19"/>
        <v>ENERO</v>
      </c>
    </row>
    <row r="201" spans="1:12" x14ac:dyDescent="0.25">
      <c r="A201" s="5">
        <f t="shared" si="17"/>
        <v>2026</v>
      </c>
      <c r="B201" s="18" t="s">
        <v>1458</v>
      </c>
      <c r="C201" s="18" t="s">
        <v>596</v>
      </c>
      <c r="D201" s="12">
        <v>21451</v>
      </c>
      <c r="E201" s="17" t="s">
        <v>196</v>
      </c>
      <c r="F201" s="12" t="s">
        <v>197</v>
      </c>
      <c r="G201" s="14">
        <v>1</v>
      </c>
      <c r="H201" s="24">
        <v>2500000</v>
      </c>
      <c r="I201" s="12" t="s">
        <v>1520</v>
      </c>
      <c r="J201" s="6" t="s">
        <v>615</v>
      </c>
      <c r="K201" s="6">
        <f t="shared" si="18"/>
        <v>1</v>
      </c>
      <c r="L201" s="6" t="str">
        <f t="shared" si="19"/>
        <v>ENERO</v>
      </c>
    </row>
    <row r="202" spans="1:12" x14ac:dyDescent="0.25">
      <c r="A202" s="5">
        <f t="shared" si="17"/>
        <v>2026</v>
      </c>
      <c r="B202" s="18" t="s">
        <v>1458</v>
      </c>
      <c r="C202" s="18" t="s">
        <v>596</v>
      </c>
      <c r="D202" s="12">
        <v>21451</v>
      </c>
      <c r="E202" s="17" t="s">
        <v>346</v>
      </c>
      <c r="F202" s="12" t="s">
        <v>347</v>
      </c>
      <c r="G202" s="14">
        <v>1</v>
      </c>
      <c r="H202" s="24">
        <v>99000</v>
      </c>
      <c r="I202" s="12" t="s">
        <v>1520</v>
      </c>
      <c r="J202" s="6" t="s">
        <v>615</v>
      </c>
      <c r="K202" s="6">
        <f t="shared" si="18"/>
        <v>1</v>
      </c>
      <c r="L202" s="6" t="str">
        <f t="shared" si="19"/>
        <v>ENERO</v>
      </c>
    </row>
    <row r="203" spans="1:12" x14ac:dyDescent="0.25">
      <c r="A203" s="5">
        <f t="shared" si="17"/>
        <v>2026</v>
      </c>
      <c r="B203" s="18" t="s">
        <v>1458</v>
      </c>
      <c r="C203" s="18" t="s">
        <v>596</v>
      </c>
      <c r="D203" s="12">
        <v>21451</v>
      </c>
      <c r="E203" s="17" t="s">
        <v>293</v>
      </c>
      <c r="F203" s="12" t="s">
        <v>294</v>
      </c>
      <c r="G203" s="14">
        <v>1</v>
      </c>
      <c r="H203" s="24">
        <v>438900</v>
      </c>
      <c r="I203" s="12" t="s">
        <v>1520</v>
      </c>
      <c r="J203" s="6" t="s">
        <v>615</v>
      </c>
      <c r="K203" s="6">
        <f t="shared" si="18"/>
        <v>1</v>
      </c>
      <c r="L203" s="6" t="str">
        <f t="shared" si="19"/>
        <v>ENERO</v>
      </c>
    </row>
    <row r="204" spans="1:12" x14ac:dyDescent="0.25">
      <c r="A204" s="5">
        <f t="shared" si="17"/>
        <v>2026</v>
      </c>
      <c r="B204" s="18" t="s">
        <v>1458</v>
      </c>
      <c r="C204" s="18" t="s">
        <v>596</v>
      </c>
      <c r="D204" s="12">
        <v>21451</v>
      </c>
      <c r="E204" s="17">
        <v>23559</v>
      </c>
      <c r="F204" s="12" t="s">
        <v>129</v>
      </c>
      <c r="G204" s="14">
        <v>1</v>
      </c>
      <c r="H204" s="24">
        <v>4615</v>
      </c>
      <c r="I204" s="12" t="s">
        <v>1520</v>
      </c>
      <c r="J204" s="6" t="s">
        <v>615</v>
      </c>
      <c r="K204" s="6">
        <f t="shared" si="18"/>
        <v>1</v>
      </c>
      <c r="L204" s="6" t="str">
        <f t="shared" si="19"/>
        <v>ENERO</v>
      </c>
    </row>
    <row r="205" spans="1:12" x14ac:dyDescent="0.25">
      <c r="A205" s="5">
        <f t="shared" si="17"/>
        <v>2026</v>
      </c>
      <c r="B205" s="18" t="s">
        <v>1458</v>
      </c>
      <c r="C205" s="18" t="s">
        <v>596</v>
      </c>
      <c r="D205" s="12">
        <v>21451</v>
      </c>
      <c r="E205" s="17">
        <v>4303185</v>
      </c>
      <c r="F205" s="12" t="s">
        <v>1490</v>
      </c>
      <c r="G205" s="14">
        <v>1</v>
      </c>
      <c r="H205" s="24">
        <v>29904</v>
      </c>
      <c r="I205" s="12" t="s">
        <v>1520</v>
      </c>
      <c r="J205" s="6" t="s">
        <v>615</v>
      </c>
      <c r="K205" s="6">
        <f t="shared" si="18"/>
        <v>1</v>
      </c>
      <c r="L205" s="6" t="str">
        <f t="shared" si="19"/>
        <v>ENERO</v>
      </c>
    </row>
    <row r="206" spans="1:12" x14ac:dyDescent="0.25">
      <c r="A206" s="5">
        <f t="shared" si="17"/>
        <v>2026</v>
      </c>
      <c r="B206" s="18" t="s">
        <v>1458</v>
      </c>
      <c r="C206" s="18" t="s">
        <v>596</v>
      </c>
      <c r="D206" s="12">
        <v>21451</v>
      </c>
      <c r="E206" s="17" t="s">
        <v>1491</v>
      </c>
      <c r="F206" s="12" t="s">
        <v>1492</v>
      </c>
      <c r="G206" s="14">
        <v>1</v>
      </c>
      <c r="H206" s="24">
        <v>80000</v>
      </c>
      <c r="I206" s="12" t="s">
        <v>1520</v>
      </c>
      <c r="J206" s="6" t="s">
        <v>615</v>
      </c>
      <c r="K206" s="6">
        <f t="shared" si="18"/>
        <v>1</v>
      </c>
      <c r="L206" s="6" t="str">
        <f t="shared" si="19"/>
        <v>ENERO</v>
      </c>
    </row>
    <row r="207" spans="1:12" x14ac:dyDescent="0.25">
      <c r="A207" s="5">
        <f t="shared" si="17"/>
        <v>2026</v>
      </c>
      <c r="B207" s="18" t="s">
        <v>1458</v>
      </c>
      <c r="C207" s="18" t="s">
        <v>596</v>
      </c>
      <c r="D207" s="12">
        <v>21451</v>
      </c>
      <c r="E207" s="17">
        <v>4304602</v>
      </c>
      <c r="F207" s="12" t="s">
        <v>502</v>
      </c>
      <c r="G207" s="14">
        <v>2</v>
      </c>
      <c r="H207" s="24">
        <v>56377.68</v>
      </c>
      <c r="I207" s="12" t="s">
        <v>1520</v>
      </c>
      <c r="J207" s="6" t="s">
        <v>615</v>
      </c>
      <c r="K207" s="6">
        <f t="shared" si="18"/>
        <v>1</v>
      </c>
      <c r="L207" s="6" t="str">
        <f t="shared" si="19"/>
        <v>ENERO</v>
      </c>
    </row>
    <row r="208" spans="1:12" x14ac:dyDescent="0.25">
      <c r="A208" s="5">
        <f t="shared" si="17"/>
        <v>2026</v>
      </c>
      <c r="B208" s="18" t="s">
        <v>1458</v>
      </c>
      <c r="C208" s="18" t="s">
        <v>596</v>
      </c>
      <c r="D208" s="12">
        <v>21451</v>
      </c>
      <c r="E208" s="17" t="s">
        <v>977</v>
      </c>
      <c r="F208" s="12" t="s">
        <v>108</v>
      </c>
      <c r="G208" s="14">
        <v>1</v>
      </c>
      <c r="H208" s="24">
        <v>82761</v>
      </c>
      <c r="I208" s="12" t="s">
        <v>1520</v>
      </c>
      <c r="J208" s="6" t="s">
        <v>615</v>
      </c>
      <c r="K208" s="6">
        <f t="shared" si="18"/>
        <v>1</v>
      </c>
      <c r="L208" s="6" t="str">
        <f t="shared" si="19"/>
        <v>ENERO</v>
      </c>
    </row>
    <row r="209" spans="1:12" x14ac:dyDescent="0.25">
      <c r="A209" s="5">
        <f t="shared" si="17"/>
        <v>2026</v>
      </c>
      <c r="B209" s="18" t="s">
        <v>1458</v>
      </c>
      <c r="C209" s="18" t="s">
        <v>596</v>
      </c>
      <c r="D209" s="12">
        <v>21451</v>
      </c>
      <c r="E209" s="17">
        <v>691934</v>
      </c>
      <c r="F209" s="12" t="s">
        <v>1181</v>
      </c>
      <c r="G209" s="14">
        <v>1</v>
      </c>
      <c r="H209" s="24">
        <v>172857</v>
      </c>
      <c r="I209" s="12" t="s">
        <v>1520</v>
      </c>
      <c r="J209" s="6" t="s">
        <v>615</v>
      </c>
      <c r="K209" s="6">
        <f t="shared" si="18"/>
        <v>1</v>
      </c>
      <c r="L209" s="6" t="str">
        <f t="shared" si="19"/>
        <v>ENERO</v>
      </c>
    </row>
    <row r="210" spans="1:12" x14ac:dyDescent="0.25">
      <c r="A210" s="5">
        <f t="shared" si="17"/>
        <v>2026</v>
      </c>
      <c r="B210" s="18" t="s">
        <v>1458</v>
      </c>
      <c r="C210" s="18" t="s">
        <v>596</v>
      </c>
      <c r="D210" s="12">
        <v>21451</v>
      </c>
      <c r="E210" s="17" t="s">
        <v>1493</v>
      </c>
      <c r="F210" s="12" t="s">
        <v>1494</v>
      </c>
      <c r="G210" s="14">
        <v>2</v>
      </c>
      <c r="H210" s="24">
        <v>360000</v>
      </c>
      <c r="I210" s="12" t="s">
        <v>1520</v>
      </c>
      <c r="J210" s="6" t="s">
        <v>615</v>
      </c>
      <c r="K210" s="6">
        <f t="shared" si="18"/>
        <v>1</v>
      </c>
      <c r="L210" s="6" t="str">
        <f t="shared" si="19"/>
        <v>ENERO</v>
      </c>
    </row>
    <row r="211" spans="1:12" x14ac:dyDescent="0.25">
      <c r="A211" s="5">
        <f t="shared" si="17"/>
        <v>2026</v>
      </c>
      <c r="B211" s="18" t="s">
        <v>1458</v>
      </c>
      <c r="C211" s="18" t="s">
        <v>596</v>
      </c>
      <c r="D211" s="12">
        <v>21451</v>
      </c>
      <c r="E211" s="17">
        <v>5586664</v>
      </c>
      <c r="F211" s="12" t="s">
        <v>1495</v>
      </c>
      <c r="G211" s="14">
        <v>1</v>
      </c>
      <c r="H211" s="24">
        <v>1607871</v>
      </c>
      <c r="I211" s="12" t="s">
        <v>1520</v>
      </c>
      <c r="J211" s="6" t="s">
        <v>615</v>
      </c>
      <c r="K211" s="6">
        <f t="shared" si="18"/>
        <v>1</v>
      </c>
      <c r="L211" s="6" t="str">
        <f t="shared" si="19"/>
        <v>ENERO</v>
      </c>
    </row>
    <row r="212" spans="1:12" x14ac:dyDescent="0.25">
      <c r="A212" s="5">
        <f t="shared" si="17"/>
        <v>2026</v>
      </c>
      <c r="B212" s="18" t="s">
        <v>1458</v>
      </c>
      <c r="C212" s="18" t="s">
        <v>596</v>
      </c>
      <c r="D212" s="12">
        <v>21451</v>
      </c>
      <c r="E212" s="17" t="s">
        <v>1496</v>
      </c>
      <c r="F212" s="12" t="s">
        <v>1497</v>
      </c>
      <c r="G212" s="14">
        <v>1</v>
      </c>
      <c r="H212" s="24">
        <v>1701100</v>
      </c>
      <c r="I212" s="12" t="s">
        <v>1520</v>
      </c>
      <c r="J212" s="6" t="s">
        <v>615</v>
      </c>
      <c r="K212" s="6">
        <f t="shared" si="18"/>
        <v>1</v>
      </c>
      <c r="L212" s="6" t="str">
        <f t="shared" si="19"/>
        <v>ENERO</v>
      </c>
    </row>
    <row r="213" spans="1:12" x14ac:dyDescent="0.25">
      <c r="A213" s="5">
        <f t="shared" si="17"/>
        <v>2026</v>
      </c>
      <c r="B213" s="18" t="s">
        <v>1458</v>
      </c>
      <c r="C213" s="18" t="s">
        <v>596</v>
      </c>
      <c r="D213" s="12">
        <v>21451</v>
      </c>
      <c r="E213" s="17" t="s">
        <v>397</v>
      </c>
      <c r="F213" s="12" t="s">
        <v>398</v>
      </c>
      <c r="G213" s="14">
        <v>1</v>
      </c>
      <c r="H213" s="24">
        <v>935714</v>
      </c>
      <c r="I213" s="12" t="s">
        <v>1520</v>
      </c>
      <c r="J213" s="6" t="s">
        <v>615</v>
      </c>
      <c r="K213" s="6">
        <f t="shared" si="18"/>
        <v>1</v>
      </c>
      <c r="L213" s="6" t="str">
        <f t="shared" si="19"/>
        <v>ENERO</v>
      </c>
    </row>
    <row r="214" spans="1:12" x14ac:dyDescent="0.25">
      <c r="A214" s="5">
        <f t="shared" si="17"/>
        <v>2026</v>
      </c>
      <c r="B214" s="18" t="s">
        <v>1458</v>
      </c>
      <c r="C214" s="18" t="s">
        <v>596</v>
      </c>
      <c r="D214" s="12">
        <v>21451</v>
      </c>
      <c r="E214" s="17" t="s">
        <v>1498</v>
      </c>
      <c r="F214" s="12" t="s">
        <v>1499</v>
      </c>
      <c r="G214" s="14">
        <v>1</v>
      </c>
      <c r="H214" s="24">
        <v>1962100.84</v>
      </c>
      <c r="I214" s="12" t="s">
        <v>1520</v>
      </c>
      <c r="J214" s="6" t="s">
        <v>615</v>
      </c>
      <c r="K214" s="6">
        <f t="shared" si="18"/>
        <v>1</v>
      </c>
      <c r="L214" s="6" t="str">
        <f t="shared" si="19"/>
        <v>ENERO</v>
      </c>
    </row>
    <row r="215" spans="1:12" x14ac:dyDescent="0.25">
      <c r="A215" s="5">
        <f t="shared" si="17"/>
        <v>2026</v>
      </c>
      <c r="B215" s="18" t="s">
        <v>1458</v>
      </c>
      <c r="C215" s="18" t="s">
        <v>596</v>
      </c>
      <c r="D215" s="12">
        <v>21451</v>
      </c>
      <c r="E215" s="17" t="s">
        <v>1433</v>
      </c>
      <c r="F215" s="12" t="s">
        <v>1434</v>
      </c>
      <c r="G215" s="14">
        <v>1</v>
      </c>
      <c r="H215" s="24">
        <v>1600000</v>
      </c>
      <c r="I215" s="12" t="s">
        <v>1520</v>
      </c>
      <c r="J215" s="6" t="s">
        <v>615</v>
      </c>
      <c r="K215" s="6">
        <f t="shared" si="18"/>
        <v>1</v>
      </c>
      <c r="L215" s="6" t="str">
        <f t="shared" si="19"/>
        <v>ENERO</v>
      </c>
    </row>
    <row r="216" spans="1:12" x14ac:dyDescent="0.25">
      <c r="A216" s="5">
        <f t="shared" si="17"/>
        <v>2026</v>
      </c>
      <c r="B216" s="18" t="s">
        <v>1458</v>
      </c>
      <c r="C216" s="18" t="s">
        <v>596</v>
      </c>
      <c r="D216" s="12">
        <v>21451</v>
      </c>
      <c r="E216" s="17">
        <v>4301795</v>
      </c>
      <c r="F216" s="12" t="s">
        <v>588</v>
      </c>
      <c r="G216" s="14">
        <v>1</v>
      </c>
      <c r="H216" s="24">
        <v>632943.9</v>
      </c>
      <c r="I216" s="12" t="s">
        <v>1520</v>
      </c>
      <c r="J216" s="6" t="s">
        <v>615</v>
      </c>
      <c r="K216" s="6">
        <f t="shared" si="18"/>
        <v>1</v>
      </c>
      <c r="L216" s="6" t="str">
        <f t="shared" si="19"/>
        <v>ENERO</v>
      </c>
    </row>
    <row r="217" spans="1:12" x14ac:dyDescent="0.25">
      <c r="A217" s="5">
        <f t="shared" si="17"/>
        <v>2026</v>
      </c>
      <c r="B217" s="18" t="s">
        <v>1458</v>
      </c>
      <c r="C217" s="18" t="s">
        <v>596</v>
      </c>
      <c r="D217" s="12">
        <v>21451</v>
      </c>
      <c r="E217" s="17" t="s">
        <v>415</v>
      </c>
      <c r="F217" s="12" t="s">
        <v>416</v>
      </c>
      <c r="G217" s="14">
        <v>1</v>
      </c>
      <c r="H217" s="24">
        <v>329414.40000000002</v>
      </c>
      <c r="I217" s="12" t="s">
        <v>1520</v>
      </c>
      <c r="J217" s="6" t="s">
        <v>615</v>
      </c>
      <c r="K217" s="6">
        <f t="shared" si="18"/>
        <v>1</v>
      </c>
      <c r="L217" s="6" t="str">
        <f t="shared" si="19"/>
        <v>ENERO</v>
      </c>
    </row>
    <row r="218" spans="1:12" x14ac:dyDescent="0.25">
      <c r="A218" s="5">
        <f t="shared" si="17"/>
        <v>2026</v>
      </c>
      <c r="B218" s="18" t="s">
        <v>1458</v>
      </c>
      <c r="C218" s="18" t="s">
        <v>596</v>
      </c>
      <c r="D218" s="12">
        <v>21451</v>
      </c>
      <c r="E218" s="17" t="s">
        <v>1500</v>
      </c>
      <c r="F218" s="12" t="s">
        <v>1501</v>
      </c>
      <c r="G218" s="14">
        <v>1</v>
      </c>
      <c r="H218" s="24">
        <v>5427135.9000000004</v>
      </c>
      <c r="I218" s="12" t="s">
        <v>1520</v>
      </c>
      <c r="J218" s="6" t="s">
        <v>615</v>
      </c>
      <c r="K218" s="6">
        <f t="shared" si="18"/>
        <v>1</v>
      </c>
      <c r="L218" s="6" t="str">
        <f t="shared" si="19"/>
        <v>ENERO</v>
      </c>
    </row>
    <row r="219" spans="1:12" x14ac:dyDescent="0.25">
      <c r="A219" s="5">
        <f t="shared" si="17"/>
        <v>2026</v>
      </c>
      <c r="B219" s="18" t="s">
        <v>1458</v>
      </c>
      <c r="C219" s="18" t="s">
        <v>596</v>
      </c>
      <c r="D219" s="12">
        <v>21451</v>
      </c>
      <c r="E219" s="17" t="s">
        <v>413</v>
      </c>
      <c r="F219" s="12" t="s">
        <v>414</v>
      </c>
      <c r="G219" s="14">
        <v>1</v>
      </c>
      <c r="H219" s="24">
        <v>74340</v>
      </c>
      <c r="I219" s="12" t="s">
        <v>1520</v>
      </c>
      <c r="J219" s="6" t="s">
        <v>615</v>
      </c>
      <c r="K219" s="6">
        <f t="shared" si="18"/>
        <v>1</v>
      </c>
      <c r="L219" s="6" t="str">
        <f t="shared" si="19"/>
        <v>ENERO</v>
      </c>
    </row>
    <row r="220" spans="1:12" x14ac:dyDescent="0.25">
      <c r="A220" s="5">
        <f t="shared" si="17"/>
        <v>2026</v>
      </c>
      <c r="B220" s="18" t="s">
        <v>1458</v>
      </c>
      <c r="C220" s="18" t="s">
        <v>596</v>
      </c>
      <c r="D220" s="12">
        <v>21451</v>
      </c>
      <c r="E220" s="17" t="s">
        <v>878</v>
      </c>
      <c r="F220" s="12" t="s">
        <v>694</v>
      </c>
      <c r="G220" s="14">
        <v>1</v>
      </c>
      <c r="H220" s="24">
        <v>50234</v>
      </c>
      <c r="I220" s="12" t="s">
        <v>1520</v>
      </c>
      <c r="J220" s="6" t="s">
        <v>615</v>
      </c>
      <c r="K220" s="6">
        <f t="shared" si="18"/>
        <v>1</v>
      </c>
      <c r="L220" s="6" t="str">
        <f t="shared" si="19"/>
        <v>ENERO</v>
      </c>
    </row>
    <row r="221" spans="1:12" x14ac:dyDescent="0.25">
      <c r="A221" s="5">
        <f t="shared" si="17"/>
        <v>2026</v>
      </c>
      <c r="B221" s="18" t="s">
        <v>1458</v>
      </c>
      <c r="C221" s="18" t="s">
        <v>596</v>
      </c>
      <c r="D221" s="12">
        <v>21451</v>
      </c>
      <c r="E221" s="17" t="s">
        <v>1502</v>
      </c>
      <c r="F221" s="12" t="s">
        <v>1503</v>
      </c>
      <c r="G221" s="14">
        <v>1</v>
      </c>
      <c r="H221" s="24">
        <v>265410</v>
      </c>
      <c r="I221" s="12" t="s">
        <v>1520</v>
      </c>
      <c r="J221" s="6" t="s">
        <v>615</v>
      </c>
      <c r="K221" s="6">
        <f t="shared" si="18"/>
        <v>1</v>
      </c>
      <c r="L221" s="6" t="str">
        <f t="shared" si="19"/>
        <v>ENERO</v>
      </c>
    </row>
    <row r="222" spans="1:12" x14ac:dyDescent="0.25">
      <c r="A222" s="5">
        <f t="shared" si="17"/>
        <v>2026</v>
      </c>
      <c r="B222" s="18" t="s">
        <v>1458</v>
      </c>
      <c r="C222" s="18" t="s">
        <v>596</v>
      </c>
      <c r="D222" s="12">
        <v>21451</v>
      </c>
      <c r="E222" s="17" t="s">
        <v>188</v>
      </c>
      <c r="F222" s="12" t="s">
        <v>189</v>
      </c>
      <c r="G222" s="14">
        <v>3</v>
      </c>
      <c r="H222" s="24">
        <v>89499.6</v>
      </c>
      <c r="I222" s="12" t="s">
        <v>1520</v>
      </c>
      <c r="J222" s="6" t="s">
        <v>615</v>
      </c>
      <c r="K222" s="6">
        <f t="shared" si="18"/>
        <v>1</v>
      </c>
      <c r="L222" s="6" t="str">
        <f t="shared" si="19"/>
        <v>ENERO</v>
      </c>
    </row>
    <row r="223" spans="1:12" x14ac:dyDescent="0.25">
      <c r="A223" s="5">
        <f t="shared" si="17"/>
        <v>2026</v>
      </c>
      <c r="B223" s="18" t="s">
        <v>1458</v>
      </c>
      <c r="C223" s="18" t="s">
        <v>596</v>
      </c>
      <c r="D223" s="12">
        <v>21451</v>
      </c>
      <c r="E223" s="17" t="s">
        <v>66</v>
      </c>
      <c r="F223" s="12" t="s">
        <v>67</v>
      </c>
      <c r="G223" s="14">
        <v>1</v>
      </c>
      <c r="H223" s="24">
        <v>140580</v>
      </c>
      <c r="I223" s="12" t="s">
        <v>1520</v>
      </c>
      <c r="J223" s="6" t="s">
        <v>615</v>
      </c>
      <c r="K223" s="6">
        <f t="shared" si="18"/>
        <v>1</v>
      </c>
      <c r="L223" s="6" t="str">
        <f t="shared" si="19"/>
        <v>ENERO</v>
      </c>
    </row>
    <row r="224" spans="1:12" x14ac:dyDescent="0.25">
      <c r="A224" s="5">
        <f t="shared" si="17"/>
        <v>2026</v>
      </c>
      <c r="B224" s="18" t="s">
        <v>1458</v>
      </c>
      <c r="C224" s="18" t="s">
        <v>596</v>
      </c>
      <c r="D224" s="12">
        <v>21451</v>
      </c>
      <c r="E224" s="17">
        <v>691934</v>
      </c>
      <c r="F224" s="12" t="s">
        <v>1181</v>
      </c>
      <c r="G224" s="14">
        <v>1</v>
      </c>
      <c r="H224" s="24">
        <v>152460</v>
      </c>
      <c r="I224" s="12" t="s">
        <v>1520</v>
      </c>
      <c r="J224" s="6" t="s">
        <v>615</v>
      </c>
      <c r="K224" s="6">
        <f t="shared" si="18"/>
        <v>1</v>
      </c>
      <c r="L224" s="6" t="str">
        <f t="shared" si="19"/>
        <v>ENERO</v>
      </c>
    </row>
    <row r="225" spans="1:12" x14ac:dyDescent="0.25">
      <c r="A225" s="5">
        <f t="shared" si="17"/>
        <v>2026</v>
      </c>
      <c r="B225" s="18" t="s">
        <v>1458</v>
      </c>
      <c r="C225" s="18" t="s">
        <v>596</v>
      </c>
      <c r="D225" s="12">
        <v>21451</v>
      </c>
      <c r="E225" s="17" t="s">
        <v>1504</v>
      </c>
      <c r="F225" s="12" t="s">
        <v>1505</v>
      </c>
      <c r="G225" s="14">
        <v>1</v>
      </c>
      <c r="H225" s="24">
        <v>405650.7</v>
      </c>
      <c r="I225" s="12" t="s">
        <v>1520</v>
      </c>
      <c r="J225" s="6" t="s">
        <v>615</v>
      </c>
      <c r="K225" s="6">
        <f t="shared" si="18"/>
        <v>1</v>
      </c>
      <c r="L225" s="6" t="str">
        <f t="shared" si="19"/>
        <v>ENERO</v>
      </c>
    </row>
    <row r="226" spans="1:12" x14ac:dyDescent="0.25">
      <c r="A226" s="5">
        <f t="shared" si="17"/>
        <v>2026</v>
      </c>
      <c r="B226" s="18" t="s">
        <v>1458</v>
      </c>
      <c r="C226" s="18" t="s">
        <v>596</v>
      </c>
      <c r="D226" s="12">
        <v>21451</v>
      </c>
      <c r="E226" s="17" t="s">
        <v>321</v>
      </c>
      <c r="F226" s="12" t="s">
        <v>322</v>
      </c>
      <c r="G226" s="14">
        <v>2</v>
      </c>
      <c r="H226" s="24">
        <v>409500</v>
      </c>
      <c r="I226" s="12" t="s">
        <v>1520</v>
      </c>
      <c r="J226" s="6" t="s">
        <v>615</v>
      </c>
      <c r="K226" s="6">
        <f t="shared" si="18"/>
        <v>1</v>
      </c>
      <c r="L226" s="6" t="str">
        <f t="shared" si="19"/>
        <v>ENERO</v>
      </c>
    </row>
    <row r="227" spans="1:12" x14ac:dyDescent="0.25">
      <c r="A227" s="5">
        <f t="shared" si="17"/>
        <v>2026</v>
      </c>
      <c r="B227" s="18" t="s">
        <v>1458</v>
      </c>
      <c r="C227" s="18" t="s">
        <v>596</v>
      </c>
      <c r="D227" s="12">
        <v>21451</v>
      </c>
      <c r="E227" s="17" t="s">
        <v>1506</v>
      </c>
      <c r="F227" s="12" t="s">
        <v>1507</v>
      </c>
      <c r="G227" s="14">
        <v>1</v>
      </c>
      <c r="H227" s="24">
        <v>1429699.5</v>
      </c>
      <c r="I227" s="12" t="s">
        <v>1520</v>
      </c>
      <c r="J227" s="6" t="s">
        <v>615</v>
      </c>
      <c r="K227" s="6">
        <f t="shared" si="18"/>
        <v>1</v>
      </c>
      <c r="L227" s="6" t="str">
        <f t="shared" si="19"/>
        <v>ENERO</v>
      </c>
    </row>
    <row r="228" spans="1:12" x14ac:dyDescent="0.25">
      <c r="A228" s="5">
        <f t="shared" si="17"/>
        <v>2026</v>
      </c>
      <c r="B228" s="18" t="s">
        <v>1458</v>
      </c>
      <c r="C228" s="18" t="s">
        <v>596</v>
      </c>
      <c r="D228" s="12">
        <v>21451</v>
      </c>
      <c r="E228" s="17" t="s">
        <v>1508</v>
      </c>
      <c r="F228" s="12" t="s">
        <v>1509</v>
      </c>
      <c r="G228" s="14">
        <v>1</v>
      </c>
      <c r="H228" s="24">
        <v>830510.1</v>
      </c>
      <c r="I228" s="12" t="s">
        <v>1520</v>
      </c>
      <c r="J228" s="6" t="s">
        <v>615</v>
      </c>
      <c r="K228" s="6">
        <f t="shared" si="18"/>
        <v>1</v>
      </c>
      <c r="L228" s="6" t="str">
        <f t="shared" si="19"/>
        <v>ENERO</v>
      </c>
    </row>
    <row r="229" spans="1:12" x14ac:dyDescent="0.25">
      <c r="A229" s="5">
        <f t="shared" si="17"/>
        <v>2026</v>
      </c>
      <c r="B229" s="18" t="s">
        <v>1458</v>
      </c>
      <c r="C229" s="18" t="s">
        <v>596</v>
      </c>
      <c r="D229" s="12">
        <v>21452</v>
      </c>
      <c r="E229" s="17" t="s">
        <v>1510</v>
      </c>
      <c r="F229" s="12" t="s">
        <v>1511</v>
      </c>
      <c r="G229" s="14">
        <v>20</v>
      </c>
      <c r="H229" s="24">
        <v>3133100</v>
      </c>
      <c r="I229" s="12" t="s">
        <v>1455</v>
      </c>
      <c r="J229" s="6" t="s">
        <v>1010</v>
      </c>
      <c r="K229" s="6">
        <f t="shared" si="18"/>
        <v>1</v>
      </c>
      <c r="L229" s="6" t="str">
        <f t="shared" si="19"/>
        <v>ENERO</v>
      </c>
    </row>
    <row r="230" spans="1:12" x14ac:dyDescent="0.25">
      <c r="A230" s="5">
        <f t="shared" si="17"/>
        <v>2026</v>
      </c>
      <c r="B230" s="18" t="s">
        <v>1458</v>
      </c>
      <c r="C230" s="18" t="s">
        <v>596</v>
      </c>
      <c r="D230" s="12">
        <v>21452</v>
      </c>
      <c r="E230" s="17" t="s">
        <v>1512</v>
      </c>
      <c r="F230" s="12" t="s">
        <v>1513</v>
      </c>
      <c r="G230" s="14">
        <v>20</v>
      </c>
      <c r="H230" s="24">
        <v>3334500</v>
      </c>
      <c r="I230" s="12" t="s">
        <v>1455</v>
      </c>
      <c r="J230" s="6" t="s">
        <v>1010</v>
      </c>
      <c r="K230" s="6">
        <f t="shared" si="18"/>
        <v>1</v>
      </c>
      <c r="L230" s="6" t="str">
        <f t="shared" si="19"/>
        <v>ENERO</v>
      </c>
    </row>
    <row r="231" spans="1:12" x14ac:dyDescent="0.25">
      <c r="A231" s="5">
        <f t="shared" ref="A231:A241" si="20">+YEAR(B231)</f>
        <v>2026</v>
      </c>
      <c r="B231" s="18" t="s">
        <v>1458</v>
      </c>
      <c r="C231" s="18" t="s">
        <v>596</v>
      </c>
      <c r="D231" s="12">
        <v>21452</v>
      </c>
      <c r="E231" s="17" t="s">
        <v>1514</v>
      </c>
      <c r="F231" s="12" t="s">
        <v>1515</v>
      </c>
      <c r="G231" s="14">
        <v>12</v>
      </c>
      <c r="H231" s="24">
        <v>1311000</v>
      </c>
      <c r="I231" s="12" t="s">
        <v>1455</v>
      </c>
      <c r="J231" s="6" t="s">
        <v>1010</v>
      </c>
      <c r="K231" s="6">
        <f t="shared" ref="K231:K241" si="21">+MONTH(B231)</f>
        <v>1</v>
      </c>
      <c r="L231" s="6" t="str">
        <f t="shared" si="19"/>
        <v>ENERO</v>
      </c>
    </row>
    <row r="232" spans="1:12" x14ac:dyDescent="0.25">
      <c r="A232" s="5">
        <f t="shared" si="20"/>
        <v>2026</v>
      </c>
      <c r="B232" s="18" t="s">
        <v>1458</v>
      </c>
      <c r="C232" s="18" t="s">
        <v>596</v>
      </c>
      <c r="D232" s="12">
        <v>21452</v>
      </c>
      <c r="E232" s="17">
        <v>4298627</v>
      </c>
      <c r="F232" s="12" t="s">
        <v>1516</v>
      </c>
      <c r="G232" s="14">
        <v>1</v>
      </c>
      <c r="H232" s="24">
        <v>2361842.5</v>
      </c>
      <c r="I232" s="12" t="s">
        <v>1455</v>
      </c>
      <c r="J232" s="6" t="s">
        <v>1010</v>
      </c>
      <c r="K232" s="6">
        <f t="shared" si="21"/>
        <v>1</v>
      </c>
      <c r="L232" s="6" t="str">
        <f t="shared" si="19"/>
        <v>ENERO</v>
      </c>
    </row>
    <row r="233" spans="1:12" x14ac:dyDescent="0.25">
      <c r="A233" s="5">
        <f t="shared" si="20"/>
        <v>2026</v>
      </c>
      <c r="B233" s="18" t="s">
        <v>1458</v>
      </c>
      <c r="C233" s="18" t="s">
        <v>596</v>
      </c>
      <c r="D233" s="12">
        <v>21452</v>
      </c>
      <c r="E233" s="17">
        <v>4309097</v>
      </c>
      <c r="F233" s="12" t="s">
        <v>1517</v>
      </c>
      <c r="G233" s="14">
        <v>4</v>
      </c>
      <c r="H233" s="24">
        <v>1912000.4</v>
      </c>
      <c r="I233" s="12" t="s">
        <v>1455</v>
      </c>
      <c r="J233" s="6" t="s">
        <v>1010</v>
      </c>
      <c r="K233" s="6">
        <f t="shared" si="21"/>
        <v>1</v>
      </c>
      <c r="L233" s="6" t="str">
        <f t="shared" si="19"/>
        <v>ENERO</v>
      </c>
    </row>
    <row r="234" spans="1:12" x14ac:dyDescent="0.25">
      <c r="A234" s="5">
        <f t="shared" si="20"/>
        <v>2026</v>
      </c>
      <c r="B234" s="18" t="s">
        <v>1458</v>
      </c>
      <c r="C234" s="18" t="s">
        <v>596</v>
      </c>
      <c r="D234" s="12">
        <v>21452</v>
      </c>
      <c r="E234" s="17" t="s">
        <v>1518</v>
      </c>
      <c r="F234" s="12" t="s">
        <v>1519</v>
      </c>
      <c r="G234" s="14">
        <v>1</v>
      </c>
      <c r="H234" s="24">
        <v>13386935.449999999</v>
      </c>
      <c r="I234" s="12" t="s">
        <v>1455</v>
      </c>
      <c r="J234" s="6" t="s">
        <v>1010</v>
      </c>
      <c r="K234" s="6">
        <f t="shared" si="21"/>
        <v>1</v>
      </c>
      <c r="L234" s="6" t="str">
        <f t="shared" si="19"/>
        <v>ENERO</v>
      </c>
    </row>
    <row r="235" spans="1:12" x14ac:dyDescent="0.25">
      <c r="A235" s="5">
        <f t="shared" si="20"/>
        <v>2026</v>
      </c>
      <c r="B235" s="18" t="s">
        <v>1427</v>
      </c>
      <c r="C235" s="18" t="s">
        <v>596</v>
      </c>
      <c r="D235" s="12">
        <v>21431</v>
      </c>
      <c r="E235" s="17" t="s">
        <v>163</v>
      </c>
      <c r="F235" s="12" t="s">
        <v>164</v>
      </c>
      <c r="G235" s="14">
        <v>30</v>
      </c>
      <c r="H235" s="24">
        <v>51000000</v>
      </c>
      <c r="I235" s="12" t="s">
        <v>625</v>
      </c>
      <c r="J235" s="6" t="s">
        <v>612</v>
      </c>
      <c r="K235" s="6">
        <f t="shared" si="21"/>
        <v>1</v>
      </c>
      <c r="L235" s="6" t="str">
        <f t="shared" si="19"/>
        <v>ENERO</v>
      </c>
    </row>
    <row r="236" spans="1:12" x14ac:dyDescent="0.25">
      <c r="A236" s="5">
        <f t="shared" si="20"/>
        <v>2026</v>
      </c>
      <c r="B236" s="18" t="s">
        <v>1429</v>
      </c>
      <c r="C236" s="18" t="s">
        <v>596</v>
      </c>
      <c r="D236" s="12">
        <v>21428</v>
      </c>
      <c r="E236" s="17" t="s">
        <v>1450</v>
      </c>
      <c r="F236" s="12" t="s">
        <v>1451</v>
      </c>
      <c r="G236" s="14">
        <v>1</v>
      </c>
      <c r="H236" s="24">
        <v>317000</v>
      </c>
      <c r="I236" s="12" t="s">
        <v>1454</v>
      </c>
      <c r="J236" s="6" t="s">
        <v>1348</v>
      </c>
      <c r="K236" s="6">
        <f t="shared" si="21"/>
        <v>1</v>
      </c>
      <c r="L236" s="6" t="str">
        <f t="shared" si="19"/>
        <v>ENERO</v>
      </c>
    </row>
    <row r="237" spans="1:12" x14ac:dyDescent="0.25">
      <c r="A237" s="5">
        <f t="shared" si="20"/>
        <v>2026</v>
      </c>
      <c r="B237" s="18" t="s">
        <v>1429</v>
      </c>
      <c r="C237" s="18" t="s">
        <v>596</v>
      </c>
      <c r="D237" s="12">
        <v>21428</v>
      </c>
      <c r="E237" s="17" t="s">
        <v>1448</v>
      </c>
      <c r="F237" s="12" t="s">
        <v>1449</v>
      </c>
      <c r="G237" s="14">
        <v>4</v>
      </c>
      <c r="H237" s="24">
        <v>70400</v>
      </c>
      <c r="I237" s="12" t="s">
        <v>1454</v>
      </c>
      <c r="J237" s="6" t="s">
        <v>1348</v>
      </c>
      <c r="K237" s="6">
        <f t="shared" si="21"/>
        <v>1</v>
      </c>
      <c r="L237" s="6" t="str">
        <f t="shared" si="19"/>
        <v>ENERO</v>
      </c>
    </row>
    <row r="238" spans="1:12" x14ac:dyDescent="0.25">
      <c r="A238" s="5">
        <f t="shared" si="20"/>
        <v>2026</v>
      </c>
      <c r="B238" s="18" t="s">
        <v>1429</v>
      </c>
      <c r="C238" s="18" t="s">
        <v>596</v>
      </c>
      <c r="D238" s="12">
        <v>21428</v>
      </c>
      <c r="E238" s="17" t="s">
        <v>1452</v>
      </c>
      <c r="F238" s="12" t="s">
        <v>1453</v>
      </c>
      <c r="G238" s="14">
        <v>1</v>
      </c>
      <c r="H238" s="24">
        <v>220000</v>
      </c>
      <c r="I238" s="12" t="s">
        <v>1454</v>
      </c>
      <c r="J238" s="6" t="s">
        <v>1348</v>
      </c>
      <c r="K238" s="6">
        <f t="shared" si="21"/>
        <v>1</v>
      </c>
      <c r="L238" s="6" t="str">
        <f t="shared" si="19"/>
        <v>ENERO</v>
      </c>
    </row>
    <row r="239" spans="1:12" x14ac:dyDescent="0.25">
      <c r="A239" s="5">
        <f t="shared" si="20"/>
        <v>2026</v>
      </c>
      <c r="B239" s="18" t="s">
        <v>1429</v>
      </c>
      <c r="C239" s="18" t="s">
        <v>596</v>
      </c>
      <c r="D239" s="12">
        <v>21428</v>
      </c>
      <c r="E239" s="17" t="s">
        <v>1450</v>
      </c>
      <c r="F239" s="12" t="s">
        <v>1451</v>
      </c>
      <c r="G239" s="14">
        <v>1</v>
      </c>
      <c r="H239" s="24">
        <v>317000</v>
      </c>
      <c r="I239" s="12" t="s">
        <v>1454</v>
      </c>
      <c r="J239" s="6" t="s">
        <v>1348</v>
      </c>
      <c r="K239" s="6">
        <f t="shared" si="21"/>
        <v>1</v>
      </c>
      <c r="L239" s="6" t="str">
        <f t="shared" si="19"/>
        <v>ENERO</v>
      </c>
    </row>
    <row r="240" spans="1:12" x14ac:dyDescent="0.25">
      <c r="A240" s="5">
        <f t="shared" si="20"/>
        <v>2026</v>
      </c>
      <c r="B240" s="18" t="s">
        <v>1429</v>
      </c>
      <c r="C240" s="18" t="s">
        <v>596</v>
      </c>
      <c r="D240" s="12">
        <v>21428</v>
      </c>
      <c r="E240" s="17" t="s">
        <v>1448</v>
      </c>
      <c r="F240" s="12" t="s">
        <v>1449</v>
      </c>
      <c r="G240" s="14">
        <v>4</v>
      </c>
      <c r="H240" s="24">
        <v>70400</v>
      </c>
      <c r="I240" s="12" t="s">
        <v>1454</v>
      </c>
      <c r="J240" s="6" t="s">
        <v>1348</v>
      </c>
      <c r="K240" s="6">
        <f t="shared" si="21"/>
        <v>1</v>
      </c>
      <c r="L240" s="6" t="str">
        <f t="shared" si="19"/>
        <v>ENERO</v>
      </c>
    </row>
    <row r="241" spans="1:12" x14ac:dyDescent="0.25">
      <c r="A241" s="5">
        <f t="shared" si="20"/>
        <v>2026</v>
      </c>
      <c r="B241" s="18" t="s">
        <v>1429</v>
      </c>
      <c r="C241" s="18" t="s">
        <v>596</v>
      </c>
      <c r="D241" s="12">
        <v>21428</v>
      </c>
      <c r="E241" s="17" t="s">
        <v>1452</v>
      </c>
      <c r="F241" s="12" t="s">
        <v>1453</v>
      </c>
      <c r="G241" s="14">
        <v>1</v>
      </c>
      <c r="H241" s="24">
        <v>220000</v>
      </c>
      <c r="I241" s="12" t="s">
        <v>1454</v>
      </c>
      <c r="J241" s="6" t="s">
        <v>1348</v>
      </c>
      <c r="K241" s="6">
        <f t="shared" si="21"/>
        <v>1</v>
      </c>
      <c r="L241" s="6" t="str">
        <f t="shared" si="19"/>
        <v>ENERO</v>
      </c>
    </row>
  </sheetData>
  <autoFilter ref="A2:L241" xr:uid="{00000000-0009-0000-0000-000000000000}">
    <sortState xmlns:xlrd2="http://schemas.microsoft.com/office/spreadsheetml/2017/richdata2" ref="A3:L241">
      <sortCondition ref="A2:A151"/>
    </sortState>
  </autoFilter>
  <sortState xmlns:xlrd2="http://schemas.microsoft.com/office/spreadsheetml/2017/richdata2" ref="A3:L16">
    <sortCondition ref="A3:A16"/>
    <sortCondition ref="K3:K16"/>
  </sortState>
  <mergeCells count="1"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138-94D3-47E9-8A0F-268F1680D817}">
  <dimension ref="A3:B174"/>
  <sheetViews>
    <sheetView workbookViewId="0">
      <selection activeCell="D8" sqref="D8"/>
    </sheetView>
  </sheetViews>
  <sheetFormatPr baseColWidth="10" defaultRowHeight="15" x14ac:dyDescent="0.25"/>
  <cols>
    <col min="1" max="1" width="33.28515625" bestFit="1" customWidth="1"/>
    <col min="2" max="2" width="25.42578125" bestFit="1" customWidth="1"/>
  </cols>
  <sheetData>
    <row r="3" spans="1:2" x14ac:dyDescent="0.25">
      <c r="A3" s="34" t="s">
        <v>1521</v>
      </c>
      <c r="B3" t="s">
        <v>1523</v>
      </c>
    </row>
    <row r="4" spans="1:2" x14ac:dyDescent="0.25">
      <c r="A4" s="16">
        <v>1144</v>
      </c>
      <c r="B4" s="35">
        <v>25</v>
      </c>
    </row>
    <row r="5" spans="1:2" x14ac:dyDescent="0.25">
      <c r="A5" s="16">
        <v>7059</v>
      </c>
      <c r="B5" s="35">
        <v>2</v>
      </c>
    </row>
    <row r="6" spans="1:2" x14ac:dyDescent="0.25">
      <c r="A6" s="16">
        <v>15918</v>
      </c>
      <c r="B6" s="35">
        <v>3</v>
      </c>
    </row>
    <row r="7" spans="1:2" x14ac:dyDescent="0.25">
      <c r="A7" s="16">
        <v>16463</v>
      </c>
      <c r="B7" s="35">
        <v>1</v>
      </c>
    </row>
    <row r="8" spans="1:2" x14ac:dyDescent="0.25">
      <c r="A8" s="16">
        <v>18025</v>
      </c>
      <c r="B8" s="35">
        <v>1</v>
      </c>
    </row>
    <row r="9" spans="1:2" x14ac:dyDescent="0.25">
      <c r="A9" s="16">
        <v>21350</v>
      </c>
      <c r="B9" s="35">
        <v>3</v>
      </c>
    </row>
    <row r="10" spans="1:2" x14ac:dyDescent="0.25">
      <c r="A10" s="16">
        <v>21360</v>
      </c>
      <c r="B10" s="35">
        <v>4</v>
      </c>
    </row>
    <row r="11" spans="1:2" x14ac:dyDescent="0.25">
      <c r="A11" s="16">
        <v>23559</v>
      </c>
      <c r="B11" s="35">
        <v>1</v>
      </c>
    </row>
    <row r="12" spans="1:2" x14ac:dyDescent="0.25">
      <c r="A12" s="16">
        <v>27274</v>
      </c>
      <c r="B12" s="35">
        <v>4</v>
      </c>
    </row>
    <row r="13" spans="1:2" x14ac:dyDescent="0.25">
      <c r="A13" s="16">
        <v>86781</v>
      </c>
      <c r="B13" s="35">
        <v>8</v>
      </c>
    </row>
    <row r="14" spans="1:2" x14ac:dyDescent="0.25">
      <c r="A14" s="16">
        <v>128049</v>
      </c>
      <c r="B14" s="35">
        <v>2</v>
      </c>
    </row>
    <row r="15" spans="1:2" x14ac:dyDescent="0.25">
      <c r="A15" s="16">
        <v>210724</v>
      </c>
      <c r="B15" s="35">
        <v>1</v>
      </c>
    </row>
    <row r="16" spans="1:2" x14ac:dyDescent="0.25">
      <c r="A16" s="16">
        <v>210736</v>
      </c>
      <c r="B16" s="35">
        <v>1</v>
      </c>
    </row>
    <row r="17" spans="1:2" x14ac:dyDescent="0.25">
      <c r="A17" s="16">
        <v>328349</v>
      </c>
      <c r="B17" s="35">
        <v>1</v>
      </c>
    </row>
    <row r="18" spans="1:2" x14ac:dyDescent="0.25">
      <c r="A18" s="16">
        <v>691445</v>
      </c>
      <c r="B18" s="35">
        <v>1</v>
      </c>
    </row>
    <row r="19" spans="1:2" x14ac:dyDescent="0.25">
      <c r="A19" s="16">
        <v>691934</v>
      </c>
      <c r="B19" s="35">
        <v>3</v>
      </c>
    </row>
    <row r="20" spans="1:2" x14ac:dyDescent="0.25">
      <c r="A20" s="16">
        <v>3680324</v>
      </c>
      <c r="B20" s="35">
        <v>17</v>
      </c>
    </row>
    <row r="21" spans="1:2" x14ac:dyDescent="0.25">
      <c r="A21" s="16">
        <v>3803478</v>
      </c>
      <c r="B21" s="35">
        <v>4</v>
      </c>
    </row>
    <row r="22" spans="1:2" x14ac:dyDescent="0.25">
      <c r="A22" s="16">
        <v>3803977</v>
      </c>
      <c r="B22" s="35">
        <v>2</v>
      </c>
    </row>
    <row r="23" spans="1:2" x14ac:dyDescent="0.25">
      <c r="A23" s="16">
        <v>4298627</v>
      </c>
      <c r="B23" s="35">
        <v>1</v>
      </c>
    </row>
    <row r="24" spans="1:2" x14ac:dyDescent="0.25">
      <c r="A24" s="16">
        <v>4300204</v>
      </c>
      <c r="B24" s="35">
        <v>3</v>
      </c>
    </row>
    <row r="25" spans="1:2" x14ac:dyDescent="0.25">
      <c r="A25" s="16">
        <v>4300912</v>
      </c>
      <c r="B25" s="35">
        <v>1</v>
      </c>
    </row>
    <row r="26" spans="1:2" x14ac:dyDescent="0.25">
      <c r="A26" s="16">
        <v>4301535</v>
      </c>
      <c r="B26" s="35">
        <v>1</v>
      </c>
    </row>
    <row r="27" spans="1:2" x14ac:dyDescent="0.25">
      <c r="A27" s="16">
        <v>4301795</v>
      </c>
      <c r="B27" s="35">
        <v>1</v>
      </c>
    </row>
    <row r="28" spans="1:2" x14ac:dyDescent="0.25">
      <c r="A28" s="16">
        <v>4301842</v>
      </c>
      <c r="B28" s="35">
        <v>1</v>
      </c>
    </row>
    <row r="29" spans="1:2" x14ac:dyDescent="0.25">
      <c r="A29" s="16">
        <v>4302398</v>
      </c>
      <c r="B29" s="35">
        <v>2</v>
      </c>
    </row>
    <row r="30" spans="1:2" x14ac:dyDescent="0.25">
      <c r="A30" s="16">
        <v>4303124</v>
      </c>
      <c r="B30" s="35">
        <v>2</v>
      </c>
    </row>
    <row r="31" spans="1:2" x14ac:dyDescent="0.25">
      <c r="A31" s="16">
        <v>4303185</v>
      </c>
      <c r="B31" s="35">
        <v>1</v>
      </c>
    </row>
    <row r="32" spans="1:2" x14ac:dyDescent="0.25">
      <c r="A32" s="16">
        <v>4303424</v>
      </c>
      <c r="B32" s="35">
        <v>1</v>
      </c>
    </row>
    <row r="33" spans="1:2" x14ac:dyDescent="0.25">
      <c r="A33" s="16">
        <v>4303428</v>
      </c>
      <c r="B33" s="35">
        <v>2</v>
      </c>
    </row>
    <row r="34" spans="1:2" x14ac:dyDescent="0.25">
      <c r="A34" s="16">
        <v>4303603</v>
      </c>
      <c r="B34" s="35">
        <v>1</v>
      </c>
    </row>
    <row r="35" spans="1:2" x14ac:dyDescent="0.25">
      <c r="A35" s="16">
        <v>4303796</v>
      </c>
      <c r="B35" s="35">
        <v>1</v>
      </c>
    </row>
    <row r="36" spans="1:2" x14ac:dyDescent="0.25">
      <c r="A36" s="16">
        <v>4303825</v>
      </c>
      <c r="B36" s="35">
        <v>2</v>
      </c>
    </row>
    <row r="37" spans="1:2" x14ac:dyDescent="0.25">
      <c r="A37" s="16">
        <v>4304549</v>
      </c>
      <c r="B37" s="35">
        <v>1</v>
      </c>
    </row>
    <row r="38" spans="1:2" x14ac:dyDescent="0.25">
      <c r="A38" s="16">
        <v>4304602</v>
      </c>
      <c r="B38" s="35">
        <v>2</v>
      </c>
    </row>
    <row r="39" spans="1:2" x14ac:dyDescent="0.25">
      <c r="A39" s="16">
        <v>4305294</v>
      </c>
      <c r="B39" s="35">
        <v>1</v>
      </c>
    </row>
    <row r="40" spans="1:2" x14ac:dyDescent="0.25">
      <c r="A40" s="16">
        <v>4309097</v>
      </c>
      <c r="B40" s="35">
        <v>4</v>
      </c>
    </row>
    <row r="41" spans="1:2" x14ac:dyDescent="0.25">
      <c r="A41" s="16">
        <v>4393176</v>
      </c>
      <c r="B41" s="35">
        <v>2</v>
      </c>
    </row>
    <row r="42" spans="1:2" x14ac:dyDescent="0.25">
      <c r="A42" s="16">
        <v>4921475</v>
      </c>
      <c r="B42" s="35">
        <v>1</v>
      </c>
    </row>
    <row r="43" spans="1:2" x14ac:dyDescent="0.25">
      <c r="A43" s="16">
        <v>5406110</v>
      </c>
      <c r="B43" s="35">
        <v>2</v>
      </c>
    </row>
    <row r="44" spans="1:2" x14ac:dyDescent="0.25">
      <c r="A44" s="16">
        <v>5586664</v>
      </c>
      <c r="B44" s="35">
        <v>1</v>
      </c>
    </row>
    <row r="45" spans="1:2" x14ac:dyDescent="0.25">
      <c r="A45" s="16">
        <v>9908404</v>
      </c>
      <c r="B45" s="35">
        <v>1</v>
      </c>
    </row>
    <row r="46" spans="1:2" x14ac:dyDescent="0.25">
      <c r="A46" s="16">
        <v>9908407</v>
      </c>
      <c r="B46" s="35">
        <v>1</v>
      </c>
    </row>
    <row r="47" spans="1:2" x14ac:dyDescent="0.25">
      <c r="A47" s="16">
        <v>9908505</v>
      </c>
      <c r="B47" s="35">
        <v>2</v>
      </c>
    </row>
    <row r="48" spans="1:2" x14ac:dyDescent="0.25">
      <c r="A48" s="16">
        <v>10124501</v>
      </c>
      <c r="B48" s="35">
        <v>1</v>
      </c>
    </row>
    <row r="49" spans="1:2" x14ac:dyDescent="0.25">
      <c r="A49" s="16">
        <v>20005483</v>
      </c>
      <c r="B49" s="35">
        <v>1</v>
      </c>
    </row>
    <row r="50" spans="1:2" x14ac:dyDescent="0.25">
      <c r="A50" s="16" t="s">
        <v>373</v>
      </c>
      <c r="B50" s="35">
        <v>2</v>
      </c>
    </row>
    <row r="51" spans="1:2" x14ac:dyDescent="0.25">
      <c r="A51" s="16" t="s">
        <v>658</v>
      </c>
      <c r="B51" s="35">
        <v>1</v>
      </c>
    </row>
    <row r="52" spans="1:2" x14ac:dyDescent="0.25">
      <c r="A52" s="16" t="s">
        <v>1481</v>
      </c>
      <c r="B52" s="35">
        <v>1</v>
      </c>
    </row>
    <row r="53" spans="1:2" x14ac:dyDescent="0.25">
      <c r="A53" s="16" t="s">
        <v>196</v>
      </c>
      <c r="B53" s="35">
        <v>4</v>
      </c>
    </row>
    <row r="54" spans="1:2" x14ac:dyDescent="0.25">
      <c r="A54" s="16" t="s">
        <v>163</v>
      </c>
      <c r="B54" s="35">
        <v>30</v>
      </c>
    </row>
    <row r="55" spans="1:2" x14ac:dyDescent="0.25">
      <c r="A55" s="16" t="s">
        <v>936</v>
      </c>
      <c r="B55" s="35">
        <v>6</v>
      </c>
    </row>
    <row r="56" spans="1:2" x14ac:dyDescent="0.25">
      <c r="A56" s="16" t="s">
        <v>1397</v>
      </c>
      <c r="B56" s="35">
        <v>24</v>
      </c>
    </row>
    <row r="57" spans="1:2" x14ac:dyDescent="0.25">
      <c r="A57" s="16" t="s">
        <v>1448</v>
      </c>
      <c r="B57" s="35">
        <v>12</v>
      </c>
    </row>
    <row r="58" spans="1:2" x14ac:dyDescent="0.25">
      <c r="A58" s="16" t="s">
        <v>1395</v>
      </c>
      <c r="B58" s="35">
        <v>12</v>
      </c>
    </row>
    <row r="59" spans="1:2" x14ac:dyDescent="0.25">
      <c r="A59" s="16" t="s">
        <v>1464</v>
      </c>
      <c r="B59" s="35">
        <v>2</v>
      </c>
    </row>
    <row r="60" spans="1:2" x14ac:dyDescent="0.25">
      <c r="A60" s="16" t="s">
        <v>1466</v>
      </c>
      <c r="B60" s="35">
        <v>3</v>
      </c>
    </row>
    <row r="61" spans="1:2" x14ac:dyDescent="0.25">
      <c r="A61" s="16" t="s">
        <v>436</v>
      </c>
      <c r="B61" s="35">
        <v>1</v>
      </c>
    </row>
    <row r="62" spans="1:2" x14ac:dyDescent="0.25">
      <c r="A62" s="16" t="s">
        <v>181</v>
      </c>
      <c r="B62" s="35">
        <v>2</v>
      </c>
    </row>
    <row r="63" spans="1:2" x14ac:dyDescent="0.25">
      <c r="A63" s="16" t="s">
        <v>170</v>
      </c>
      <c r="B63" s="35">
        <v>1</v>
      </c>
    </row>
    <row r="64" spans="1:2" x14ac:dyDescent="0.25">
      <c r="A64" s="16" t="s">
        <v>1470</v>
      </c>
      <c r="B64" s="35">
        <v>6</v>
      </c>
    </row>
    <row r="65" spans="1:2" x14ac:dyDescent="0.25">
      <c r="A65" s="16" t="s">
        <v>1401</v>
      </c>
      <c r="B65" s="35">
        <v>1</v>
      </c>
    </row>
    <row r="66" spans="1:2" x14ac:dyDescent="0.25">
      <c r="A66" s="16" t="s">
        <v>1359</v>
      </c>
      <c r="B66" s="35">
        <v>30</v>
      </c>
    </row>
    <row r="67" spans="1:2" x14ac:dyDescent="0.25">
      <c r="A67" s="16" t="s">
        <v>355</v>
      </c>
      <c r="B67" s="35">
        <v>2</v>
      </c>
    </row>
    <row r="68" spans="1:2" x14ac:dyDescent="0.25">
      <c r="A68" s="16" t="s">
        <v>1383</v>
      </c>
      <c r="B68" s="35">
        <v>1</v>
      </c>
    </row>
    <row r="69" spans="1:2" x14ac:dyDescent="0.25">
      <c r="A69" s="16" t="s">
        <v>1389</v>
      </c>
      <c r="B69" s="35">
        <v>24</v>
      </c>
    </row>
    <row r="70" spans="1:2" x14ac:dyDescent="0.25">
      <c r="A70" s="16" t="s">
        <v>1399</v>
      </c>
      <c r="B70" s="35">
        <v>25</v>
      </c>
    </row>
    <row r="71" spans="1:2" x14ac:dyDescent="0.25">
      <c r="A71" s="16" t="s">
        <v>655</v>
      </c>
      <c r="B71" s="35">
        <v>1</v>
      </c>
    </row>
    <row r="72" spans="1:2" x14ac:dyDescent="0.25">
      <c r="A72" s="16" t="s">
        <v>325</v>
      </c>
      <c r="B72" s="35">
        <v>5</v>
      </c>
    </row>
    <row r="73" spans="1:2" x14ac:dyDescent="0.25">
      <c r="A73" s="16" t="s">
        <v>551</v>
      </c>
      <c r="B73" s="35">
        <v>1</v>
      </c>
    </row>
    <row r="74" spans="1:2" x14ac:dyDescent="0.25">
      <c r="A74" s="16" t="s">
        <v>346</v>
      </c>
      <c r="B74" s="35">
        <v>6</v>
      </c>
    </row>
    <row r="75" spans="1:2" x14ac:dyDescent="0.25">
      <c r="A75" s="16" t="s">
        <v>1375</v>
      </c>
      <c r="B75" s="35">
        <v>4</v>
      </c>
    </row>
    <row r="76" spans="1:2" x14ac:dyDescent="0.25">
      <c r="A76" s="16" t="s">
        <v>1387</v>
      </c>
      <c r="B76" s="35">
        <v>6</v>
      </c>
    </row>
    <row r="77" spans="1:2" x14ac:dyDescent="0.25">
      <c r="A77" s="16" t="s">
        <v>1408</v>
      </c>
      <c r="B77" s="35">
        <v>1</v>
      </c>
    </row>
    <row r="78" spans="1:2" x14ac:dyDescent="0.25">
      <c r="A78" s="16" t="s">
        <v>1363</v>
      </c>
      <c r="B78" s="35">
        <v>1</v>
      </c>
    </row>
    <row r="79" spans="1:2" x14ac:dyDescent="0.25">
      <c r="A79" s="16" t="s">
        <v>262</v>
      </c>
      <c r="B79" s="35">
        <v>1</v>
      </c>
    </row>
    <row r="80" spans="1:2" x14ac:dyDescent="0.25">
      <c r="A80" s="16" t="s">
        <v>220</v>
      </c>
      <c r="B80" s="35">
        <v>1</v>
      </c>
    </row>
    <row r="81" spans="1:2" x14ac:dyDescent="0.25">
      <c r="A81" s="16" t="s">
        <v>111</v>
      </c>
      <c r="B81" s="35">
        <v>12</v>
      </c>
    </row>
    <row r="82" spans="1:2" x14ac:dyDescent="0.25">
      <c r="A82" s="16" t="s">
        <v>1504</v>
      </c>
      <c r="B82" s="35">
        <v>1</v>
      </c>
    </row>
    <row r="83" spans="1:2" x14ac:dyDescent="0.25">
      <c r="A83" s="16" t="s">
        <v>977</v>
      </c>
      <c r="B83" s="35">
        <v>1</v>
      </c>
    </row>
    <row r="84" spans="1:2" x14ac:dyDescent="0.25">
      <c r="A84" s="16" t="s">
        <v>917</v>
      </c>
      <c r="B84" s="35">
        <v>2</v>
      </c>
    </row>
    <row r="85" spans="1:2" x14ac:dyDescent="0.25">
      <c r="A85" s="16" t="s">
        <v>1268</v>
      </c>
      <c r="B85" s="35">
        <v>1</v>
      </c>
    </row>
    <row r="86" spans="1:2" x14ac:dyDescent="0.25">
      <c r="A86" s="16" t="s">
        <v>198</v>
      </c>
      <c r="B86" s="35">
        <v>2</v>
      </c>
    </row>
    <row r="87" spans="1:2" x14ac:dyDescent="0.25">
      <c r="A87" s="16" t="s">
        <v>413</v>
      </c>
      <c r="B87" s="35">
        <v>2</v>
      </c>
    </row>
    <row r="88" spans="1:2" x14ac:dyDescent="0.25">
      <c r="A88" s="16" t="s">
        <v>179</v>
      </c>
      <c r="B88" s="35">
        <v>2</v>
      </c>
    </row>
    <row r="89" spans="1:2" x14ac:dyDescent="0.25">
      <c r="A89" s="16" t="s">
        <v>293</v>
      </c>
      <c r="B89" s="35">
        <v>2</v>
      </c>
    </row>
    <row r="90" spans="1:2" x14ac:dyDescent="0.25">
      <c r="A90" s="16" t="s">
        <v>338</v>
      </c>
      <c r="B90" s="35">
        <v>4</v>
      </c>
    </row>
    <row r="91" spans="1:2" x14ac:dyDescent="0.25">
      <c r="A91" s="16" t="s">
        <v>878</v>
      </c>
      <c r="B91" s="35">
        <v>1</v>
      </c>
    </row>
    <row r="92" spans="1:2" x14ac:dyDescent="0.25">
      <c r="A92" s="16" t="s">
        <v>1440</v>
      </c>
      <c r="B92" s="35">
        <v>12</v>
      </c>
    </row>
    <row r="93" spans="1:2" x14ac:dyDescent="0.25">
      <c r="A93" s="16" t="s">
        <v>1035</v>
      </c>
      <c r="B93" s="35">
        <v>1</v>
      </c>
    </row>
    <row r="94" spans="1:2" x14ac:dyDescent="0.25">
      <c r="A94" s="16" t="s">
        <v>1510</v>
      </c>
      <c r="B94" s="35">
        <v>20</v>
      </c>
    </row>
    <row r="95" spans="1:2" x14ac:dyDescent="0.25">
      <c r="A95" s="16" t="s">
        <v>1512</v>
      </c>
      <c r="B95" s="35">
        <v>20</v>
      </c>
    </row>
    <row r="96" spans="1:2" x14ac:dyDescent="0.25">
      <c r="A96" s="16" t="s">
        <v>1016</v>
      </c>
      <c r="B96" s="35">
        <v>1</v>
      </c>
    </row>
    <row r="97" spans="1:2" x14ac:dyDescent="0.25">
      <c r="A97" s="16" t="s">
        <v>321</v>
      </c>
      <c r="B97" s="35">
        <v>2</v>
      </c>
    </row>
    <row r="98" spans="1:2" x14ac:dyDescent="0.25">
      <c r="A98" s="16" t="s">
        <v>1478</v>
      </c>
      <c r="B98" s="35">
        <v>1</v>
      </c>
    </row>
    <row r="99" spans="1:2" x14ac:dyDescent="0.25">
      <c r="A99" s="16" t="s">
        <v>282</v>
      </c>
      <c r="B99" s="35">
        <v>2</v>
      </c>
    </row>
    <row r="100" spans="1:2" x14ac:dyDescent="0.25">
      <c r="A100" s="16" t="s">
        <v>1420</v>
      </c>
      <c r="B100" s="35">
        <v>10</v>
      </c>
    </row>
    <row r="101" spans="1:2" x14ac:dyDescent="0.25">
      <c r="A101" s="16" t="s">
        <v>1444</v>
      </c>
      <c r="B101" s="35">
        <v>6</v>
      </c>
    </row>
    <row r="102" spans="1:2" x14ac:dyDescent="0.25">
      <c r="A102" s="16" t="s">
        <v>1355</v>
      </c>
      <c r="B102" s="35">
        <v>10</v>
      </c>
    </row>
    <row r="103" spans="1:2" x14ac:dyDescent="0.25">
      <c r="A103" s="16" t="s">
        <v>1278</v>
      </c>
      <c r="B103" s="35">
        <v>10</v>
      </c>
    </row>
    <row r="104" spans="1:2" x14ac:dyDescent="0.25">
      <c r="A104" s="16" t="s">
        <v>713</v>
      </c>
      <c r="B104" s="35">
        <v>2</v>
      </c>
    </row>
    <row r="105" spans="1:2" x14ac:dyDescent="0.25">
      <c r="A105" s="16" t="s">
        <v>1280</v>
      </c>
      <c r="B105" s="35">
        <v>5</v>
      </c>
    </row>
    <row r="106" spans="1:2" x14ac:dyDescent="0.25">
      <c r="A106" s="16" t="s">
        <v>1438</v>
      </c>
      <c r="B106" s="35">
        <v>20</v>
      </c>
    </row>
    <row r="107" spans="1:2" x14ac:dyDescent="0.25">
      <c r="A107" s="16" t="s">
        <v>496</v>
      </c>
      <c r="B107" s="35">
        <v>1</v>
      </c>
    </row>
    <row r="108" spans="1:2" x14ac:dyDescent="0.25">
      <c r="A108" s="16" t="s">
        <v>192</v>
      </c>
      <c r="B108" s="35">
        <v>1</v>
      </c>
    </row>
    <row r="109" spans="1:2" x14ac:dyDescent="0.25">
      <c r="A109" s="16" t="s">
        <v>1117</v>
      </c>
      <c r="B109" s="35">
        <v>2</v>
      </c>
    </row>
    <row r="110" spans="1:2" x14ac:dyDescent="0.25">
      <c r="A110" s="16" t="s">
        <v>548</v>
      </c>
      <c r="B110" s="35">
        <v>1</v>
      </c>
    </row>
    <row r="111" spans="1:2" x14ac:dyDescent="0.25">
      <c r="A111" s="16" t="s">
        <v>1361</v>
      </c>
      <c r="B111" s="35">
        <v>15</v>
      </c>
    </row>
    <row r="112" spans="1:2" x14ac:dyDescent="0.25">
      <c r="A112" s="16" t="s">
        <v>1493</v>
      </c>
      <c r="B112" s="35">
        <v>2</v>
      </c>
    </row>
    <row r="113" spans="1:2" x14ac:dyDescent="0.25">
      <c r="A113" s="16" t="s">
        <v>1393</v>
      </c>
      <c r="B113" s="35">
        <v>6</v>
      </c>
    </row>
    <row r="114" spans="1:2" x14ac:dyDescent="0.25">
      <c r="A114" s="16" t="s">
        <v>43</v>
      </c>
      <c r="B114" s="35">
        <v>4</v>
      </c>
    </row>
    <row r="115" spans="1:2" x14ac:dyDescent="0.25">
      <c r="A115" s="16" t="s">
        <v>1381</v>
      </c>
      <c r="B115" s="35">
        <v>4</v>
      </c>
    </row>
    <row r="116" spans="1:2" x14ac:dyDescent="0.25">
      <c r="A116" s="16" t="s">
        <v>1376</v>
      </c>
      <c r="B116" s="35">
        <v>3</v>
      </c>
    </row>
    <row r="117" spans="1:2" x14ac:dyDescent="0.25">
      <c r="A117" s="16" t="s">
        <v>1407</v>
      </c>
      <c r="B117" s="35">
        <v>1</v>
      </c>
    </row>
    <row r="118" spans="1:2" x14ac:dyDescent="0.25">
      <c r="A118" s="16" t="s">
        <v>1349</v>
      </c>
      <c r="B118" s="35">
        <v>2</v>
      </c>
    </row>
    <row r="119" spans="1:2" x14ac:dyDescent="0.25">
      <c r="A119" s="16" t="s">
        <v>1496</v>
      </c>
      <c r="B119" s="35">
        <v>1</v>
      </c>
    </row>
    <row r="120" spans="1:2" x14ac:dyDescent="0.25">
      <c r="A120" s="16" t="s">
        <v>1491</v>
      </c>
      <c r="B120" s="35">
        <v>1</v>
      </c>
    </row>
    <row r="121" spans="1:2" x14ac:dyDescent="0.25">
      <c r="A121" s="16" t="s">
        <v>1385</v>
      </c>
      <c r="B121" s="35">
        <v>6</v>
      </c>
    </row>
    <row r="122" spans="1:2" x14ac:dyDescent="0.25">
      <c r="A122" s="16" t="s">
        <v>524</v>
      </c>
      <c r="B122" s="35">
        <v>4</v>
      </c>
    </row>
    <row r="123" spans="1:2" x14ac:dyDescent="0.25">
      <c r="A123" s="16" t="s">
        <v>1413</v>
      </c>
      <c r="B123" s="35">
        <v>3</v>
      </c>
    </row>
    <row r="124" spans="1:2" x14ac:dyDescent="0.25">
      <c r="A124" s="16" t="s">
        <v>1459</v>
      </c>
      <c r="B124" s="35">
        <v>2</v>
      </c>
    </row>
    <row r="125" spans="1:2" x14ac:dyDescent="0.25">
      <c r="A125" s="16" t="s">
        <v>1472</v>
      </c>
      <c r="B125" s="35">
        <v>1</v>
      </c>
    </row>
    <row r="126" spans="1:2" x14ac:dyDescent="0.25">
      <c r="A126" s="16" t="s">
        <v>1474</v>
      </c>
      <c r="B126" s="35">
        <v>1</v>
      </c>
    </row>
    <row r="127" spans="1:2" x14ac:dyDescent="0.25">
      <c r="A127" s="16" t="s">
        <v>1210</v>
      </c>
      <c r="B127" s="35">
        <v>1</v>
      </c>
    </row>
    <row r="128" spans="1:2" x14ac:dyDescent="0.25">
      <c r="A128" s="16" t="s">
        <v>1405</v>
      </c>
      <c r="B128" s="35">
        <v>3</v>
      </c>
    </row>
    <row r="129" spans="1:2" x14ac:dyDescent="0.25">
      <c r="A129" s="16" t="s">
        <v>1131</v>
      </c>
      <c r="B129" s="35">
        <v>1</v>
      </c>
    </row>
    <row r="130" spans="1:2" x14ac:dyDescent="0.25">
      <c r="A130" s="16" t="s">
        <v>1257</v>
      </c>
      <c r="B130" s="35">
        <v>1</v>
      </c>
    </row>
    <row r="131" spans="1:2" x14ac:dyDescent="0.25">
      <c r="A131" s="16" t="s">
        <v>1365</v>
      </c>
      <c r="B131" s="35">
        <v>4</v>
      </c>
    </row>
    <row r="132" spans="1:2" x14ac:dyDescent="0.25">
      <c r="A132" s="16" t="s">
        <v>140</v>
      </c>
      <c r="B132" s="35">
        <v>4</v>
      </c>
    </row>
    <row r="133" spans="1:2" x14ac:dyDescent="0.25">
      <c r="A133" s="16" t="s">
        <v>66</v>
      </c>
      <c r="B133" s="35">
        <v>1</v>
      </c>
    </row>
    <row r="134" spans="1:2" x14ac:dyDescent="0.25">
      <c r="A134" s="16" t="s">
        <v>1498</v>
      </c>
      <c r="B134" s="35">
        <v>1</v>
      </c>
    </row>
    <row r="135" spans="1:2" x14ac:dyDescent="0.25">
      <c r="A135" s="16" t="s">
        <v>235</v>
      </c>
      <c r="B135" s="35">
        <v>1</v>
      </c>
    </row>
    <row r="136" spans="1:2" x14ac:dyDescent="0.25">
      <c r="A136" s="16" t="s">
        <v>309</v>
      </c>
      <c r="B136" s="35">
        <v>1</v>
      </c>
    </row>
    <row r="137" spans="1:2" x14ac:dyDescent="0.25">
      <c r="A137" s="16" t="s">
        <v>251</v>
      </c>
      <c r="B137" s="35">
        <v>2</v>
      </c>
    </row>
    <row r="138" spans="1:2" x14ac:dyDescent="0.25">
      <c r="A138" s="16" t="s">
        <v>415</v>
      </c>
      <c r="B138" s="35">
        <v>1</v>
      </c>
    </row>
    <row r="139" spans="1:2" x14ac:dyDescent="0.25">
      <c r="A139" s="16" t="s">
        <v>188</v>
      </c>
      <c r="B139" s="35">
        <v>10</v>
      </c>
    </row>
    <row r="140" spans="1:2" x14ac:dyDescent="0.25">
      <c r="A140" s="16" t="s">
        <v>1502</v>
      </c>
      <c r="B140" s="35">
        <v>1</v>
      </c>
    </row>
    <row r="141" spans="1:2" x14ac:dyDescent="0.25">
      <c r="A141" s="16" t="s">
        <v>659</v>
      </c>
      <c r="B141" s="35">
        <v>6</v>
      </c>
    </row>
    <row r="142" spans="1:2" x14ac:dyDescent="0.25">
      <c r="A142" s="16" t="s">
        <v>305</v>
      </c>
      <c r="B142" s="35">
        <v>3</v>
      </c>
    </row>
    <row r="143" spans="1:2" x14ac:dyDescent="0.25">
      <c r="A143" s="16" t="s">
        <v>1506</v>
      </c>
      <c r="B143" s="35">
        <v>1</v>
      </c>
    </row>
    <row r="144" spans="1:2" x14ac:dyDescent="0.25">
      <c r="A144" s="16" t="s">
        <v>1508</v>
      </c>
      <c r="B144" s="35">
        <v>1</v>
      </c>
    </row>
    <row r="145" spans="1:2" x14ac:dyDescent="0.25">
      <c r="A145" s="16" t="s">
        <v>1486</v>
      </c>
      <c r="B145" s="35">
        <v>1</v>
      </c>
    </row>
    <row r="146" spans="1:2" x14ac:dyDescent="0.25">
      <c r="A146" s="16" t="s">
        <v>1378</v>
      </c>
      <c r="B146" s="35">
        <v>1</v>
      </c>
    </row>
    <row r="147" spans="1:2" x14ac:dyDescent="0.25">
      <c r="A147" s="16" t="s">
        <v>1433</v>
      </c>
      <c r="B147" s="35">
        <v>3</v>
      </c>
    </row>
    <row r="148" spans="1:2" x14ac:dyDescent="0.25">
      <c r="A148" s="16" t="s">
        <v>1483</v>
      </c>
      <c r="B148" s="35">
        <v>2</v>
      </c>
    </row>
    <row r="149" spans="1:2" x14ac:dyDescent="0.25">
      <c r="A149" s="16" t="s">
        <v>1488</v>
      </c>
      <c r="B149" s="35">
        <v>1</v>
      </c>
    </row>
    <row r="150" spans="1:2" x14ac:dyDescent="0.25">
      <c r="A150" s="16" t="s">
        <v>1500</v>
      </c>
      <c r="B150" s="35">
        <v>1</v>
      </c>
    </row>
    <row r="151" spans="1:2" x14ac:dyDescent="0.25">
      <c r="A151" s="16" t="s">
        <v>1411</v>
      </c>
      <c r="B151" s="35">
        <v>1</v>
      </c>
    </row>
    <row r="152" spans="1:2" x14ac:dyDescent="0.25">
      <c r="A152" s="16" t="s">
        <v>1518</v>
      </c>
      <c r="B152" s="35">
        <v>1</v>
      </c>
    </row>
    <row r="153" spans="1:2" x14ac:dyDescent="0.25">
      <c r="A153" s="16" t="s">
        <v>1391</v>
      </c>
      <c r="B153" s="35">
        <v>6</v>
      </c>
    </row>
    <row r="154" spans="1:2" x14ac:dyDescent="0.25">
      <c r="A154" s="16" t="s">
        <v>397</v>
      </c>
      <c r="B154" s="35">
        <v>1</v>
      </c>
    </row>
    <row r="155" spans="1:2" x14ac:dyDescent="0.25">
      <c r="A155" s="16" t="s">
        <v>1514</v>
      </c>
      <c r="B155" s="35">
        <v>12</v>
      </c>
    </row>
    <row r="156" spans="1:2" x14ac:dyDescent="0.25">
      <c r="A156" s="16" t="s">
        <v>1147</v>
      </c>
      <c r="B156" s="35">
        <v>2</v>
      </c>
    </row>
    <row r="157" spans="1:2" x14ac:dyDescent="0.25">
      <c r="A157" s="16" t="s">
        <v>1461</v>
      </c>
      <c r="B157" s="35">
        <v>1</v>
      </c>
    </row>
    <row r="158" spans="1:2" x14ac:dyDescent="0.25">
      <c r="A158" s="16" t="s">
        <v>92</v>
      </c>
      <c r="B158" s="35">
        <v>1</v>
      </c>
    </row>
    <row r="159" spans="1:2" x14ac:dyDescent="0.25">
      <c r="A159" s="16" t="s">
        <v>472</v>
      </c>
      <c r="B159" s="35">
        <v>4</v>
      </c>
    </row>
    <row r="160" spans="1:2" x14ac:dyDescent="0.25">
      <c r="A160" s="16" t="s">
        <v>519</v>
      </c>
      <c r="B160" s="35">
        <v>1</v>
      </c>
    </row>
    <row r="161" spans="1:2" x14ac:dyDescent="0.25">
      <c r="A161" s="16" t="s">
        <v>1138</v>
      </c>
      <c r="B161" s="35">
        <v>1</v>
      </c>
    </row>
    <row r="162" spans="1:2" x14ac:dyDescent="0.25">
      <c r="A162" s="16" t="s">
        <v>247</v>
      </c>
      <c r="B162" s="35">
        <v>24</v>
      </c>
    </row>
    <row r="163" spans="1:2" x14ac:dyDescent="0.25">
      <c r="A163" s="16" t="s">
        <v>872</v>
      </c>
      <c r="B163" s="35">
        <v>1</v>
      </c>
    </row>
    <row r="164" spans="1:2" x14ac:dyDescent="0.25">
      <c r="A164" s="16" t="s">
        <v>1452</v>
      </c>
      <c r="B164" s="35">
        <v>2</v>
      </c>
    </row>
    <row r="165" spans="1:2" x14ac:dyDescent="0.25">
      <c r="A165" s="16" t="s">
        <v>1435</v>
      </c>
      <c r="B165" s="35">
        <v>1</v>
      </c>
    </row>
    <row r="166" spans="1:2" x14ac:dyDescent="0.25">
      <c r="A166" s="16" t="s">
        <v>1450</v>
      </c>
      <c r="B166" s="35">
        <v>2</v>
      </c>
    </row>
    <row r="167" spans="1:2" x14ac:dyDescent="0.25">
      <c r="A167" s="16" t="s">
        <v>735</v>
      </c>
      <c r="B167" s="35">
        <v>3</v>
      </c>
    </row>
    <row r="168" spans="1:2" x14ac:dyDescent="0.25">
      <c r="A168" s="16" t="s">
        <v>514</v>
      </c>
      <c r="B168" s="35">
        <v>3</v>
      </c>
    </row>
    <row r="169" spans="1:2" x14ac:dyDescent="0.25">
      <c r="A169" s="16" t="s">
        <v>237</v>
      </c>
      <c r="B169" s="35">
        <v>5</v>
      </c>
    </row>
    <row r="170" spans="1:2" x14ac:dyDescent="0.25">
      <c r="A170" s="16" t="s">
        <v>919</v>
      </c>
      <c r="B170" s="35">
        <v>1</v>
      </c>
    </row>
    <row r="171" spans="1:2" x14ac:dyDescent="0.25">
      <c r="A171" s="16" t="s">
        <v>1415</v>
      </c>
      <c r="B171" s="35">
        <v>4</v>
      </c>
    </row>
    <row r="172" spans="1:2" x14ac:dyDescent="0.25">
      <c r="A172" s="16" t="s">
        <v>1446</v>
      </c>
      <c r="B172" s="35">
        <v>4</v>
      </c>
    </row>
    <row r="173" spans="1:2" x14ac:dyDescent="0.25">
      <c r="A173" s="16" t="s">
        <v>1373</v>
      </c>
      <c r="B173" s="35">
        <v>1</v>
      </c>
    </row>
    <row r="174" spans="1:2" x14ac:dyDescent="0.25">
      <c r="A174" s="16" t="s">
        <v>1522</v>
      </c>
      <c r="B174" s="35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439B-6E98-4E85-A2E3-1F09841844D4}">
  <dimension ref="A1:O1630"/>
  <sheetViews>
    <sheetView zoomScale="90" zoomScaleNormal="90" workbookViewId="0">
      <pane xSplit="5" ySplit="2" topLeftCell="F1593" activePane="bottomRight" state="frozen"/>
      <selection pane="topRight" activeCell="D1" sqref="D1"/>
      <selection pane="bottomLeft" activeCell="A3" sqref="A3"/>
      <selection pane="bottomRight" activeCell="A2" sqref="A2:L1630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3" t="s">
        <v>0</v>
      </c>
      <c r="H1" s="33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64" si="0">+YEAR(B3)</f>
        <v>2019</v>
      </c>
      <c r="B3" s="18" t="s">
        <v>749</v>
      </c>
      <c r="C3" s="18" t="s">
        <v>595</v>
      </c>
      <c r="D3" s="12">
        <v>2359</v>
      </c>
      <c r="E3" s="17" t="s">
        <v>21</v>
      </c>
      <c r="F3" s="12" t="s">
        <v>22</v>
      </c>
      <c r="G3" s="14">
        <v>1</v>
      </c>
      <c r="H3" s="24">
        <v>70000</v>
      </c>
      <c r="I3" s="12" t="s">
        <v>631</v>
      </c>
      <c r="J3" s="6" t="s">
        <v>609</v>
      </c>
      <c r="K3" s="6">
        <f t="shared" ref="K3:K64" si="1">+MONTH(B3)</f>
        <v>11</v>
      </c>
      <c r="L3" s="6" t="str">
        <f t="shared" ref="L3:L66" si="2">VLOOKUP(K3,N:O,2,0)</f>
        <v>NOVIEMBRE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2019</v>
      </c>
      <c r="B4" s="18" t="s">
        <v>749</v>
      </c>
      <c r="C4" s="18" t="s">
        <v>595</v>
      </c>
      <c r="D4" s="12">
        <v>2359</v>
      </c>
      <c r="E4" s="17" t="s">
        <v>23</v>
      </c>
      <c r="F4" s="12" t="s">
        <v>24</v>
      </c>
      <c r="G4" s="14">
        <v>1</v>
      </c>
      <c r="H4" s="24">
        <v>127000</v>
      </c>
      <c r="I4" s="12" t="s">
        <v>631</v>
      </c>
      <c r="J4" s="6" t="s">
        <v>609</v>
      </c>
      <c r="K4" s="6">
        <f t="shared" si="1"/>
        <v>11</v>
      </c>
      <c r="L4" s="6" t="str">
        <f t="shared" si="2"/>
        <v>NOVIEMBRE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si="0"/>
        <v>2019</v>
      </c>
      <c r="B5" s="18" t="s">
        <v>749</v>
      </c>
      <c r="C5" s="18" t="s">
        <v>595</v>
      </c>
      <c r="D5" s="12">
        <v>2359</v>
      </c>
      <c r="E5" s="17" t="s">
        <v>616</v>
      </c>
      <c r="F5" s="12" t="s">
        <v>618</v>
      </c>
      <c r="G5" s="14">
        <v>1</v>
      </c>
      <c r="H5" s="24">
        <v>144000</v>
      </c>
      <c r="I5" s="12" t="s">
        <v>631</v>
      </c>
      <c r="J5" s="6" t="s">
        <v>609</v>
      </c>
      <c r="K5" s="6">
        <f t="shared" si="1"/>
        <v>11</v>
      </c>
      <c r="L5" s="6" t="str">
        <f t="shared" si="2"/>
        <v>NOVIEMBRE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0"/>
        <v>2019</v>
      </c>
      <c r="B6" s="18" t="s">
        <v>844</v>
      </c>
      <c r="C6" s="18" t="s">
        <v>595</v>
      </c>
      <c r="D6" s="12">
        <v>2446</v>
      </c>
      <c r="E6" s="17">
        <v>4303124</v>
      </c>
      <c r="F6" s="12" t="s">
        <v>25</v>
      </c>
      <c r="G6" s="14">
        <v>2</v>
      </c>
      <c r="H6" s="24">
        <v>23500</v>
      </c>
      <c r="I6" s="12" t="s">
        <v>637</v>
      </c>
      <c r="J6" s="6" t="s">
        <v>615</v>
      </c>
      <c r="K6" s="6">
        <f t="shared" si="1"/>
        <v>12</v>
      </c>
      <c r="L6" s="6" t="str">
        <f t="shared" si="2"/>
        <v>DICIEMBRE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0"/>
        <v>2019</v>
      </c>
      <c r="B7" s="18" t="s">
        <v>844</v>
      </c>
      <c r="C7" s="18" t="s">
        <v>595</v>
      </c>
      <c r="D7" s="12">
        <v>2442</v>
      </c>
      <c r="E7" s="17" t="s">
        <v>617</v>
      </c>
      <c r="F7" s="12" t="s">
        <v>619</v>
      </c>
      <c r="G7" s="14">
        <v>1</v>
      </c>
      <c r="H7" s="24">
        <v>180000</v>
      </c>
      <c r="I7" s="12" t="s">
        <v>637</v>
      </c>
      <c r="J7" s="6" t="s">
        <v>615</v>
      </c>
      <c r="K7" s="6">
        <f t="shared" si="1"/>
        <v>12</v>
      </c>
      <c r="L7" s="6" t="str">
        <f t="shared" si="2"/>
        <v>DICIEMBRE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0"/>
        <v>2020</v>
      </c>
      <c r="B8" s="18" t="s">
        <v>752</v>
      </c>
      <c r="C8" s="18" t="s">
        <v>595</v>
      </c>
      <c r="D8" s="12">
        <v>2530</v>
      </c>
      <c r="E8" s="17" t="s">
        <v>26</v>
      </c>
      <c r="F8" s="12" t="s">
        <v>585</v>
      </c>
      <c r="G8" s="14">
        <v>2</v>
      </c>
      <c r="H8" s="24">
        <v>224200</v>
      </c>
      <c r="I8" s="12" t="s">
        <v>637</v>
      </c>
      <c r="J8" s="6" t="s">
        <v>615</v>
      </c>
      <c r="K8" s="6">
        <f t="shared" si="1"/>
        <v>1</v>
      </c>
      <c r="L8" s="6" t="str">
        <f t="shared" si="2"/>
        <v>ENERO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0"/>
        <v>2020</v>
      </c>
      <c r="B9" s="18" t="s">
        <v>842</v>
      </c>
      <c r="C9" s="18" t="s">
        <v>595</v>
      </c>
      <c r="D9" s="12">
        <v>2867</v>
      </c>
      <c r="E9" s="17" t="s">
        <v>33</v>
      </c>
      <c r="F9" s="12" t="s">
        <v>34</v>
      </c>
      <c r="G9" s="14">
        <v>1</v>
      </c>
      <c r="H9" s="24">
        <v>2200000</v>
      </c>
      <c r="I9" s="12" t="s">
        <v>638</v>
      </c>
      <c r="J9" s="6" t="s">
        <v>608</v>
      </c>
      <c r="K9" s="6">
        <f t="shared" si="1"/>
        <v>9</v>
      </c>
      <c r="L9" s="6" t="str">
        <f t="shared" si="2"/>
        <v>SEPTIEMBRE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si="0"/>
        <v>2020</v>
      </c>
      <c r="B10" s="18" t="s">
        <v>756</v>
      </c>
      <c r="C10" s="18" t="s">
        <v>595</v>
      </c>
      <c r="D10" s="12">
        <v>2557</v>
      </c>
      <c r="E10" s="17">
        <v>7059</v>
      </c>
      <c r="F10" s="12" t="s">
        <v>27</v>
      </c>
      <c r="G10" s="14">
        <v>1</v>
      </c>
      <c r="H10" s="24">
        <v>130000</v>
      </c>
      <c r="I10" s="12" t="s">
        <v>637</v>
      </c>
      <c r="J10" s="6" t="s">
        <v>615</v>
      </c>
      <c r="K10" s="6">
        <f t="shared" si="1"/>
        <v>2</v>
      </c>
      <c r="L10" s="6" t="str">
        <f t="shared" si="2"/>
        <v>FEBRERO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0"/>
        <v>2020</v>
      </c>
      <c r="B11" s="18" t="s">
        <v>761</v>
      </c>
      <c r="C11" s="18" t="s">
        <v>595</v>
      </c>
      <c r="D11" s="12">
        <v>2564</v>
      </c>
      <c r="E11" s="17" t="s">
        <v>26</v>
      </c>
      <c r="F11" s="12" t="s">
        <v>585</v>
      </c>
      <c r="G11" s="14">
        <v>1</v>
      </c>
      <c r="H11" s="24">
        <v>112100</v>
      </c>
      <c r="I11" s="12" t="s">
        <v>637</v>
      </c>
      <c r="J11" s="6" t="s">
        <v>615</v>
      </c>
      <c r="K11" s="6">
        <f t="shared" si="1"/>
        <v>2</v>
      </c>
      <c r="L11" s="6" t="str">
        <f t="shared" si="2"/>
        <v>FEBRERO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0"/>
        <v>2020</v>
      </c>
      <c r="B12" s="18" t="s">
        <v>748</v>
      </c>
      <c r="C12" s="18" t="s">
        <v>595</v>
      </c>
      <c r="D12" s="12">
        <v>2733</v>
      </c>
      <c r="E12" s="17" t="s">
        <v>31</v>
      </c>
      <c r="F12" s="12" t="s">
        <v>32</v>
      </c>
      <c r="G12" s="14">
        <v>2</v>
      </c>
      <c r="H12" s="24">
        <v>83600</v>
      </c>
      <c r="I12" s="12" t="s">
        <v>633</v>
      </c>
      <c r="J12" s="6" t="s">
        <v>612</v>
      </c>
      <c r="K12" s="6">
        <f t="shared" si="1"/>
        <v>6</v>
      </c>
      <c r="L12" s="6" t="str">
        <f t="shared" si="2"/>
        <v>JUNIO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0"/>
        <v>2021</v>
      </c>
      <c r="B13" s="18" t="s">
        <v>841</v>
      </c>
      <c r="C13" s="18" t="s">
        <v>595</v>
      </c>
      <c r="D13" s="12">
        <v>3510</v>
      </c>
      <c r="E13" s="17" t="s">
        <v>58</v>
      </c>
      <c r="F13" s="12" t="s">
        <v>59</v>
      </c>
      <c r="G13" s="14">
        <v>1</v>
      </c>
      <c r="H13" s="24">
        <v>190000</v>
      </c>
      <c r="I13" s="12" t="s">
        <v>634</v>
      </c>
      <c r="J13" s="6" t="s">
        <v>614</v>
      </c>
      <c r="K13" s="6">
        <f t="shared" si="1"/>
        <v>9</v>
      </c>
      <c r="L13" s="6" t="str">
        <f t="shared" si="2"/>
        <v>SEPTIEMBRE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0"/>
        <v>2021</v>
      </c>
      <c r="B14" s="18" t="s">
        <v>847</v>
      </c>
      <c r="C14" s="18" t="s">
        <v>595</v>
      </c>
      <c r="D14" s="12">
        <v>3123</v>
      </c>
      <c r="E14" s="17" t="s">
        <v>39</v>
      </c>
      <c r="F14" s="12" t="s">
        <v>40</v>
      </c>
      <c r="G14" s="14">
        <v>1</v>
      </c>
      <c r="H14" s="24">
        <v>179400</v>
      </c>
      <c r="I14" s="12" t="s">
        <v>631</v>
      </c>
      <c r="J14" s="6" t="s">
        <v>609</v>
      </c>
      <c r="K14" s="6">
        <f t="shared" si="1"/>
        <v>2</v>
      </c>
      <c r="L14" s="6" t="str">
        <f t="shared" si="2"/>
        <v>FEBRERO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0"/>
        <v>2021</v>
      </c>
      <c r="B15" s="18" t="s">
        <v>763</v>
      </c>
      <c r="C15" s="18" t="s">
        <v>595</v>
      </c>
      <c r="D15" s="12">
        <v>3574</v>
      </c>
      <c r="E15" s="17" t="s">
        <v>62</v>
      </c>
      <c r="F15" s="12" t="s">
        <v>63</v>
      </c>
      <c r="G15" s="14">
        <v>1</v>
      </c>
      <c r="H15" s="24">
        <v>88100</v>
      </c>
      <c r="I15" s="12" t="s">
        <v>712</v>
      </c>
      <c r="J15" s="6" t="s">
        <v>608</v>
      </c>
      <c r="K15" s="6">
        <f t="shared" si="1"/>
        <v>10</v>
      </c>
      <c r="L15" s="6" t="str">
        <f t="shared" si="2"/>
        <v>OCTUBRE</v>
      </c>
      <c r="M15" s="3"/>
    </row>
    <row r="16" spans="1:15" s="1" customFormat="1" x14ac:dyDescent="0.25">
      <c r="A16" s="5">
        <f t="shared" si="0"/>
        <v>2021</v>
      </c>
      <c r="B16" s="18" t="s">
        <v>855</v>
      </c>
      <c r="C16" s="18" t="s">
        <v>595</v>
      </c>
      <c r="D16" s="12">
        <v>3391</v>
      </c>
      <c r="E16" s="17" t="s">
        <v>51</v>
      </c>
      <c r="F16" s="12" t="s">
        <v>52</v>
      </c>
      <c r="G16" s="14">
        <v>4</v>
      </c>
      <c r="H16" s="24">
        <v>37200</v>
      </c>
      <c r="I16" s="12" t="s">
        <v>631</v>
      </c>
      <c r="J16" s="6" t="s">
        <v>609</v>
      </c>
      <c r="K16" s="6">
        <f t="shared" si="1"/>
        <v>7</v>
      </c>
      <c r="L16" s="6" t="str">
        <f t="shared" si="2"/>
        <v>JULIO</v>
      </c>
      <c r="M16" s="3"/>
    </row>
    <row r="17" spans="1:14" s="1" customFormat="1" x14ac:dyDescent="0.25">
      <c r="A17" s="5">
        <f t="shared" si="0"/>
        <v>2021</v>
      </c>
      <c r="B17" s="18" t="s">
        <v>855</v>
      </c>
      <c r="C17" s="18" t="s">
        <v>595</v>
      </c>
      <c r="D17" s="12">
        <v>3391</v>
      </c>
      <c r="E17" s="17" t="s">
        <v>37</v>
      </c>
      <c r="F17" s="12" t="s">
        <v>38</v>
      </c>
      <c r="G17" s="14">
        <v>1</v>
      </c>
      <c r="H17" s="24">
        <v>240000</v>
      </c>
      <c r="I17" s="12" t="s">
        <v>631</v>
      </c>
      <c r="J17" s="6" t="s">
        <v>609</v>
      </c>
      <c r="K17" s="6">
        <f t="shared" si="1"/>
        <v>7</v>
      </c>
      <c r="L17" s="6" t="str">
        <f t="shared" si="2"/>
        <v>JULIO</v>
      </c>
      <c r="M17" s="3"/>
    </row>
    <row r="18" spans="1:14" s="1" customFormat="1" x14ac:dyDescent="0.25">
      <c r="A18" s="5">
        <f t="shared" si="0"/>
        <v>2021</v>
      </c>
      <c r="B18" s="18" t="s">
        <v>839</v>
      </c>
      <c r="C18" s="18" t="s">
        <v>595</v>
      </c>
      <c r="D18" s="12">
        <v>3341</v>
      </c>
      <c r="E18" s="17" t="s">
        <v>47</v>
      </c>
      <c r="F18" s="12" t="s">
        <v>48</v>
      </c>
      <c r="G18" s="14">
        <v>1</v>
      </c>
      <c r="H18" s="24">
        <v>256120</v>
      </c>
      <c r="I18" s="12" t="s">
        <v>633</v>
      </c>
      <c r="J18" s="6" t="s">
        <v>612</v>
      </c>
      <c r="K18" s="6">
        <f t="shared" si="1"/>
        <v>6</v>
      </c>
      <c r="L18" s="6" t="str">
        <f t="shared" si="2"/>
        <v>JUNIO</v>
      </c>
      <c r="M18" s="3"/>
    </row>
    <row r="19" spans="1:14" s="1" customFormat="1" x14ac:dyDescent="0.25">
      <c r="A19" s="5">
        <f t="shared" si="0"/>
        <v>2021</v>
      </c>
      <c r="B19" s="18" t="s">
        <v>841</v>
      </c>
      <c r="C19" s="18" t="s">
        <v>595</v>
      </c>
      <c r="D19" s="12">
        <v>3507</v>
      </c>
      <c r="E19" s="17" t="s">
        <v>54</v>
      </c>
      <c r="F19" s="12" t="s">
        <v>55</v>
      </c>
      <c r="G19" s="14">
        <v>1</v>
      </c>
      <c r="H19" s="24">
        <v>111000</v>
      </c>
      <c r="I19" s="12" t="s">
        <v>634</v>
      </c>
      <c r="J19" s="6" t="s">
        <v>614</v>
      </c>
      <c r="K19" s="6">
        <f t="shared" si="1"/>
        <v>9</v>
      </c>
      <c r="L19" s="6" t="str">
        <f t="shared" si="2"/>
        <v>SEPTIEMBRE</v>
      </c>
      <c r="M19" s="3"/>
    </row>
    <row r="20" spans="1:14" s="1" customFormat="1" x14ac:dyDescent="0.25">
      <c r="A20" s="5">
        <f t="shared" si="0"/>
        <v>2021</v>
      </c>
      <c r="B20" s="18" t="s">
        <v>841</v>
      </c>
      <c r="C20" s="18" t="s">
        <v>595</v>
      </c>
      <c r="D20" s="12">
        <v>3507</v>
      </c>
      <c r="E20" s="17" t="s">
        <v>56</v>
      </c>
      <c r="F20" s="12" t="s">
        <v>57</v>
      </c>
      <c r="G20" s="14">
        <v>1</v>
      </c>
      <c r="H20" s="24">
        <v>14000</v>
      </c>
      <c r="I20" s="12" t="s">
        <v>634</v>
      </c>
      <c r="J20" s="6" t="s">
        <v>614</v>
      </c>
      <c r="K20" s="6">
        <f t="shared" si="1"/>
        <v>9</v>
      </c>
      <c r="L20" s="6" t="str">
        <f t="shared" si="2"/>
        <v>SEPTIEMBRE</v>
      </c>
      <c r="M20" s="3"/>
    </row>
    <row r="21" spans="1:14" s="1" customFormat="1" x14ac:dyDescent="0.25">
      <c r="A21" s="5">
        <f t="shared" si="0"/>
        <v>2021</v>
      </c>
      <c r="B21" s="18" t="s">
        <v>826</v>
      </c>
      <c r="C21" s="18" t="s">
        <v>595</v>
      </c>
      <c r="D21" s="12">
        <v>3269</v>
      </c>
      <c r="E21" s="17">
        <v>7108</v>
      </c>
      <c r="F21" s="12" t="s">
        <v>28</v>
      </c>
      <c r="G21" s="14">
        <v>1</v>
      </c>
      <c r="H21" s="24">
        <v>100000</v>
      </c>
      <c r="I21" s="12" t="s">
        <v>631</v>
      </c>
      <c r="J21" s="6" t="s">
        <v>609</v>
      </c>
      <c r="K21" s="6">
        <f t="shared" si="1"/>
        <v>4</v>
      </c>
      <c r="L21" s="6" t="str">
        <f t="shared" si="2"/>
        <v>ABRIL</v>
      </c>
      <c r="M21" s="3"/>
    </row>
    <row r="22" spans="1:14" s="1" customFormat="1" x14ac:dyDescent="0.25">
      <c r="A22" s="5">
        <f t="shared" si="0"/>
        <v>2021</v>
      </c>
      <c r="B22" s="18" t="s">
        <v>770</v>
      </c>
      <c r="C22" s="18" t="s">
        <v>595</v>
      </c>
      <c r="D22" s="12">
        <v>3214</v>
      </c>
      <c r="E22" s="17" t="s">
        <v>21</v>
      </c>
      <c r="F22" s="12" t="s">
        <v>22</v>
      </c>
      <c r="G22" s="14">
        <v>1</v>
      </c>
      <c r="H22" s="24">
        <v>77000</v>
      </c>
      <c r="I22" s="12" t="s">
        <v>631</v>
      </c>
      <c r="J22" s="6" t="s">
        <v>609</v>
      </c>
      <c r="K22" s="6">
        <f t="shared" si="1"/>
        <v>3</v>
      </c>
      <c r="L22" s="6" t="str">
        <f t="shared" si="2"/>
        <v>MARZO</v>
      </c>
      <c r="M22" s="3"/>
    </row>
    <row r="23" spans="1:14" s="1" customFormat="1" x14ac:dyDescent="0.25">
      <c r="A23" s="5">
        <f t="shared" si="0"/>
        <v>2021</v>
      </c>
      <c r="B23" s="18" t="s">
        <v>854</v>
      </c>
      <c r="C23" s="18" t="s">
        <v>595</v>
      </c>
      <c r="D23" s="12">
        <v>3582</v>
      </c>
      <c r="E23" s="17" t="s">
        <v>64</v>
      </c>
      <c r="F23" s="12" t="s">
        <v>65</v>
      </c>
      <c r="G23" s="14">
        <v>2</v>
      </c>
      <c r="H23" s="24">
        <v>648000</v>
      </c>
      <c r="I23" s="12" t="s">
        <v>712</v>
      </c>
      <c r="J23" s="6" t="s">
        <v>608</v>
      </c>
      <c r="K23" s="6">
        <f t="shared" si="1"/>
        <v>10</v>
      </c>
      <c r="L23" s="6" t="str">
        <f t="shared" si="2"/>
        <v>OCTUBRE</v>
      </c>
      <c r="M23" s="3"/>
    </row>
    <row r="24" spans="1:14" s="1" customFormat="1" x14ac:dyDescent="0.25">
      <c r="A24" s="5">
        <f t="shared" si="0"/>
        <v>2022</v>
      </c>
      <c r="B24" s="18" t="s">
        <v>838</v>
      </c>
      <c r="C24" s="18" t="s">
        <v>595</v>
      </c>
      <c r="D24" s="12">
        <v>4280</v>
      </c>
      <c r="E24" s="17" t="s">
        <v>29</v>
      </c>
      <c r="F24" s="12" t="s">
        <v>30</v>
      </c>
      <c r="G24" s="14">
        <v>1</v>
      </c>
      <c r="H24" s="24">
        <v>173000</v>
      </c>
      <c r="I24" s="12" t="s">
        <v>712</v>
      </c>
      <c r="J24" s="6" t="s">
        <v>608</v>
      </c>
      <c r="K24" s="6">
        <f t="shared" si="1"/>
        <v>10</v>
      </c>
      <c r="L24" s="6" t="str">
        <f t="shared" si="2"/>
        <v>OCTUBRE</v>
      </c>
      <c r="M24" s="3"/>
    </row>
    <row r="25" spans="1:14" s="1" customFormat="1" x14ac:dyDescent="0.25">
      <c r="A25" s="5">
        <f t="shared" si="0"/>
        <v>2022</v>
      </c>
      <c r="B25" s="18" t="s">
        <v>753</v>
      </c>
      <c r="C25" s="18" t="s">
        <v>595</v>
      </c>
      <c r="D25" s="12">
        <v>4326</v>
      </c>
      <c r="E25" s="17" t="s">
        <v>142</v>
      </c>
      <c r="F25" s="12" t="s">
        <v>143</v>
      </c>
      <c r="G25" s="14">
        <v>1</v>
      </c>
      <c r="H25" s="24">
        <v>3580499.65</v>
      </c>
      <c r="I25" s="12" t="s">
        <v>633</v>
      </c>
      <c r="J25" s="6" t="s">
        <v>612</v>
      </c>
      <c r="K25" s="6">
        <f t="shared" si="1"/>
        <v>11</v>
      </c>
      <c r="L25" s="6" t="str">
        <f t="shared" si="2"/>
        <v>NOVIEMBRE</v>
      </c>
      <c r="M25" s="3"/>
    </row>
    <row r="26" spans="1:14" s="1" customFormat="1" x14ac:dyDescent="0.25">
      <c r="A26" s="5">
        <f t="shared" si="0"/>
        <v>2022</v>
      </c>
      <c r="B26" s="18" t="s">
        <v>754</v>
      </c>
      <c r="C26" s="18" t="s">
        <v>595</v>
      </c>
      <c r="D26" s="12">
        <v>4263</v>
      </c>
      <c r="E26" s="17">
        <v>14711</v>
      </c>
      <c r="F26" s="12" t="s">
        <v>94</v>
      </c>
      <c r="G26" s="14">
        <v>1</v>
      </c>
      <c r="H26" s="24">
        <v>27000</v>
      </c>
      <c r="I26" s="12" t="s">
        <v>712</v>
      </c>
      <c r="J26" s="6" t="s">
        <v>608</v>
      </c>
      <c r="K26" s="6">
        <f t="shared" si="1"/>
        <v>10</v>
      </c>
      <c r="L26" s="6" t="str">
        <f t="shared" si="2"/>
        <v>OCTUBRE</v>
      </c>
      <c r="M26" s="3"/>
    </row>
    <row r="27" spans="1:14" s="1" customFormat="1" x14ac:dyDescent="0.25">
      <c r="A27" s="5">
        <f t="shared" si="0"/>
        <v>2022</v>
      </c>
      <c r="B27" s="18" t="s">
        <v>843</v>
      </c>
      <c r="C27" s="18" t="s">
        <v>595</v>
      </c>
      <c r="D27" s="12">
        <v>3776</v>
      </c>
      <c r="E27" s="17" t="s">
        <v>72</v>
      </c>
      <c r="F27" s="12" t="s">
        <v>73</v>
      </c>
      <c r="G27" s="14">
        <v>1</v>
      </c>
      <c r="H27" s="24">
        <v>280000</v>
      </c>
      <c r="I27" s="12" t="s">
        <v>712</v>
      </c>
      <c r="J27" s="6" t="s">
        <v>608</v>
      </c>
      <c r="K27" s="6">
        <f t="shared" si="1"/>
        <v>2</v>
      </c>
      <c r="L27" s="6" t="str">
        <f t="shared" si="2"/>
        <v>FEBRERO</v>
      </c>
      <c r="M27" s="3"/>
    </row>
    <row r="28" spans="1:14" s="1" customFormat="1" x14ac:dyDescent="0.25">
      <c r="A28" s="5">
        <f t="shared" si="0"/>
        <v>2022</v>
      </c>
      <c r="B28" s="18" t="s">
        <v>845</v>
      </c>
      <c r="C28" s="18" t="s">
        <v>595</v>
      </c>
      <c r="D28" s="12">
        <v>4362</v>
      </c>
      <c r="E28" s="17" t="s">
        <v>152</v>
      </c>
      <c r="F28" s="12" t="s">
        <v>153</v>
      </c>
      <c r="G28" s="14">
        <v>1</v>
      </c>
      <c r="H28" s="24">
        <v>4030399.7</v>
      </c>
      <c r="I28" s="12" t="s">
        <v>633</v>
      </c>
      <c r="J28" s="6" t="s">
        <v>612</v>
      </c>
      <c r="K28" s="6">
        <f t="shared" si="1"/>
        <v>12</v>
      </c>
      <c r="L28" s="6" t="str">
        <f t="shared" si="2"/>
        <v>DICIEMBRE</v>
      </c>
      <c r="M28" s="3"/>
    </row>
    <row r="29" spans="1:14" s="1" customFormat="1" x14ac:dyDescent="0.25">
      <c r="A29" s="5">
        <f t="shared" si="0"/>
        <v>2022</v>
      </c>
      <c r="B29" s="18" t="s">
        <v>846</v>
      </c>
      <c r="C29" s="18" t="s">
        <v>595</v>
      </c>
      <c r="D29" s="12">
        <v>3838</v>
      </c>
      <c r="E29" s="17" t="s">
        <v>72</v>
      </c>
      <c r="F29" s="12" t="s">
        <v>73</v>
      </c>
      <c r="G29" s="14">
        <v>2</v>
      </c>
      <c r="H29" s="24">
        <v>560000</v>
      </c>
      <c r="I29" s="12" t="s">
        <v>712</v>
      </c>
      <c r="J29" s="6" t="s">
        <v>608</v>
      </c>
      <c r="K29" s="6">
        <f t="shared" si="1"/>
        <v>3</v>
      </c>
      <c r="L29" s="6" t="str">
        <f t="shared" si="2"/>
        <v>MARZO</v>
      </c>
      <c r="M29" s="3"/>
    </row>
    <row r="30" spans="1:14" s="1" customFormat="1" x14ac:dyDescent="0.25">
      <c r="A30" s="5">
        <f t="shared" si="0"/>
        <v>2022</v>
      </c>
      <c r="B30" s="18" t="s">
        <v>848</v>
      </c>
      <c r="C30" s="18" t="s">
        <v>595</v>
      </c>
      <c r="D30" s="12">
        <v>3763</v>
      </c>
      <c r="E30" s="17">
        <v>994370</v>
      </c>
      <c r="F30" s="12" t="s">
        <v>71</v>
      </c>
      <c r="G30" s="14">
        <v>1</v>
      </c>
      <c r="H30" s="24">
        <v>260000</v>
      </c>
      <c r="I30" s="12" t="s">
        <v>712</v>
      </c>
      <c r="J30" s="6" t="s">
        <v>608</v>
      </c>
      <c r="K30" s="6">
        <f t="shared" si="1"/>
        <v>2</v>
      </c>
      <c r="L30" s="6" t="str">
        <f t="shared" si="2"/>
        <v>FEBRERO</v>
      </c>
      <c r="M30" s="15"/>
      <c r="N30" s="13"/>
    </row>
    <row r="31" spans="1:14" s="1" customFormat="1" x14ac:dyDescent="0.25">
      <c r="A31" s="5">
        <f t="shared" si="0"/>
        <v>2022</v>
      </c>
      <c r="B31" s="18" t="s">
        <v>758</v>
      </c>
      <c r="C31" s="18" t="s">
        <v>595</v>
      </c>
      <c r="D31" s="12">
        <v>4136</v>
      </c>
      <c r="E31" s="17" t="s">
        <v>103</v>
      </c>
      <c r="F31" s="12" t="s">
        <v>104</v>
      </c>
      <c r="G31" s="14">
        <v>1</v>
      </c>
      <c r="H31" s="24">
        <v>153000</v>
      </c>
      <c r="I31" s="12" t="s">
        <v>712</v>
      </c>
      <c r="J31" s="6" t="s">
        <v>608</v>
      </c>
      <c r="K31" s="6">
        <f t="shared" si="1"/>
        <v>8</v>
      </c>
      <c r="L31" s="6" t="str">
        <f t="shared" si="2"/>
        <v>AGOSTO</v>
      </c>
      <c r="M31" s="3"/>
    </row>
    <row r="32" spans="1:14" s="1" customFormat="1" x14ac:dyDescent="0.25">
      <c r="A32" s="5">
        <f t="shared" si="0"/>
        <v>2022</v>
      </c>
      <c r="B32" s="18" t="s">
        <v>759</v>
      </c>
      <c r="C32" s="18" t="s">
        <v>595</v>
      </c>
      <c r="D32" s="12">
        <v>3981</v>
      </c>
      <c r="E32" s="17" t="s">
        <v>84</v>
      </c>
      <c r="F32" s="12" t="s">
        <v>85</v>
      </c>
      <c r="G32" s="14">
        <v>1</v>
      </c>
      <c r="H32" s="24">
        <v>80040</v>
      </c>
      <c r="I32" s="12" t="s">
        <v>639</v>
      </c>
      <c r="J32" s="6" t="s">
        <v>608</v>
      </c>
      <c r="K32" s="6">
        <f t="shared" si="1"/>
        <v>5</v>
      </c>
      <c r="L32" s="6" t="str">
        <f t="shared" si="2"/>
        <v>MAYO</v>
      </c>
      <c r="M32" s="3"/>
    </row>
    <row r="33" spans="1:13" s="1" customFormat="1" x14ac:dyDescent="0.25">
      <c r="A33" s="5">
        <f t="shared" si="0"/>
        <v>2022</v>
      </c>
      <c r="B33" s="18" t="s">
        <v>760</v>
      </c>
      <c r="C33" s="18" t="s">
        <v>595</v>
      </c>
      <c r="D33" s="12">
        <v>4285</v>
      </c>
      <c r="E33" s="17" t="s">
        <v>29</v>
      </c>
      <c r="F33" s="12" t="s">
        <v>30</v>
      </c>
      <c r="G33" s="14">
        <v>1</v>
      </c>
      <c r="H33" s="24">
        <v>173000</v>
      </c>
      <c r="I33" s="12" t="s">
        <v>712</v>
      </c>
      <c r="J33" s="6" t="s">
        <v>608</v>
      </c>
      <c r="K33" s="6">
        <f t="shared" si="1"/>
        <v>10</v>
      </c>
      <c r="L33" s="6" t="str">
        <f t="shared" si="2"/>
        <v>OCTUBRE</v>
      </c>
      <c r="M33" s="3"/>
    </row>
    <row r="34" spans="1:13" s="1" customFormat="1" x14ac:dyDescent="0.25">
      <c r="A34" s="5">
        <f t="shared" si="0"/>
        <v>2022</v>
      </c>
      <c r="B34" s="18" t="s">
        <v>744</v>
      </c>
      <c r="C34" s="18" t="s">
        <v>595</v>
      </c>
      <c r="D34" s="12">
        <v>3851</v>
      </c>
      <c r="E34" s="17" t="s">
        <v>79</v>
      </c>
      <c r="F34" s="12" t="s">
        <v>80</v>
      </c>
      <c r="G34" s="14">
        <v>1</v>
      </c>
      <c r="H34" s="24">
        <v>86000</v>
      </c>
      <c r="I34" s="12" t="s">
        <v>712</v>
      </c>
      <c r="J34" s="6" t="s">
        <v>608</v>
      </c>
      <c r="K34" s="6">
        <f t="shared" si="1"/>
        <v>3</v>
      </c>
      <c r="L34" s="6" t="str">
        <f t="shared" si="2"/>
        <v>MARZO</v>
      </c>
      <c r="M34" s="3"/>
    </row>
    <row r="35" spans="1:13" s="1" customFormat="1" x14ac:dyDescent="0.25">
      <c r="A35" s="5">
        <f t="shared" si="0"/>
        <v>2022</v>
      </c>
      <c r="B35" s="18" t="s">
        <v>840</v>
      </c>
      <c r="C35" s="18" t="s">
        <v>595</v>
      </c>
      <c r="D35" s="12">
        <v>4348</v>
      </c>
      <c r="E35" s="17" t="s">
        <v>146</v>
      </c>
      <c r="F35" s="12" t="s">
        <v>147</v>
      </c>
      <c r="G35" s="14">
        <v>1</v>
      </c>
      <c r="H35" s="24">
        <v>250000</v>
      </c>
      <c r="I35" s="12" t="s">
        <v>712</v>
      </c>
      <c r="J35" s="6" t="s">
        <v>608</v>
      </c>
      <c r="K35" s="6">
        <f t="shared" si="1"/>
        <v>11</v>
      </c>
      <c r="L35" s="6" t="str">
        <f t="shared" si="2"/>
        <v>NOVIEMBRE</v>
      </c>
      <c r="M35" s="3"/>
    </row>
    <row r="36" spans="1:13" s="1" customFormat="1" x14ac:dyDescent="0.25">
      <c r="A36" s="5">
        <f t="shared" si="0"/>
        <v>2022</v>
      </c>
      <c r="B36" s="18" t="s">
        <v>747</v>
      </c>
      <c r="C36" s="18" t="s">
        <v>595</v>
      </c>
      <c r="D36" s="12">
        <v>4066</v>
      </c>
      <c r="E36" s="17" t="s">
        <v>64</v>
      </c>
      <c r="F36" s="12" t="s">
        <v>65</v>
      </c>
      <c r="G36" s="14">
        <v>1</v>
      </c>
      <c r="H36" s="24">
        <v>324000</v>
      </c>
      <c r="I36" s="12" t="s">
        <v>712</v>
      </c>
      <c r="J36" s="6" t="s">
        <v>608</v>
      </c>
      <c r="K36" s="6">
        <f t="shared" si="1"/>
        <v>7</v>
      </c>
      <c r="L36" s="6" t="str">
        <f t="shared" si="2"/>
        <v>JULIO</v>
      </c>
      <c r="M36" s="3"/>
    </row>
    <row r="37" spans="1:13" s="1" customFormat="1" x14ac:dyDescent="0.25">
      <c r="A37" s="5">
        <f t="shared" si="0"/>
        <v>2022</v>
      </c>
      <c r="B37" s="18" t="s">
        <v>860</v>
      </c>
      <c r="C37" s="18" t="s">
        <v>595</v>
      </c>
      <c r="D37" s="12">
        <v>4288</v>
      </c>
      <c r="E37" s="17" t="s">
        <v>133</v>
      </c>
      <c r="F37" s="12" t="s">
        <v>134</v>
      </c>
      <c r="G37" s="14">
        <v>1</v>
      </c>
      <c r="H37" s="24">
        <v>260000</v>
      </c>
      <c r="I37" s="12" t="s">
        <v>712</v>
      </c>
      <c r="J37" s="6" t="s">
        <v>608</v>
      </c>
      <c r="K37" s="6">
        <f t="shared" si="1"/>
        <v>10</v>
      </c>
      <c r="L37" s="6" t="str">
        <f t="shared" si="2"/>
        <v>OCTUBRE</v>
      </c>
      <c r="M37" s="3"/>
    </row>
    <row r="38" spans="1:13" s="1" customFormat="1" x14ac:dyDescent="0.25">
      <c r="A38" s="5">
        <f t="shared" si="0"/>
        <v>2022</v>
      </c>
      <c r="B38" s="18" t="s">
        <v>787</v>
      </c>
      <c r="C38" s="18" t="s">
        <v>595</v>
      </c>
      <c r="D38" s="12">
        <v>4108</v>
      </c>
      <c r="E38" s="17">
        <v>14711</v>
      </c>
      <c r="F38" s="12" t="s">
        <v>94</v>
      </c>
      <c r="G38" s="14">
        <v>3</v>
      </c>
      <c r="H38" s="24">
        <v>81000</v>
      </c>
      <c r="I38" s="12" t="s">
        <v>712</v>
      </c>
      <c r="J38" s="6" t="s">
        <v>608</v>
      </c>
      <c r="K38" s="6">
        <f t="shared" si="1"/>
        <v>7</v>
      </c>
      <c r="L38" s="6" t="str">
        <f t="shared" si="2"/>
        <v>JULIO</v>
      </c>
      <c r="M38" s="3"/>
    </row>
    <row r="39" spans="1:13" s="1" customFormat="1" x14ac:dyDescent="0.25">
      <c r="A39" s="5">
        <f t="shared" si="0"/>
        <v>2022</v>
      </c>
      <c r="B39" s="18" t="s">
        <v>775</v>
      </c>
      <c r="C39" s="18" t="s">
        <v>595</v>
      </c>
      <c r="D39" s="12">
        <v>4210</v>
      </c>
      <c r="E39" s="17" t="s">
        <v>90</v>
      </c>
      <c r="F39" s="12" t="s">
        <v>91</v>
      </c>
      <c r="G39" s="14">
        <v>1</v>
      </c>
      <c r="H39" s="24">
        <v>18000</v>
      </c>
      <c r="I39" s="12" t="s">
        <v>634</v>
      </c>
      <c r="J39" s="6" t="s">
        <v>614</v>
      </c>
      <c r="K39" s="6">
        <f t="shared" si="1"/>
        <v>9</v>
      </c>
      <c r="L39" s="6" t="str">
        <f t="shared" si="2"/>
        <v>SEPTIEMBRE</v>
      </c>
      <c r="M39" s="3"/>
    </row>
    <row r="40" spans="1:13" s="1" customFormat="1" x14ac:dyDescent="0.25">
      <c r="A40" s="5">
        <f t="shared" si="0"/>
        <v>2022</v>
      </c>
      <c r="B40" s="18" t="s">
        <v>775</v>
      </c>
      <c r="C40" s="18" t="s">
        <v>595</v>
      </c>
      <c r="D40" s="12">
        <v>4210</v>
      </c>
      <c r="E40" s="17" t="s">
        <v>58</v>
      </c>
      <c r="F40" s="12" t="s">
        <v>59</v>
      </c>
      <c r="G40" s="14">
        <v>1</v>
      </c>
      <c r="H40" s="24">
        <v>200000</v>
      </c>
      <c r="I40" s="12" t="s">
        <v>634</v>
      </c>
      <c r="J40" s="6" t="s">
        <v>614</v>
      </c>
      <c r="K40" s="6">
        <f t="shared" si="1"/>
        <v>9</v>
      </c>
      <c r="L40" s="6" t="str">
        <f t="shared" si="2"/>
        <v>SEPTIEMBRE</v>
      </c>
      <c r="M40" s="3"/>
    </row>
    <row r="41" spans="1:13" s="1" customFormat="1" x14ac:dyDescent="0.25">
      <c r="A41" s="5">
        <f t="shared" si="0"/>
        <v>2022</v>
      </c>
      <c r="B41" s="18" t="s">
        <v>775</v>
      </c>
      <c r="C41" s="18" t="s">
        <v>595</v>
      </c>
      <c r="D41" s="12">
        <v>4210</v>
      </c>
      <c r="E41" s="17" t="s">
        <v>56</v>
      </c>
      <c r="F41" s="12" t="s">
        <v>57</v>
      </c>
      <c r="G41" s="14">
        <v>1</v>
      </c>
      <c r="H41" s="24">
        <v>15000</v>
      </c>
      <c r="I41" s="12" t="s">
        <v>634</v>
      </c>
      <c r="J41" s="6" t="s">
        <v>614</v>
      </c>
      <c r="K41" s="6">
        <f t="shared" si="1"/>
        <v>9</v>
      </c>
      <c r="L41" s="6" t="str">
        <f t="shared" si="2"/>
        <v>SEPTIEMBRE</v>
      </c>
      <c r="M41" s="3"/>
    </row>
    <row r="42" spans="1:13" s="1" customFormat="1" x14ac:dyDescent="0.25">
      <c r="A42" s="5">
        <f t="shared" si="0"/>
        <v>2022</v>
      </c>
      <c r="B42" s="18" t="s">
        <v>775</v>
      </c>
      <c r="C42" s="18" t="s">
        <v>595</v>
      </c>
      <c r="D42" s="12">
        <v>4210</v>
      </c>
      <c r="E42" s="17" t="s">
        <v>54</v>
      </c>
      <c r="F42" s="12" t="s">
        <v>55</v>
      </c>
      <c r="G42" s="14">
        <v>1</v>
      </c>
      <c r="H42" s="24">
        <v>111000</v>
      </c>
      <c r="I42" s="12" t="s">
        <v>634</v>
      </c>
      <c r="J42" s="6" t="s">
        <v>614</v>
      </c>
      <c r="K42" s="6">
        <f t="shared" si="1"/>
        <v>9</v>
      </c>
      <c r="L42" s="6" t="str">
        <f t="shared" si="2"/>
        <v>SEPTIEMBRE</v>
      </c>
      <c r="M42" s="3"/>
    </row>
    <row r="43" spans="1:13" s="1" customFormat="1" x14ac:dyDescent="0.25">
      <c r="A43" s="5">
        <f t="shared" si="0"/>
        <v>2022</v>
      </c>
      <c r="B43" s="18" t="s">
        <v>779</v>
      </c>
      <c r="C43" s="18" t="s">
        <v>595</v>
      </c>
      <c r="D43" s="12">
        <v>4228</v>
      </c>
      <c r="E43" s="17" t="s">
        <v>118</v>
      </c>
      <c r="F43" s="12" t="s">
        <v>110</v>
      </c>
      <c r="G43" s="14">
        <v>2</v>
      </c>
      <c r="H43" s="24">
        <v>230000</v>
      </c>
      <c r="I43" s="12" t="s">
        <v>712</v>
      </c>
      <c r="J43" s="6" t="s">
        <v>608</v>
      </c>
      <c r="K43" s="6">
        <f t="shared" si="1"/>
        <v>9</v>
      </c>
      <c r="L43" s="6" t="str">
        <f t="shared" si="2"/>
        <v>SEPTIEMBRE</v>
      </c>
      <c r="M43" s="3"/>
    </row>
    <row r="44" spans="1:13" s="1" customFormat="1" x14ac:dyDescent="0.25">
      <c r="A44" s="5">
        <f t="shared" si="0"/>
        <v>2022</v>
      </c>
      <c r="B44" s="18" t="s">
        <v>786</v>
      </c>
      <c r="C44" s="18" t="s">
        <v>595</v>
      </c>
      <c r="D44" s="12">
        <v>4392</v>
      </c>
      <c r="E44" s="17">
        <v>3316198</v>
      </c>
      <c r="F44" s="12" t="s">
        <v>113</v>
      </c>
      <c r="G44" s="14">
        <v>2</v>
      </c>
      <c r="H44" s="24">
        <v>828000</v>
      </c>
      <c r="I44" s="12" t="s">
        <v>634</v>
      </c>
      <c r="J44" s="6" t="s">
        <v>614</v>
      </c>
      <c r="K44" s="6">
        <f t="shared" si="1"/>
        <v>12</v>
      </c>
      <c r="L44" s="6" t="str">
        <f t="shared" si="2"/>
        <v>DICIEMBRE</v>
      </c>
      <c r="M44" s="3"/>
    </row>
    <row r="45" spans="1:13" s="1" customFormat="1" x14ac:dyDescent="0.25">
      <c r="A45" s="5">
        <f t="shared" si="0"/>
        <v>2022</v>
      </c>
      <c r="B45" s="18" t="s">
        <v>786</v>
      </c>
      <c r="C45" s="18" t="s">
        <v>595</v>
      </c>
      <c r="D45" s="12">
        <v>4392</v>
      </c>
      <c r="E45" s="17" t="s">
        <v>105</v>
      </c>
      <c r="F45" s="12" t="s">
        <v>106</v>
      </c>
      <c r="G45" s="14">
        <v>1</v>
      </c>
      <c r="H45" s="24">
        <v>39600</v>
      </c>
      <c r="I45" s="12" t="s">
        <v>634</v>
      </c>
      <c r="J45" s="6" t="s">
        <v>614</v>
      </c>
      <c r="K45" s="6">
        <f t="shared" si="1"/>
        <v>12</v>
      </c>
      <c r="L45" s="6" t="str">
        <f t="shared" si="2"/>
        <v>DICIEMBRE</v>
      </c>
      <c r="M45" s="3"/>
    </row>
    <row r="46" spans="1:13" s="1" customFormat="1" x14ac:dyDescent="0.25">
      <c r="A46" s="5">
        <f t="shared" si="0"/>
        <v>2022</v>
      </c>
      <c r="B46" s="18" t="s">
        <v>762</v>
      </c>
      <c r="C46" s="18" t="s">
        <v>595</v>
      </c>
      <c r="D46" s="12">
        <v>4198</v>
      </c>
      <c r="E46" s="17" t="s">
        <v>111</v>
      </c>
      <c r="F46" s="12" t="s">
        <v>112</v>
      </c>
      <c r="G46" s="14">
        <v>4</v>
      </c>
      <c r="H46" s="24">
        <v>228000</v>
      </c>
      <c r="I46" s="12" t="s">
        <v>712</v>
      </c>
      <c r="J46" s="6" t="s">
        <v>608</v>
      </c>
      <c r="K46" s="6">
        <f t="shared" si="1"/>
        <v>9</v>
      </c>
      <c r="L46" s="6" t="str">
        <f t="shared" si="2"/>
        <v>SEPTIEMBRE</v>
      </c>
      <c r="M46" s="3"/>
    </row>
    <row r="47" spans="1:13" s="1" customFormat="1" x14ac:dyDescent="0.25">
      <c r="A47" s="5">
        <f t="shared" si="0"/>
        <v>2022</v>
      </c>
      <c r="B47" s="18" t="s">
        <v>762</v>
      </c>
      <c r="C47" s="18" t="s">
        <v>595</v>
      </c>
      <c r="D47" s="12">
        <v>4198</v>
      </c>
      <c r="E47" s="17" t="s">
        <v>109</v>
      </c>
      <c r="F47" s="12" t="s">
        <v>110</v>
      </c>
      <c r="G47" s="14">
        <v>2</v>
      </c>
      <c r="H47" s="24">
        <v>154000</v>
      </c>
      <c r="I47" s="12" t="s">
        <v>712</v>
      </c>
      <c r="J47" s="6" t="s">
        <v>608</v>
      </c>
      <c r="K47" s="6">
        <f t="shared" si="1"/>
        <v>9</v>
      </c>
      <c r="L47" s="6" t="str">
        <f t="shared" si="2"/>
        <v>SEPTIEMBRE</v>
      </c>
      <c r="M47" s="3"/>
    </row>
    <row r="48" spans="1:13" s="1" customFormat="1" x14ac:dyDescent="0.25">
      <c r="A48" s="5">
        <f t="shared" si="0"/>
        <v>2022</v>
      </c>
      <c r="B48" s="18" t="s">
        <v>793</v>
      </c>
      <c r="C48" s="18" t="s">
        <v>595</v>
      </c>
      <c r="D48" s="12">
        <v>4241</v>
      </c>
      <c r="E48" s="17" t="s">
        <v>105</v>
      </c>
      <c r="F48" s="12" t="s">
        <v>106</v>
      </c>
      <c r="G48" s="14">
        <v>3</v>
      </c>
      <c r="H48" s="24">
        <v>99000</v>
      </c>
      <c r="I48" s="12" t="s">
        <v>634</v>
      </c>
      <c r="J48" s="6" t="s">
        <v>614</v>
      </c>
      <c r="K48" s="6">
        <f t="shared" si="1"/>
        <v>9</v>
      </c>
      <c r="L48" s="6" t="str">
        <f t="shared" si="2"/>
        <v>SEPTIEMBRE</v>
      </c>
      <c r="M48" s="3"/>
    </row>
    <row r="49" spans="1:13" s="1" customFormat="1" x14ac:dyDescent="0.25">
      <c r="A49" s="5">
        <f t="shared" si="0"/>
        <v>2022</v>
      </c>
      <c r="B49" s="18" t="s">
        <v>793</v>
      </c>
      <c r="C49" s="18" t="s">
        <v>595</v>
      </c>
      <c r="D49" s="12">
        <v>4241</v>
      </c>
      <c r="E49" s="17" t="s">
        <v>90</v>
      </c>
      <c r="F49" s="12" t="s">
        <v>91</v>
      </c>
      <c r="G49" s="14">
        <v>2</v>
      </c>
      <c r="H49" s="24">
        <v>36000</v>
      </c>
      <c r="I49" s="12" t="s">
        <v>634</v>
      </c>
      <c r="J49" s="6" t="s">
        <v>614</v>
      </c>
      <c r="K49" s="6">
        <f t="shared" si="1"/>
        <v>9</v>
      </c>
      <c r="L49" s="6" t="str">
        <f t="shared" si="2"/>
        <v>SEPTIEMBRE</v>
      </c>
      <c r="M49" s="3"/>
    </row>
    <row r="50" spans="1:13" s="1" customFormat="1" x14ac:dyDescent="0.25">
      <c r="A50" s="5">
        <f t="shared" si="0"/>
        <v>2022</v>
      </c>
      <c r="B50" s="18" t="s">
        <v>773</v>
      </c>
      <c r="C50" s="18" t="s">
        <v>595</v>
      </c>
      <c r="D50" s="12">
        <v>4104</v>
      </c>
      <c r="E50" s="17" t="s">
        <v>92</v>
      </c>
      <c r="F50" s="12" t="s">
        <v>93</v>
      </c>
      <c r="G50" s="14">
        <v>1</v>
      </c>
      <c r="H50" s="24">
        <v>44000</v>
      </c>
      <c r="I50" s="12" t="s">
        <v>631</v>
      </c>
      <c r="J50" s="6" t="s">
        <v>609</v>
      </c>
      <c r="K50" s="6">
        <f t="shared" si="1"/>
        <v>7</v>
      </c>
      <c r="L50" s="6" t="str">
        <f t="shared" si="2"/>
        <v>JULIO</v>
      </c>
      <c r="M50" s="3"/>
    </row>
    <row r="51" spans="1:13" s="1" customFormat="1" x14ac:dyDescent="0.25">
      <c r="A51" s="5">
        <f t="shared" si="0"/>
        <v>2022</v>
      </c>
      <c r="B51" s="18" t="s">
        <v>857</v>
      </c>
      <c r="C51" s="18" t="s">
        <v>595</v>
      </c>
      <c r="D51" s="12">
        <v>4191</v>
      </c>
      <c r="E51" s="17" t="s">
        <v>35</v>
      </c>
      <c r="F51" s="12" t="s">
        <v>36</v>
      </c>
      <c r="G51" s="14">
        <v>2</v>
      </c>
      <c r="H51" s="24">
        <v>346000</v>
      </c>
      <c r="I51" s="12" t="s">
        <v>712</v>
      </c>
      <c r="J51" s="6" t="s">
        <v>608</v>
      </c>
      <c r="K51" s="6">
        <f t="shared" si="1"/>
        <v>8</v>
      </c>
      <c r="L51" s="6" t="str">
        <f t="shared" si="2"/>
        <v>AGOSTO</v>
      </c>
      <c r="M51" s="3"/>
    </row>
    <row r="52" spans="1:13" s="1" customFormat="1" x14ac:dyDescent="0.25">
      <c r="A52" s="5">
        <f t="shared" si="0"/>
        <v>2022</v>
      </c>
      <c r="B52" s="18" t="s">
        <v>850</v>
      </c>
      <c r="C52" s="18" t="s">
        <v>595</v>
      </c>
      <c r="D52" s="12">
        <v>3829</v>
      </c>
      <c r="E52" s="17">
        <v>3315703</v>
      </c>
      <c r="F52" s="12" t="s">
        <v>78</v>
      </c>
      <c r="G52" s="14">
        <v>2</v>
      </c>
      <c r="H52" s="24">
        <v>64000</v>
      </c>
      <c r="I52" s="12" t="s">
        <v>634</v>
      </c>
      <c r="J52" s="6" t="s">
        <v>614</v>
      </c>
      <c r="K52" s="6">
        <f t="shared" si="1"/>
        <v>3</v>
      </c>
      <c r="L52" s="6" t="str">
        <f t="shared" si="2"/>
        <v>MARZO</v>
      </c>
      <c r="M52" s="3"/>
    </row>
    <row r="53" spans="1:13" s="1" customFormat="1" x14ac:dyDescent="0.25">
      <c r="A53" s="5">
        <f t="shared" si="0"/>
        <v>2023</v>
      </c>
      <c r="B53" s="18" t="s">
        <v>750</v>
      </c>
      <c r="C53" s="18" t="s">
        <v>595</v>
      </c>
      <c r="D53" s="12">
        <v>4510</v>
      </c>
      <c r="E53" s="17" t="s">
        <v>194</v>
      </c>
      <c r="F53" s="12" t="s">
        <v>195</v>
      </c>
      <c r="G53" s="14">
        <v>1</v>
      </c>
      <c r="H53" s="24">
        <v>3079999.75</v>
      </c>
      <c r="I53" s="12" t="s">
        <v>633</v>
      </c>
      <c r="J53" s="6" t="s">
        <v>612</v>
      </c>
      <c r="K53" s="6">
        <f t="shared" si="1"/>
        <v>2</v>
      </c>
      <c r="L53" s="6" t="str">
        <f t="shared" si="2"/>
        <v>FEBRERO</v>
      </c>
      <c r="M53" s="3"/>
    </row>
    <row r="54" spans="1:13" s="1" customFormat="1" x14ac:dyDescent="0.25">
      <c r="A54" s="5">
        <f t="shared" si="0"/>
        <v>2023</v>
      </c>
      <c r="B54" s="18" t="s">
        <v>782</v>
      </c>
      <c r="C54" s="18" t="s">
        <v>595</v>
      </c>
      <c r="D54" s="12">
        <v>4844</v>
      </c>
      <c r="E54" s="17" t="s">
        <v>474</v>
      </c>
      <c r="F54" s="12" t="s">
        <v>475</v>
      </c>
      <c r="G54" s="14">
        <v>1</v>
      </c>
      <c r="H54" s="24">
        <v>3634183.2</v>
      </c>
      <c r="I54" s="12" t="s">
        <v>633</v>
      </c>
      <c r="J54" s="6" t="s">
        <v>612</v>
      </c>
      <c r="K54" s="6">
        <f t="shared" si="1"/>
        <v>9</v>
      </c>
      <c r="L54" s="6" t="str">
        <f t="shared" si="2"/>
        <v>SEPTIEMBRE</v>
      </c>
      <c r="M54" s="3"/>
    </row>
    <row r="55" spans="1:13" s="1" customFormat="1" x14ac:dyDescent="0.25">
      <c r="A55" s="5">
        <f t="shared" si="0"/>
        <v>2023</v>
      </c>
      <c r="B55" s="18" t="s">
        <v>755</v>
      </c>
      <c r="C55" s="18" t="s">
        <v>595</v>
      </c>
      <c r="D55" s="12">
        <v>4803</v>
      </c>
      <c r="E55" s="17" t="s">
        <v>425</v>
      </c>
      <c r="F55" s="12" t="s">
        <v>426</v>
      </c>
      <c r="G55" s="14">
        <v>1</v>
      </c>
      <c r="H55" s="24">
        <v>4399999.0999999996</v>
      </c>
      <c r="I55" s="12" t="s">
        <v>633</v>
      </c>
      <c r="J55" s="6" t="s">
        <v>612</v>
      </c>
      <c r="K55" s="6">
        <f t="shared" si="1"/>
        <v>8</v>
      </c>
      <c r="L55" s="6" t="str">
        <f t="shared" si="2"/>
        <v>AGOSTO</v>
      </c>
      <c r="M55" s="3"/>
    </row>
    <row r="56" spans="1:13" s="1" customFormat="1" x14ac:dyDescent="0.25">
      <c r="A56" s="5">
        <f t="shared" si="0"/>
        <v>2023</v>
      </c>
      <c r="B56" s="18" t="s">
        <v>849</v>
      </c>
      <c r="C56" s="18" t="s">
        <v>595</v>
      </c>
      <c r="D56" s="12">
        <v>4547</v>
      </c>
      <c r="E56" s="17">
        <v>231502</v>
      </c>
      <c r="F56" s="12" t="s">
        <v>208</v>
      </c>
      <c r="G56" s="14">
        <v>1</v>
      </c>
      <c r="H56" s="24">
        <v>19000</v>
      </c>
      <c r="I56" s="12" t="s">
        <v>712</v>
      </c>
      <c r="J56" s="6" t="s">
        <v>608</v>
      </c>
      <c r="K56" s="6">
        <f t="shared" si="1"/>
        <v>3</v>
      </c>
      <c r="L56" s="6" t="str">
        <f t="shared" si="2"/>
        <v>MARZO</v>
      </c>
      <c r="M56" s="3"/>
    </row>
    <row r="57" spans="1:13" s="1" customFormat="1" x14ac:dyDescent="0.25">
      <c r="A57" s="5">
        <f t="shared" si="0"/>
        <v>2023</v>
      </c>
      <c r="B57" s="18" t="s">
        <v>757</v>
      </c>
      <c r="C57" s="18" t="s">
        <v>595</v>
      </c>
      <c r="D57" s="12">
        <v>4568</v>
      </c>
      <c r="E57" s="17">
        <v>195</v>
      </c>
      <c r="F57" s="12" t="s">
        <v>566</v>
      </c>
      <c r="G57" s="14">
        <v>3</v>
      </c>
      <c r="H57" s="24">
        <v>3750</v>
      </c>
      <c r="I57" s="12" t="s">
        <v>712</v>
      </c>
      <c r="J57" s="6" t="s">
        <v>608</v>
      </c>
      <c r="K57" s="6">
        <f t="shared" si="1"/>
        <v>3</v>
      </c>
      <c r="L57" s="6" t="str">
        <f t="shared" si="2"/>
        <v>MARZO</v>
      </c>
      <c r="M57" s="3"/>
    </row>
    <row r="58" spans="1:13" s="1" customFormat="1" x14ac:dyDescent="0.25">
      <c r="A58" s="5">
        <f t="shared" si="0"/>
        <v>2023</v>
      </c>
      <c r="B58" s="18" t="s">
        <v>751</v>
      </c>
      <c r="C58" s="18" t="s">
        <v>595</v>
      </c>
      <c r="D58" s="12">
        <v>5035</v>
      </c>
      <c r="E58" s="17" t="s">
        <v>582</v>
      </c>
      <c r="F58" s="12" t="s">
        <v>583</v>
      </c>
      <c r="G58" s="14">
        <v>1</v>
      </c>
      <c r="H58" s="24">
        <v>234000</v>
      </c>
      <c r="I58" s="12" t="s">
        <v>634</v>
      </c>
      <c r="J58" s="6" t="s">
        <v>614</v>
      </c>
      <c r="K58" s="6">
        <f t="shared" si="1"/>
        <v>12</v>
      </c>
      <c r="L58" s="6" t="str">
        <f t="shared" si="2"/>
        <v>DICIEMBRE</v>
      </c>
      <c r="M58" s="3"/>
    </row>
    <row r="59" spans="1:13" s="1" customFormat="1" x14ac:dyDescent="0.25">
      <c r="A59" s="5">
        <f t="shared" si="0"/>
        <v>2023</v>
      </c>
      <c r="B59" s="18" t="s">
        <v>851</v>
      </c>
      <c r="C59" s="18" t="s">
        <v>595</v>
      </c>
      <c r="D59" s="12">
        <v>4598</v>
      </c>
      <c r="E59" s="17" t="s">
        <v>133</v>
      </c>
      <c r="F59" s="12" t="s">
        <v>134</v>
      </c>
      <c r="G59" s="14">
        <v>1</v>
      </c>
      <c r="H59" s="24">
        <v>260000</v>
      </c>
      <c r="I59" s="12" t="s">
        <v>712</v>
      </c>
      <c r="J59" s="6" t="s">
        <v>608</v>
      </c>
      <c r="K59" s="6">
        <f t="shared" si="1"/>
        <v>3</v>
      </c>
      <c r="L59" s="6" t="str">
        <f t="shared" si="2"/>
        <v>MARZO</v>
      </c>
      <c r="M59" s="3"/>
    </row>
    <row r="60" spans="1:13" s="1" customFormat="1" x14ac:dyDescent="0.25">
      <c r="A60" s="5">
        <f t="shared" si="0"/>
        <v>2023</v>
      </c>
      <c r="B60" s="18" t="s">
        <v>856</v>
      </c>
      <c r="C60" s="18" t="s">
        <v>595</v>
      </c>
      <c r="D60" s="12">
        <v>4550</v>
      </c>
      <c r="E60" s="17" t="s">
        <v>114</v>
      </c>
      <c r="F60" s="12" t="s">
        <v>115</v>
      </c>
      <c r="G60" s="14">
        <v>1</v>
      </c>
      <c r="H60" s="24">
        <v>152000</v>
      </c>
      <c r="I60" s="12" t="s">
        <v>632</v>
      </c>
      <c r="J60" s="6" t="s">
        <v>611</v>
      </c>
      <c r="K60" s="6">
        <f t="shared" si="1"/>
        <v>3</v>
      </c>
      <c r="L60" s="6" t="str">
        <f t="shared" si="2"/>
        <v>MARZO</v>
      </c>
      <c r="M60" s="3"/>
    </row>
    <row r="61" spans="1:13" s="1" customFormat="1" x14ac:dyDescent="0.25">
      <c r="A61" s="5">
        <f t="shared" si="0"/>
        <v>2023</v>
      </c>
      <c r="B61" s="18" t="s">
        <v>769</v>
      </c>
      <c r="C61" s="18" t="s">
        <v>595</v>
      </c>
      <c r="D61" s="12">
        <v>4810</v>
      </c>
      <c r="E61" s="17" t="s">
        <v>243</v>
      </c>
      <c r="F61" s="12" t="s">
        <v>244</v>
      </c>
      <c r="G61" s="14">
        <v>1</v>
      </c>
      <c r="H61" s="24">
        <v>625000</v>
      </c>
      <c r="I61" s="12" t="s">
        <v>712</v>
      </c>
      <c r="J61" s="6" t="s">
        <v>608</v>
      </c>
      <c r="K61" s="6">
        <f t="shared" si="1"/>
        <v>8</v>
      </c>
      <c r="L61" s="6" t="str">
        <f t="shared" si="2"/>
        <v>AGOSTO</v>
      </c>
      <c r="M61" s="3"/>
    </row>
    <row r="62" spans="1:13" s="1" customFormat="1" x14ac:dyDescent="0.25">
      <c r="A62" s="5">
        <f t="shared" si="0"/>
        <v>2023</v>
      </c>
      <c r="B62" s="18" t="s">
        <v>745</v>
      </c>
      <c r="C62" s="18" t="s">
        <v>595</v>
      </c>
      <c r="D62" s="12">
        <v>4773</v>
      </c>
      <c r="E62" s="17" t="s">
        <v>380</v>
      </c>
      <c r="F62" s="12" t="s">
        <v>381</v>
      </c>
      <c r="G62" s="14">
        <v>1</v>
      </c>
      <c r="H62" s="24">
        <v>3749999.6</v>
      </c>
      <c r="I62" s="12" t="s">
        <v>633</v>
      </c>
      <c r="J62" s="6" t="s">
        <v>612</v>
      </c>
      <c r="K62" s="6">
        <f t="shared" si="1"/>
        <v>7</v>
      </c>
      <c r="L62" s="6" t="str">
        <f t="shared" si="2"/>
        <v>JULIO</v>
      </c>
      <c r="M62" s="3"/>
    </row>
    <row r="63" spans="1:13" s="1" customFormat="1" x14ac:dyDescent="0.25">
      <c r="A63" s="5">
        <f t="shared" si="0"/>
        <v>2023</v>
      </c>
      <c r="B63" s="18" t="s">
        <v>853</v>
      </c>
      <c r="C63" s="18" t="s">
        <v>595</v>
      </c>
      <c r="D63" s="12">
        <v>5021</v>
      </c>
      <c r="E63" s="17" t="s">
        <v>317</v>
      </c>
      <c r="F63" s="12" t="s">
        <v>318</v>
      </c>
      <c r="G63" s="14">
        <v>1</v>
      </c>
      <c r="H63" s="24">
        <v>12000</v>
      </c>
      <c r="I63" s="12" t="s">
        <v>712</v>
      </c>
      <c r="J63" s="6" t="s">
        <v>608</v>
      </c>
      <c r="K63" s="6">
        <f t="shared" si="1"/>
        <v>12</v>
      </c>
      <c r="L63" s="6" t="str">
        <f t="shared" si="2"/>
        <v>DICIEMBRE</v>
      </c>
      <c r="M63" s="3"/>
    </row>
    <row r="64" spans="1:13" s="1" customFormat="1" x14ac:dyDescent="0.25">
      <c r="A64" s="5">
        <f t="shared" si="0"/>
        <v>2023</v>
      </c>
      <c r="B64" s="18" t="s">
        <v>746</v>
      </c>
      <c r="C64" s="18" t="s">
        <v>595</v>
      </c>
      <c r="D64" s="12">
        <v>4484</v>
      </c>
      <c r="E64" s="17" t="s">
        <v>188</v>
      </c>
      <c r="F64" s="12" t="s">
        <v>189</v>
      </c>
      <c r="G64" s="14">
        <v>5</v>
      </c>
      <c r="H64" s="24">
        <v>241800</v>
      </c>
      <c r="I64" s="12" t="s">
        <v>547</v>
      </c>
      <c r="J64" s="6" t="s">
        <v>613</v>
      </c>
      <c r="K64" s="6">
        <f t="shared" si="1"/>
        <v>2</v>
      </c>
      <c r="L64" s="6" t="str">
        <f t="shared" si="2"/>
        <v>FEBRERO</v>
      </c>
      <c r="M64" s="3"/>
    </row>
    <row r="65" spans="1:14" s="1" customFormat="1" x14ac:dyDescent="0.25">
      <c r="A65" s="5">
        <f t="shared" ref="A65:A123" si="3">+YEAR(B65)</f>
        <v>2023</v>
      </c>
      <c r="B65" s="18" t="s">
        <v>859</v>
      </c>
      <c r="C65" s="18" t="s">
        <v>595</v>
      </c>
      <c r="D65" s="12">
        <v>5042</v>
      </c>
      <c r="E65" s="17">
        <v>7108</v>
      </c>
      <c r="F65" s="12" t="s">
        <v>28</v>
      </c>
      <c r="G65" s="14">
        <v>4</v>
      </c>
      <c r="H65" s="24">
        <v>528000</v>
      </c>
      <c r="I65" s="12" t="s">
        <v>631</v>
      </c>
      <c r="J65" s="6" t="s">
        <v>609</v>
      </c>
      <c r="K65" s="6">
        <f t="shared" ref="K65:K123" si="4">+MONTH(B65)</f>
        <v>12</v>
      </c>
      <c r="L65" s="6" t="str">
        <f t="shared" si="2"/>
        <v>DICIEMBRE</v>
      </c>
      <c r="M65" s="3"/>
    </row>
    <row r="66" spans="1:14" s="1" customFormat="1" x14ac:dyDescent="0.25">
      <c r="A66" s="5">
        <f t="shared" si="3"/>
        <v>2023</v>
      </c>
      <c r="B66" s="18" t="s">
        <v>774</v>
      </c>
      <c r="C66" s="18" t="s">
        <v>595</v>
      </c>
      <c r="D66" s="12">
        <v>4624</v>
      </c>
      <c r="E66" s="17">
        <v>21352</v>
      </c>
      <c r="F66" s="12" t="s">
        <v>234</v>
      </c>
      <c r="G66" s="14">
        <v>2</v>
      </c>
      <c r="H66" s="24">
        <v>10800</v>
      </c>
      <c r="I66" s="12" t="s">
        <v>712</v>
      </c>
      <c r="J66" s="6" t="s">
        <v>608</v>
      </c>
      <c r="K66" s="6">
        <f t="shared" si="4"/>
        <v>4</v>
      </c>
      <c r="L66" s="6" t="str">
        <f t="shared" si="2"/>
        <v>ABRIL</v>
      </c>
      <c r="M66" s="3"/>
    </row>
    <row r="67" spans="1:14" s="1" customFormat="1" x14ac:dyDescent="0.25">
      <c r="A67" s="5">
        <f t="shared" si="3"/>
        <v>2023</v>
      </c>
      <c r="B67" s="18" t="s">
        <v>783</v>
      </c>
      <c r="C67" s="18" t="s">
        <v>595</v>
      </c>
      <c r="D67" s="12">
        <v>5033</v>
      </c>
      <c r="E67" s="17" t="s">
        <v>66</v>
      </c>
      <c r="F67" s="12" t="s">
        <v>67</v>
      </c>
      <c r="G67" s="14">
        <v>1</v>
      </c>
      <c r="H67" s="24">
        <v>124000</v>
      </c>
      <c r="I67" s="12" t="s">
        <v>712</v>
      </c>
      <c r="J67" s="6" t="s">
        <v>608</v>
      </c>
      <c r="K67" s="6">
        <f t="shared" si="4"/>
        <v>12</v>
      </c>
      <c r="L67" s="6" t="str">
        <f t="shared" ref="L67:L130" si="5">VLOOKUP(K67,N:O,2,0)</f>
        <v>DICIEMBRE</v>
      </c>
      <c r="M67" s="3"/>
    </row>
    <row r="68" spans="1:14" s="1" customFormat="1" x14ac:dyDescent="0.25">
      <c r="A68" s="5">
        <f t="shared" si="3"/>
        <v>2023</v>
      </c>
      <c r="B68" s="18" t="s">
        <v>864</v>
      </c>
      <c r="C68" s="18" t="s">
        <v>595</v>
      </c>
      <c r="D68" s="12">
        <v>4703</v>
      </c>
      <c r="E68" s="17" t="s">
        <v>230</v>
      </c>
      <c r="F68" s="12" t="s">
        <v>231</v>
      </c>
      <c r="G68" s="14">
        <v>4</v>
      </c>
      <c r="H68" s="24">
        <v>2717600</v>
      </c>
      <c r="I68" s="12" t="s">
        <v>631</v>
      </c>
      <c r="J68" s="6" t="s">
        <v>609</v>
      </c>
      <c r="K68" s="6">
        <f t="shared" si="4"/>
        <v>6</v>
      </c>
      <c r="L68" s="6" t="str">
        <f t="shared" si="5"/>
        <v>JUNIO</v>
      </c>
      <c r="M68" s="3"/>
    </row>
    <row r="69" spans="1:14" s="1" customFormat="1" x14ac:dyDescent="0.25">
      <c r="A69" s="5">
        <f t="shared" si="3"/>
        <v>2023</v>
      </c>
      <c r="B69" s="18" t="s">
        <v>863</v>
      </c>
      <c r="C69" s="18" t="s">
        <v>595</v>
      </c>
      <c r="D69" s="12">
        <v>4830</v>
      </c>
      <c r="E69" s="17" t="s">
        <v>58</v>
      </c>
      <c r="F69" s="12" t="s">
        <v>59</v>
      </c>
      <c r="G69" s="14">
        <v>2</v>
      </c>
      <c r="H69" s="24">
        <v>437000</v>
      </c>
      <c r="I69" s="12" t="s">
        <v>632</v>
      </c>
      <c r="J69" s="6" t="s">
        <v>611</v>
      </c>
      <c r="K69" s="6">
        <f t="shared" si="4"/>
        <v>8</v>
      </c>
      <c r="L69" s="6" t="str">
        <f t="shared" si="5"/>
        <v>AGOSTO</v>
      </c>
      <c r="M69" s="3"/>
    </row>
    <row r="70" spans="1:14" s="1" customFormat="1" x14ac:dyDescent="0.25">
      <c r="A70" s="5">
        <f t="shared" si="3"/>
        <v>2023</v>
      </c>
      <c r="B70" s="18" t="s">
        <v>771</v>
      </c>
      <c r="C70" s="18" t="s">
        <v>595</v>
      </c>
      <c r="D70" s="12">
        <v>4518</v>
      </c>
      <c r="E70" s="17">
        <v>195</v>
      </c>
      <c r="F70" s="12" t="s">
        <v>566</v>
      </c>
      <c r="G70" s="14">
        <v>4</v>
      </c>
      <c r="H70" s="24">
        <v>5000</v>
      </c>
      <c r="I70" s="12" t="s">
        <v>712</v>
      </c>
      <c r="J70" s="6" t="s">
        <v>608</v>
      </c>
      <c r="K70" s="6">
        <f t="shared" si="4"/>
        <v>2</v>
      </c>
      <c r="L70" s="6" t="str">
        <f t="shared" si="5"/>
        <v>FEBRERO</v>
      </c>
      <c r="M70" s="3"/>
    </row>
    <row r="71" spans="1:14" s="1" customFormat="1" x14ac:dyDescent="0.25">
      <c r="A71" s="5">
        <f t="shared" si="3"/>
        <v>2023</v>
      </c>
      <c r="B71" s="18" t="s">
        <v>771</v>
      </c>
      <c r="C71" s="18" t="s">
        <v>595</v>
      </c>
      <c r="D71" s="12">
        <v>4518</v>
      </c>
      <c r="E71" s="17">
        <v>186</v>
      </c>
      <c r="F71" s="12" t="s">
        <v>565</v>
      </c>
      <c r="G71" s="14">
        <v>3</v>
      </c>
      <c r="H71" s="24">
        <v>19800</v>
      </c>
      <c r="I71" s="12" t="s">
        <v>712</v>
      </c>
      <c r="J71" s="6" t="s">
        <v>608</v>
      </c>
      <c r="K71" s="6">
        <f t="shared" si="4"/>
        <v>2</v>
      </c>
      <c r="L71" s="6" t="str">
        <f t="shared" si="5"/>
        <v>FEBRERO</v>
      </c>
      <c r="M71" s="3"/>
    </row>
    <row r="72" spans="1:14" s="1" customFormat="1" x14ac:dyDescent="0.25">
      <c r="A72" s="5">
        <f t="shared" si="3"/>
        <v>2023</v>
      </c>
      <c r="B72" s="18" t="s">
        <v>862</v>
      </c>
      <c r="C72" s="18" t="s">
        <v>595</v>
      </c>
      <c r="D72" s="12">
        <v>5015</v>
      </c>
      <c r="E72" s="17" t="s">
        <v>582</v>
      </c>
      <c r="F72" s="12" t="s">
        <v>583</v>
      </c>
      <c r="G72" s="14">
        <v>2</v>
      </c>
      <c r="H72" s="24">
        <v>468000</v>
      </c>
      <c r="I72" s="12" t="s">
        <v>634</v>
      </c>
      <c r="J72" s="6" t="s">
        <v>614</v>
      </c>
      <c r="K72" s="6">
        <f t="shared" si="4"/>
        <v>12</v>
      </c>
      <c r="L72" s="6" t="str">
        <f t="shared" si="5"/>
        <v>DICIEMBRE</v>
      </c>
      <c r="M72" s="3"/>
    </row>
    <row r="73" spans="1:14" s="1" customFormat="1" x14ac:dyDescent="0.25">
      <c r="A73" s="5">
        <f t="shared" si="3"/>
        <v>2023</v>
      </c>
      <c r="B73" s="18" t="s">
        <v>819</v>
      </c>
      <c r="C73" s="18" t="s">
        <v>595</v>
      </c>
      <c r="D73" s="12">
        <v>4886</v>
      </c>
      <c r="E73" s="17" t="s">
        <v>278</v>
      </c>
      <c r="F73" s="12" t="s">
        <v>279</v>
      </c>
      <c r="G73" s="14">
        <v>1</v>
      </c>
      <c r="H73" s="24">
        <v>2782000</v>
      </c>
      <c r="I73" s="12" t="s">
        <v>546</v>
      </c>
      <c r="J73" s="6" t="s">
        <v>610</v>
      </c>
      <c r="K73" s="6">
        <f t="shared" si="4"/>
        <v>9</v>
      </c>
      <c r="L73" s="6" t="str">
        <f t="shared" si="5"/>
        <v>SEPTIEMBRE</v>
      </c>
      <c r="M73" s="3"/>
    </row>
    <row r="74" spans="1:14" s="1" customFormat="1" x14ac:dyDescent="0.25">
      <c r="A74" s="5">
        <f t="shared" si="3"/>
        <v>2023</v>
      </c>
      <c r="B74" s="18" t="s">
        <v>858</v>
      </c>
      <c r="C74" s="18" t="s">
        <v>595</v>
      </c>
      <c r="D74" s="12">
        <v>4638</v>
      </c>
      <c r="E74" s="17" t="s">
        <v>243</v>
      </c>
      <c r="F74" s="12" t="s">
        <v>244</v>
      </c>
      <c r="G74" s="14">
        <v>1</v>
      </c>
      <c r="H74" s="24">
        <v>625000</v>
      </c>
      <c r="I74" s="12" t="s">
        <v>712</v>
      </c>
      <c r="J74" s="6" t="s">
        <v>608</v>
      </c>
      <c r="K74" s="6">
        <f t="shared" si="4"/>
        <v>4</v>
      </c>
      <c r="L74" s="6" t="str">
        <f t="shared" si="5"/>
        <v>ABRIL</v>
      </c>
      <c r="M74" s="15"/>
      <c r="N74" s="13"/>
    </row>
    <row r="75" spans="1:14" s="1" customFormat="1" x14ac:dyDescent="0.25">
      <c r="A75" s="5">
        <f t="shared" si="3"/>
        <v>2023</v>
      </c>
      <c r="B75" s="18" t="s">
        <v>799</v>
      </c>
      <c r="C75" s="18" t="s">
        <v>595</v>
      </c>
      <c r="D75" s="12">
        <v>4731</v>
      </c>
      <c r="E75" s="17" t="s">
        <v>336</v>
      </c>
      <c r="F75" s="12" t="s">
        <v>337</v>
      </c>
      <c r="G75" s="14">
        <v>1</v>
      </c>
      <c r="H75" s="24">
        <v>715000</v>
      </c>
      <c r="I75" s="12" t="s">
        <v>546</v>
      </c>
      <c r="J75" s="6" t="s">
        <v>610</v>
      </c>
      <c r="K75" s="6">
        <f t="shared" si="4"/>
        <v>6</v>
      </c>
      <c r="L75" s="6" t="str">
        <f t="shared" si="5"/>
        <v>JUNIO</v>
      </c>
      <c r="M75" s="3"/>
    </row>
    <row r="76" spans="1:14" s="1" customFormat="1" x14ac:dyDescent="0.25">
      <c r="A76" s="5">
        <f t="shared" si="3"/>
        <v>2023</v>
      </c>
      <c r="B76" s="18" t="s">
        <v>815</v>
      </c>
      <c r="C76" s="18" t="s">
        <v>595</v>
      </c>
      <c r="D76" s="12">
        <v>4880</v>
      </c>
      <c r="E76" s="17" t="s">
        <v>21</v>
      </c>
      <c r="F76" s="12" t="s">
        <v>22</v>
      </c>
      <c r="G76" s="14">
        <v>3</v>
      </c>
      <c r="H76" s="24">
        <v>390000</v>
      </c>
      <c r="I76" s="12" t="s">
        <v>631</v>
      </c>
      <c r="J76" s="6" t="s">
        <v>609</v>
      </c>
      <c r="K76" s="6">
        <f t="shared" si="4"/>
        <v>9</v>
      </c>
      <c r="L76" s="6" t="str">
        <f t="shared" si="5"/>
        <v>SEPTIEMBRE</v>
      </c>
      <c r="M76" s="3"/>
    </row>
    <row r="77" spans="1:14" s="1" customFormat="1" x14ac:dyDescent="0.25">
      <c r="A77" s="5">
        <f t="shared" si="3"/>
        <v>2023</v>
      </c>
      <c r="B77" s="18" t="s">
        <v>800</v>
      </c>
      <c r="C77" s="18" t="s">
        <v>595</v>
      </c>
      <c r="D77" s="12">
        <v>4628</v>
      </c>
      <c r="E77" s="17" t="s">
        <v>92</v>
      </c>
      <c r="F77" s="12" t="s">
        <v>93</v>
      </c>
      <c r="G77" s="14">
        <v>2</v>
      </c>
      <c r="H77" s="24">
        <v>100000</v>
      </c>
      <c r="I77" s="12" t="s">
        <v>631</v>
      </c>
      <c r="J77" s="6" t="s">
        <v>609</v>
      </c>
      <c r="K77" s="6">
        <f t="shared" si="4"/>
        <v>4</v>
      </c>
      <c r="L77" s="6" t="str">
        <f t="shared" si="5"/>
        <v>ABRIL</v>
      </c>
      <c r="M77" s="3"/>
    </row>
    <row r="78" spans="1:14" s="1" customFormat="1" x14ac:dyDescent="0.25">
      <c r="A78" s="5">
        <f t="shared" si="3"/>
        <v>2023</v>
      </c>
      <c r="B78" s="18" t="s">
        <v>815</v>
      </c>
      <c r="C78" s="18" t="s">
        <v>595</v>
      </c>
      <c r="D78" s="12">
        <v>4880</v>
      </c>
      <c r="E78" s="17" t="s">
        <v>45</v>
      </c>
      <c r="F78" s="12" t="s">
        <v>46</v>
      </c>
      <c r="G78" s="14">
        <v>2</v>
      </c>
      <c r="H78" s="24">
        <v>340000</v>
      </c>
      <c r="I78" s="12" t="s">
        <v>631</v>
      </c>
      <c r="J78" s="6" t="s">
        <v>609</v>
      </c>
      <c r="K78" s="6">
        <f t="shared" si="4"/>
        <v>9</v>
      </c>
      <c r="L78" s="6" t="str">
        <f t="shared" si="5"/>
        <v>SEPTIEMBRE</v>
      </c>
      <c r="M78" s="3"/>
    </row>
    <row r="79" spans="1:14" s="1" customFormat="1" x14ac:dyDescent="0.25">
      <c r="A79" s="5">
        <f t="shared" si="3"/>
        <v>2023</v>
      </c>
      <c r="B79" s="18" t="s">
        <v>862</v>
      </c>
      <c r="C79" s="18" t="s">
        <v>595</v>
      </c>
      <c r="D79" s="12">
        <v>5017</v>
      </c>
      <c r="E79" s="17" t="s">
        <v>49</v>
      </c>
      <c r="F79" s="12" t="s">
        <v>50</v>
      </c>
      <c r="G79" s="14">
        <v>2</v>
      </c>
      <c r="H79" s="24">
        <v>108600</v>
      </c>
      <c r="I79" s="12" t="s">
        <v>712</v>
      </c>
      <c r="J79" s="6" t="s">
        <v>608</v>
      </c>
      <c r="K79" s="6">
        <f t="shared" si="4"/>
        <v>12</v>
      </c>
      <c r="L79" s="6" t="str">
        <f t="shared" si="5"/>
        <v>DICIEMBRE</v>
      </c>
      <c r="M79" s="3"/>
    </row>
    <row r="80" spans="1:14" s="1" customFormat="1" x14ac:dyDescent="0.25">
      <c r="A80" s="5">
        <f t="shared" si="3"/>
        <v>2023</v>
      </c>
      <c r="B80" s="18" t="s">
        <v>781</v>
      </c>
      <c r="C80" s="18" t="s">
        <v>595</v>
      </c>
      <c r="D80" s="12">
        <v>4949</v>
      </c>
      <c r="E80" s="17">
        <v>211</v>
      </c>
      <c r="F80" s="12" t="s">
        <v>573</v>
      </c>
      <c r="G80" s="14">
        <v>1</v>
      </c>
      <c r="H80" s="24">
        <v>100</v>
      </c>
      <c r="I80" s="12" t="s">
        <v>712</v>
      </c>
      <c r="J80" s="6" t="s">
        <v>608</v>
      </c>
      <c r="K80" s="6">
        <f t="shared" si="4"/>
        <v>10</v>
      </c>
      <c r="L80" s="6" t="str">
        <f t="shared" si="5"/>
        <v>OCTUBRE</v>
      </c>
      <c r="M80" s="3"/>
    </row>
    <row r="81" spans="1:13" s="1" customFormat="1" x14ac:dyDescent="0.25">
      <c r="A81" s="5">
        <f t="shared" si="3"/>
        <v>2023</v>
      </c>
      <c r="B81" s="18" t="s">
        <v>776</v>
      </c>
      <c r="C81" s="18" t="s">
        <v>595</v>
      </c>
      <c r="D81" s="12">
        <v>4836</v>
      </c>
      <c r="E81" s="17">
        <v>186</v>
      </c>
      <c r="F81" s="12" t="s">
        <v>565</v>
      </c>
      <c r="G81" s="14">
        <v>1</v>
      </c>
      <c r="H81" s="24">
        <v>6600</v>
      </c>
      <c r="I81" s="12" t="s">
        <v>712</v>
      </c>
      <c r="J81" s="6" t="s">
        <v>608</v>
      </c>
      <c r="K81" s="6">
        <f t="shared" si="4"/>
        <v>8</v>
      </c>
      <c r="L81" s="6" t="str">
        <f t="shared" si="5"/>
        <v>AGOSTO</v>
      </c>
      <c r="M81" s="3"/>
    </row>
    <row r="82" spans="1:13" s="1" customFormat="1" x14ac:dyDescent="0.25">
      <c r="A82" s="5">
        <f t="shared" si="3"/>
        <v>2023</v>
      </c>
      <c r="B82" s="18" t="s">
        <v>780</v>
      </c>
      <c r="C82" s="18" t="s">
        <v>595</v>
      </c>
      <c r="D82" s="12">
        <v>4932</v>
      </c>
      <c r="E82" s="17" t="s">
        <v>385</v>
      </c>
      <c r="F82" s="12" t="s">
        <v>386</v>
      </c>
      <c r="G82" s="14">
        <v>1</v>
      </c>
      <c r="H82" s="24">
        <v>1800000</v>
      </c>
      <c r="I82" s="12" t="s">
        <v>712</v>
      </c>
      <c r="J82" s="6" t="s">
        <v>608</v>
      </c>
      <c r="K82" s="6">
        <f t="shared" si="4"/>
        <v>10</v>
      </c>
      <c r="L82" s="6" t="str">
        <f t="shared" si="5"/>
        <v>OCTUBRE</v>
      </c>
      <c r="M82" s="3"/>
    </row>
    <row r="83" spans="1:13" s="1" customFormat="1" x14ac:dyDescent="0.25">
      <c r="A83" s="5">
        <f t="shared" si="3"/>
        <v>2023</v>
      </c>
      <c r="B83" s="18" t="s">
        <v>796</v>
      </c>
      <c r="C83" s="18" t="s">
        <v>595</v>
      </c>
      <c r="D83" s="12">
        <v>4914</v>
      </c>
      <c r="E83" s="17" t="s">
        <v>535</v>
      </c>
      <c r="F83" s="12" t="s">
        <v>536</v>
      </c>
      <c r="G83" s="14">
        <v>2</v>
      </c>
      <c r="H83" s="24">
        <v>320000</v>
      </c>
      <c r="I83" s="12" t="s">
        <v>631</v>
      </c>
      <c r="J83" s="6" t="s">
        <v>609</v>
      </c>
      <c r="K83" s="6">
        <f t="shared" si="4"/>
        <v>10</v>
      </c>
      <c r="L83" s="6" t="str">
        <f t="shared" si="5"/>
        <v>OCTUBRE</v>
      </c>
      <c r="M83" s="3"/>
    </row>
    <row r="84" spans="1:13" s="1" customFormat="1" x14ac:dyDescent="0.25">
      <c r="A84" s="5">
        <f t="shared" si="3"/>
        <v>2023</v>
      </c>
      <c r="B84" s="18" t="s">
        <v>870</v>
      </c>
      <c r="C84" s="18" t="s">
        <v>595</v>
      </c>
      <c r="D84" s="12">
        <v>4963</v>
      </c>
      <c r="E84" s="17" t="s">
        <v>138</v>
      </c>
      <c r="F84" s="12" t="s">
        <v>139</v>
      </c>
      <c r="G84" s="14">
        <v>6</v>
      </c>
      <c r="H84" s="24">
        <v>522000</v>
      </c>
      <c r="I84" s="12" t="s">
        <v>631</v>
      </c>
      <c r="J84" s="6" t="s">
        <v>609</v>
      </c>
      <c r="K84" s="6">
        <f t="shared" si="4"/>
        <v>11</v>
      </c>
      <c r="L84" s="6" t="str">
        <f t="shared" si="5"/>
        <v>NOVIEMBRE</v>
      </c>
      <c r="M84" s="3"/>
    </row>
    <row r="85" spans="1:13" s="1" customFormat="1" x14ac:dyDescent="0.25">
      <c r="A85" s="5">
        <f t="shared" si="3"/>
        <v>2023</v>
      </c>
      <c r="B85" s="18" t="s">
        <v>772</v>
      </c>
      <c r="C85" s="18" t="s">
        <v>595</v>
      </c>
      <c r="D85" s="12">
        <v>4982</v>
      </c>
      <c r="E85" s="17" t="s">
        <v>286</v>
      </c>
      <c r="F85" s="12" t="s">
        <v>287</v>
      </c>
      <c r="G85" s="14">
        <v>11</v>
      </c>
      <c r="H85" s="24">
        <v>1135376</v>
      </c>
      <c r="I85" s="12" t="s">
        <v>546</v>
      </c>
      <c r="J85" s="6" t="s">
        <v>610</v>
      </c>
      <c r="K85" s="6">
        <f t="shared" si="4"/>
        <v>11</v>
      </c>
      <c r="L85" s="6" t="str">
        <f t="shared" si="5"/>
        <v>NOVIEMBRE</v>
      </c>
      <c r="M85" s="3"/>
    </row>
    <row r="86" spans="1:13" s="1" customFormat="1" x14ac:dyDescent="0.25">
      <c r="A86" s="5">
        <f t="shared" si="3"/>
        <v>2023</v>
      </c>
      <c r="B86" s="18" t="s">
        <v>837</v>
      </c>
      <c r="C86" s="18" t="s">
        <v>595</v>
      </c>
      <c r="D86" s="12">
        <v>5031</v>
      </c>
      <c r="E86" s="17" t="s">
        <v>512</v>
      </c>
      <c r="F86" s="12" t="s">
        <v>513</v>
      </c>
      <c r="G86" s="14">
        <v>1</v>
      </c>
      <c r="H86" s="24">
        <v>875598</v>
      </c>
      <c r="I86" s="12" t="s">
        <v>546</v>
      </c>
      <c r="J86" s="6" t="s">
        <v>610</v>
      </c>
      <c r="K86" s="6">
        <f t="shared" si="4"/>
        <v>12</v>
      </c>
      <c r="L86" s="6" t="str">
        <f t="shared" si="5"/>
        <v>DICIEMBRE</v>
      </c>
      <c r="M86" s="3"/>
    </row>
    <row r="87" spans="1:13" s="1" customFormat="1" x14ac:dyDescent="0.25">
      <c r="A87" s="5">
        <f t="shared" si="3"/>
        <v>2023</v>
      </c>
      <c r="B87" s="18" t="s">
        <v>824</v>
      </c>
      <c r="C87" s="18" t="s">
        <v>595</v>
      </c>
      <c r="D87" s="12">
        <v>4411</v>
      </c>
      <c r="E87" s="17" t="s">
        <v>37</v>
      </c>
      <c r="F87" s="12" t="s">
        <v>38</v>
      </c>
      <c r="G87" s="14">
        <v>1</v>
      </c>
      <c r="H87" s="24">
        <v>288000</v>
      </c>
      <c r="I87" s="12" t="s">
        <v>631</v>
      </c>
      <c r="J87" s="6" t="s">
        <v>609</v>
      </c>
      <c r="K87" s="6">
        <f t="shared" si="4"/>
        <v>1</v>
      </c>
      <c r="L87" s="6" t="str">
        <f t="shared" si="5"/>
        <v>ENERO</v>
      </c>
      <c r="M87" s="3"/>
    </row>
    <row r="88" spans="1:13" s="1" customFormat="1" x14ac:dyDescent="0.25">
      <c r="A88" s="5">
        <f t="shared" si="3"/>
        <v>2023</v>
      </c>
      <c r="B88" s="18" t="s">
        <v>824</v>
      </c>
      <c r="C88" s="18" t="s">
        <v>595</v>
      </c>
      <c r="D88" s="12">
        <v>4411</v>
      </c>
      <c r="E88" s="17" t="s">
        <v>163</v>
      </c>
      <c r="F88" s="12" t="s">
        <v>164</v>
      </c>
      <c r="G88" s="14">
        <v>1</v>
      </c>
      <c r="H88" s="24">
        <v>1639200</v>
      </c>
      <c r="I88" s="12" t="s">
        <v>631</v>
      </c>
      <c r="J88" s="6" t="s">
        <v>609</v>
      </c>
      <c r="K88" s="6">
        <f t="shared" si="4"/>
        <v>1</v>
      </c>
      <c r="L88" s="6" t="str">
        <f t="shared" si="5"/>
        <v>ENERO</v>
      </c>
      <c r="M88" s="3"/>
    </row>
    <row r="89" spans="1:13" s="1" customFormat="1" x14ac:dyDescent="0.25">
      <c r="A89" s="5">
        <f t="shared" si="3"/>
        <v>2023</v>
      </c>
      <c r="B89" s="18" t="s">
        <v>824</v>
      </c>
      <c r="C89" s="18" t="s">
        <v>595</v>
      </c>
      <c r="D89" s="12">
        <v>4411</v>
      </c>
      <c r="E89" s="17" t="s">
        <v>165</v>
      </c>
      <c r="F89" s="12" t="s">
        <v>166</v>
      </c>
      <c r="G89" s="14">
        <v>1</v>
      </c>
      <c r="H89" s="24">
        <v>310900</v>
      </c>
      <c r="I89" s="12" t="s">
        <v>631</v>
      </c>
      <c r="J89" s="6" t="s">
        <v>609</v>
      </c>
      <c r="K89" s="6">
        <f t="shared" si="4"/>
        <v>1</v>
      </c>
      <c r="L89" s="6" t="str">
        <f t="shared" si="5"/>
        <v>ENERO</v>
      </c>
      <c r="M89" s="3"/>
    </row>
    <row r="90" spans="1:13" s="1" customFormat="1" x14ac:dyDescent="0.25">
      <c r="A90" s="5">
        <f t="shared" si="3"/>
        <v>2023</v>
      </c>
      <c r="B90" s="18" t="s">
        <v>868</v>
      </c>
      <c r="C90" s="18" t="s">
        <v>595</v>
      </c>
      <c r="D90" s="12">
        <v>4917</v>
      </c>
      <c r="E90" s="17" t="s">
        <v>144</v>
      </c>
      <c r="F90" s="12" t="s">
        <v>145</v>
      </c>
      <c r="G90" s="14">
        <v>4</v>
      </c>
      <c r="H90" s="24">
        <v>436000</v>
      </c>
      <c r="I90" s="12" t="s">
        <v>712</v>
      </c>
      <c r="J90" s="6" t="s">
        <v>608</v>
      </c>
      <c r="K90" s="6">
        <f t="shared" si="4"/>
        <v>10</v>
      </c>
      <c r="L90" s="6" t="str">
        <f t="shared" si="5"/>
        <v>OCTUBRE</v>
      </c>
      <c r="M90" s="3"/>
    </row>
    <row r="91" spans="1:13" s="1" customFormat="1" x14ac:dyDescent="0.25">
      <c r="A91" s="5">
        <f t="shared" si="3"/>
        <v>2023</v>
      </c>
      <c r="B91" s="18" t="s">
        <v>785</v>
      </c>
      <c r="C91" s="18" t="s">
        <v>595</v>
      </c>
      <c r="D91" s="12">
        <v>5003</v>
      </c>
      <c r="E91" s="17">
        <v>3315737</v>
      </c>
      <c r="F91" s="12" t="s">
        <v>584</v>
      </c>
      <c r="G91" s="14">
        <v>1</v>
      </c>
      <c r="H91" s="24">
        <v>67200</v>
      </c>
      <c r="I91" s="12" t="s">
        <v>634</v>
      </c>
      <c r="J91" s="6" t="s">
        <v>614</v>
      </c>
      <c r="K91" s="6">
        <f t="shared" si="4"/>
        <v>11</v>
      </c>
      <c r="L91" s="6" t="str">
        <f t="shared" si="5"/>
        <v>NOVIEMBRE</v>
      </c>
      <c r="M91" s="3"/>
    </row>
    <row r="92" spans="1:13" s="1" customFormat="1" x14ac:dyDescent="0.25">
      <c r="A92" s="5">
        <f t="shared" si="3"/>
        <v>2023</v>
      </c>
      <c r="B92" s="18" t="s">
        <v>818</v>
      </c>
      <c r="C92" s="18" t="s">
        <v>595</v>
      </c>
      <c r="D92" s="12">
        <v>4999</v>
      </c>
      <c r="E92" s="17" t="s">
        <v>494</v>
      </c>
      <c r="F92" s="12" t="s">
        <v>495</v>
      </c>
      <c r="G92" s="14">
        <v>4</v>
      </c>
      <c r="H92" s="24">
        <v>160000</v>
      </c>
      <c r="I92" s="12" t="s">
        <v>546</v>
      </c>
      <c r="J92" s="6" t="s">
        <v>610</v>
      </c>
      <c r="K92" s="6">
        <f t="shared" si="4"/>
        <v>11</v>
      </c>
      <c r="L92" s="6" t="str">
        <f t="shared" si="5"/>
        <v>NOVIEMBRE</v>
      </c>
      <c r="M92" s="3"/>
    </row>
    <row r="93" spans="1:13" s="1" customFormat="1" x14ac:dyDescent="0.25">
      <c r="A93" s="5">
        <f t="shared" si="3"/>
        <v>2023</v>
      </c>
      <c r="B93" s="18" t="s">
        <v>818</v>
      </c>
      <c r="C93" s="18" t="s">
        <v>595</v>
      </c>
      <c r="D93" s="12">
        <v>4999</v>
      </c>
      <c r="E93" s="17" t="s">
        <v>336</v>
      </c>
      <c r="F93" s="12" t="s">
        <v>337</v>
      </c>
      <c r="G93" s="14">
        <v>1</v>
      </c>
      <c r="H93" s="24">
        <v>715000</v>
      </c>
      <c r="I93" s="12" t="s">
        <v>546</v>
      </c>
      <c r="J93" s="6" t="s">
        <v>610</v>
      </c>
      <c r="K93" s="6">
        <f t="shared" si="4"/>
        <v>11</v>
      </c>
      <c r="L93" s="6" t="str">
        <f t="shared" si="5"/>
        <v>NOVIEMBRE</v>
      </c>
      <c r="M93" s="3"/>
    </row>
    <row r="94" spans="1:13" s="1" customFormat="1" x14ac:dyDescent="0.25">
      <c r="A94" s="5">
        <f t="shared" si="3"/>
        <v>2024</v>
      </c>
      <c r="B94" s="18" t="s">
        <v>881</v>
      </c>
      <c r="C94" s="18" t="s">
        <v>595</v>
      </c>
      <c r="D94" s="12">
        <v>5671</v>
      </c>
      <c r="E94" s="17" t="s">
        <v>297</v>
      </c>
      <c r="F94" s="12" t="s">
        <v>298</v>
      </c>
      <c r="G94" s="14">
        <v>1</v>
      </c>
      <c r="H94" s="24">
        <v>135600</v>
      </c>
      <c r="I94" s="12" t="s">
        <v>634</v>
      </c>
      <c r="J94" s="6" t="s">
        <v>614</v>
      </c>
      <c r="K94" s="6">
        <f t="shared" si="4"/>
        <v>11</v>
      </c>
      <c r="L94" s="6" t="str">
        <f t="shared" si="5"/>
        <v>NOVIEMBRE</v>
      </c>
      <c r="M94" s="3"/>
    </row>
    <row r="95" spans="1:13" s="1" customFormat="1" x14ac:dyDescent="0.25">
      <c r="A95" s="5">
        <f t="shared" si="3"/>
        <v>2024</v>
      </c>
      <c r="B95" s="18" t="s">
        <v>866</v>
      </c>
      <c r="C95" s="18" t="s">
        <v>595</v>
      </c>
      <c r="D95" s="12">
        <v>5131</v>
      </c>
      <c r="E95" s="17" t="s">
        <v>68</v>
      </c>
      <c r="F95" s="12" t="s">
        <v>69</v>
      </c>
      <c r="G95" s="14">
        <v>3</v>
      </c>
      <c r="H95" s="24">
        <v>1830000</v>
      </c>
      <c r="I95" s="12" t="s">
        <v>712</v>
      </c>
      <c r="J95" s="6" t="s">
        <v>608</v>
      </c>
      <c r="K95" s="6">
        <f t="shared" si="4"/>
        <v>2</v>
      </c>
      <c r="L95" s="6" t="str">
        <f t="shared" si="5"/>
        <v>FEBRERO</v>
      </c>
      <c r="M95" s="3"/>
    </row>
    <row r="96" spans="1:13" s="1" customFormat="1" x14ac:dyDescent="0.25">
      <c r="A96" s="5">
        <f t="shared" si="3"/>
        <v>2024</v>
      </c>
      <c r="B96" s="18" t="s">
        <v>866</v>
      </c>
      <c r="C96" s="18" t="s">
        <v>595</v>
      </c>
      <c r="D96" s="12">
        <v>5131</v>
      </c>
      <c r="E96" s="17" t="s">
        <v>597</v>
      </c>
      <c r="F96" s="12" t="s">
        <v>601</v>
      </c>
      <c r="G96" s="14">
        <v>6</v>
      </c>
      <c r="H96" s="24">
        <v>3360000</v>
      </c>
      <c r="I96" s="12" t="s">
        <v>712</v>
      </c>
      <c r="J96" s="6" t="s">
        <v>608</v>
      </c>
      <c r="K96" s="6">
        <f t="shared" si="4"/>
        <v>2</v>
      </c>
      <c r="L96" s="6" t="str">
        <f t="shared" si="5"/>
        <v>FEBRERO</v>
      </c>
      <c r="M96" s="3"/>
    </row>
    <row r="97" spans="1:13" s="1" customFormat="1" x14ac:dyDescent="0.25">
      <c r="A97" s="5">
        <f t="shared" si="3"/>
        <v>2024</v>
      </c>
      <c r="B97" s="18" t="s">
        <v>778</v>
      </c>
      <c r="C97" s="18" t="s">
        <v>595</v>
      </c>
      <c r="D97" s="12">
        <v>5065</v>
      </c>
      <c r="E97" s="17" t="s">
        <v>88</v>
      </c>
      <c r="F97" s="12" t="s">
        <v>89</v>
      </c>
      <c r="G97" s="14">
        <v>2</v>
      </c>
      <c r="H97" s="24">
        <v>200000</v>
      </c>
      <c r="I97" s="12" t="s">
        <v>631</v>
      </c>
      <c r="J97" s="6" t="s">
        <v>609</v>
      </c>
      <c r="K97" s="6">
        <f t="shared" si="4"/>
        <v>1</v>
      </c>
      <c r="L97" s="6" t="str">
        <f t="shared" si="5"/>
        <v>ENERO</v>
      </c>
      <c r="M97" s="3"/>
    </row>
    <row r="98" spans="1:13" s="1" customFormat="1" x14ac:dyDescent="0.25">
      <c r="A98" s="5">
        <f t="shared" si="3"/>
        <v>2024</v>
      </c>
      <c r="B98" s="18" t="s">
        <v>767</v>
      </c>
      <c r="C98" s="18" t="s">
        <v>595</v>
      </c>
      <c r="D98" s="12">
        <v>5486</v>
      </c>
      <c r="E98" s="17">
        <v>147</v>
      </c>
      <c r="F98" s="12" t="s">
        <v>571</v>
      </c>
      <c r="G98" s="14">
        <v>12</v>
      </c>
      <c r="H98" s="24">
        <v>3600</v>
      </c>
      <c r="I98" s="12" t="s">
        <v>712</v>
      </c>
      <c r="J98" s="6" t="s">
        <v>608</v>
      </c>
      <c r="K98" s="6">
        <f t="shared" si="4"/>
        <v>8</v>
      </c>
      <c r="L98" s="6" t="str">
        <f t="shared" si="5"/>
        <v>AGOSTO</v>
      </c>
      <c r="M98" s="3"/>
    </row>
    <row r="99" spans="1:13" s="1" customFormat="1" x14ac:dyDescent="0.25">
      <c r="A99" s="5">
        <f t="shared" si="3"/>
        <v>2024</v>
      </c>
      <c r="B99" s="18" t="s">
        <v>789</v>
      </c>
      <c r="C99" s="18" t="s">
        <v>595</v>
      </c>
      <c r="D99" s="12">
        <v>5125</v>
      </c>
      <c r="E99" s="17">
        <v>147</v>
      </c>
      <c r="F99" s="12" t="s">
        <v>571</v>
      </c>
      <c r="G99" s="14">
        <v>1</v>
      </c>
      <c r="H99" s="24">
        <v>300</v>
      </c>
      <c r="I99" s="12" t="s">
        <v>712</v>
      </c>
      <c r="J99" s="6" t="s">
        <v>608</v>
      </c>
      <c r="K99" s="6">
        <f t="shared" si="4"/>
        <v>2</v>
      </c>
      <c r="L99" s="6" t="str">
        <f t="shared" si="5"/>
        <v>FEBRERO</v>
      </c>
      <c r="M99" s="3"/>
    </row>
    <row r="100" spans="1:13" s="1" customFormat="1" x14ac:dyDescent="0.25">
      <c r="A100" s="5">
        <f t="shared" si="3"/>
        <v>2024</v>
      </c>
      <c r="B100" s="18" t="s">
        <v>865</v>
      </c>
      <c r="C100" s="18" t="s">
        <v>595</v>
      </c>
      <c r="D100" s="12">
        <v>5092</v>
      </c>
      <c r="E100" s="17" t="s">
        <v>313</v>
      </c>
      <c r="F100" s="12" t="s">
        <v>314</v>
      </c>
      <c r="G100" s="14">
        <v>1</v>
      </c>
      <c r="H100" s="24">
        <v>1600000</v>
      </c>
      <c r="I100" s="12" t="s">
        <v>631</v>
      </c>
      <c r="J100" s="6" t="s">
        <v>609</v>
      </c>
      <c r="K100" s="6">
        <f t="shared" si="4"/>
        <v>2</v>
      </c>
      <c r="L100" s="6" t="str">
        <f t="shared" si="5"/>
        <v>FEBRERO</v>
      </c>
      <c r="M100" s="3"/>
    </row>
    <row r="101" spans="1:13" s="1" customFormat="1" x14ac:dyDescent="0.25">
      <c r="A101" s="5">
        <f t="shared" si="3"/>
        <v>2024</v>
      </c>
      <c r="B101" s="18" t="s">
        <v>886</v>
      </c>
      <c r="C101" s="18" t="s">
        <v>595</v>
      </c>
      <c r="D101" s="12">
        <v>5730</v>
      </c>
      <c r="E101" s="17" t="s">
        <v>888</v>
      </c>
      <c r="F101" s="12" t="s">
        <v>890</v>
      </c>
      <c r="G101" s="14">
        <v>1</v>
      </c>
      <c r="H101" s="24">
        <v>1525084.4</v>
      </c>
      <c r="I101" s="12" t="s">
        <v>633</v>
      </c>
      <c r="J101" s="6" t="s">
        <v>612</v>
      </c>
      <c r="K101" s="6">
        <f t="shared" si="4"/>
        <v>12</v>
      </c>
      <c r="L101" s="6" t="str">
        <f t="shared" si="5"/>
        <v>DICIEMBRE</v>
      </c>
      <c r="M101" s="3"/>
    </row>
    <row r="102" spans="1:13" s="1" customFormat="1" x14ac:dyDescent="0.25">
      <c r="A102" s="5">
        <f t="shared" si="3"/>
        <v>2024</v>
      </c>
      <c r="B102" s="18" t="s">
        <v>823</v>
      </c>
      <c r="C102" s="18" t="s">
        <v>595</v>
      </c>
      <c r="D102" s="12">
        <v>5419</v>
      </c>
      <c r="E102" s="17" t="s">
        <v>131</v>
      </c>
      <c r="F102" s="12" t="s">
        <v>132</v>
      </c>
      <c r="G102" s="14">
        <v>1</v>
      </c>
      <c r="H102" s="24">
        <v>202000</v>
      </c>
      <c r="I102" s="12" t="s">
        <v>712</v>
      </c>
      <c r="J102" s="6" t="s">
        <v>608</v>
      </c>
      <c r="K102" s="6">
        <f t="shared" si="4"/>
        <v>8</v>
      </c>
      <c r="L102" s="6" t="str">
        <f t="shared" si="5"/>
        <v>AGOSTO</v>
      </c>
      <c r="M102" s="3"/>
    </row>
    <row r="103" spans="1:13" s="1" customFormat="1" x14ac:dyDescent="0.25">
      <c r="A103" s="5">
        <f t="shared" si="3"/>
        <v>2024</v>
      </c>
      <c r="B103" s="18" t="s">
        <v>823</v>
      </c>
      <c r="C103" s="18" t="s">
        <v>595</v>
      </c>
      <c r="D103" s="12">
        <v>5419</v>
      </c>
      <c r="E103" s="17" t="s">
        <v>709</v>
      </c>
      <c r="F103" s="12" t="s">
        <v>711</v>
      </c>
      <c r="G103" s="14">
        <v>2</v>
      </c>
      <c r="H103" s="24">
        <v>1294000</v>
      </c>
      <c r="I103" s="12" t="s">
        <v>712</v>
      </c>
      <c r="J103" s="6" t="s">
        <v>608</v>
      </c>
      <c r="K103" s="6">
        <f t="shared" si="4"/>
        <v>8</v>
      </c>
      <c r="L103" s="6" t="str">
        <f t="shared" si="5"/>
        <v>AGOSTO</v>
      </c>
      <c r="M103" s="3"/>
    </row>
    <row r="104" spans="1:13" s="1" customFormat="1" x14ac:dyDescent="0.25">
      <c r="A104" s="5">
        <f t="shared" si="3"/>
        <v>2024</v>
      </c>
      <c r="B104" s="18" t="s">
        <v>823</v>
      </c>
      <c r="C104" s="18" t="s">
        <v>595</v>
      </c>
      <c r="D104" s="12">
        <v>5419</v>
      </c>
      <c r="E104" s="17" t="s">
        <v>708</v>
      </c>
      <c r="F104" s="12" t="s">
        <v>710</v>
      </c>
      <c r="G104" s="14">
        <v>2</v>
      </c>
      <c r="H104" s="24">
        <v>1348000</v>
      </c>
      <c r="I104" s="12" t="s">
        <v>712</v>
      </c>
      <c r="J104" s="6" t="s">
        <v>608</v>
      </c>
      <c r="K104" s="6">
        <f t="shared" si="4"/>
        <v>8</v>
      </c>
      <c r="L104" s="6" t="str">
        <f t="shared" si="5"/>
        <v>AGOSTO</v>
      </c>
      <c r="M104" s="3"/>
    </row>
    <row r="105" spans="1:13" s="1" customFormat="1" x14ac:dyDescent="0.25">
      <c r="A105" s="5">
        <f t="shared" si="3"/>
        <v>2024</v>
      </c>
      <c r="B105" s="18" t="s">
        <v>792</v>
      </c>
      <c r="C105" s="18" t="s">
        <v>595</v>
      </c>
      <c r="D105" s="12">
        <v>5442</v>
      </c>
      <c r="E105" s="17" t="s">
        <v>373</v>
      </c>
      <c r="F105" s="12" t="s">
        <v>374</v>
      </c>
      <c r="G105" s="14">
        <v>2</v>
      </c>
      <c r="H105" s="24">
        <v>766116</v>
      </c>
      <c r="I105" s="12" t="s">
        <v>546</v>
      </c>
      <c r="J105" s="6" t="s">
        <v>610</v>
      </c>
      <c r="K105" s="6">
        <f t="shared" si="4"/>
        <v>8</v>
      </c>
      <c r="L105" s="6" t="str">
        <f t="shared" si="5"/>
        <v>AGOSTO</v>
      </c>
      <c r="M105" s="3"/>
    </row>
    <row r="106" spans="1:13" s="1" customFormat="1" x14ac:dyDescent="0.25">
      <c r="A106" s="5">
        <f t="shared" si="3"/>
        <v>2024</v>
      </c>
      <c r="B106" s="18" t="s">
        <v>809</v>
      </c>
      <c r="C106" s="18" t="s">
        <v>595</v>
      </c>
      <c r="D106" s="12">
        <v>5351</v>
      </c>
      <c r="E106" s="17" t="s">
        <v>664</v>
      </c>
      <c r="F106" s="12" t="s">
        <v>665</v>
      </c>
      <c r="G106" s="14">
        <v>1</v>
      </c>
      <c r="H106" s="24">
        <v>450000</v>
      </c>
      <c r="I106" s="12" t="s">
        <v>631</v>
      </c>
      <c r="J106" s="6" t="s">
        <v>609</v>
      </c>
      <c r="K106" s="6">
        <f t="shared" si="4"/>
        <v>7</v>
      </c>
      <c r="L106" s="6" t="str">
        <f t="shared" si="5"/>
        <v>JULIO</v>
      </c>
      <c r="M106" s="3"/>
    </row>
    <row r="107" spans="1:13" s="1" customFormat="1" x14ac:dyDescent="0.25">
      <c r="A107" s="5">
        <f t="shared" si="3"/>
        <v>2024</v>
      </c>
      <c r="B107" s="18" t="s">
        <v>809</v>
      </c>
      <c r="C107" s="18" t="s">
        <v>595</v>
      </c>
      <c r="D107" s="12">
        <v>5351</v>
      </c>
      <c r="E107" s="17" t="s">
        <v>1062</v>
      </c>
      <c r="F107" s="12" t="s">
        <v>666</v>
      </c>
      <c r="G107" s="14">
        <v>1</v>
      </c>
      <c r="H107" s="24">
        <v>1100000</v>
      </c>
      <c r="I107" s="12" t="s">
        <v>631</v>
      </c>
      <c r="J107" s="6" t="s">
        <v>609</v>
      </c>
      <c r="K107" s="6">
        <f t="shared" si="4"/>
        <v>7</v>
      </c>
      <c r="L107" s="6" t="str">
        <f t="shared" si="5"/>
        <v>JULIO</v>
      </c>
      <c r="M107" s="3"/>
    </row>
    <row r="108" spans="1:13" s="1" customFormat="1" x14ac:dyDescent="0.25">
      <c r="A108" s="5">
        <f t="shared" si="3"/>
        <v>2024</v>
      </c>
      <c r="B108" s="18" t="s">
        <v>766</v>
      </c>
      <c r="C108" s="18" t="s">
        <v>595</v>
      </c>
      <c r="D108" s="12">
        <v>5231</v>
      </c>
      <c r="E108" s="17">
        <v>4301851</v>
      </c>
      <c r="F108" s="12" t="s">
        <v>185</v>
      </c>
      <c r="G108" s="14">
        <v>4</v>
      </c>
      <c r="H108" s="24">
        <v>596000</v>
      </c>
      <c r="I108" s="12" t="s">
        <v>634</v>
      </c>
      <c r="J108" s="6" t="s">
        <v>614</v>
      </c>
      <c r="K108" s="6">
        <f t="shared" si="4"/>
        <v>4</v>
      </c>
      <c r="L108" s="6" t="str">
        <f t="shared" si="5"/>
        <v>ABRIL</v>
      </c>
      <c r="M108" s="3"/>
    </row>
    <row r="109" spans="1:13" s="1" customFormat="1" x14ac:dyDescent="0.25">
      <c r="A109" s="5">
        <f t="shared" si="3"/>
        <v>2024</v>
      </c>
      <c r="B109" s="18" t="s">
        <v>821</v>
      </c>
      <c r="C109" s="18" t="s">
        <v>595</v>
      </c>
      <c r="D109" s="12">
        <v>5338</v>
      </c>
      <c r="E109" s="17" t="s">
        <v>406</v>
      </c>
      <c r="F109" s="12" t="s">
        <v>407</v>
      </c>
      <c r="G109" s="14">
        <v>1</v>
      </c>
      <c r="H109" s="24">
        <v>257461</v>
      </c>
      <c r="I109" s="12" t="s">
        <v>546</v>
      </c>
      <c r="J109" s="6" t="s">
        <v>610</v>
      </c>
      <c r="K109" s="6">
        <f t="shared" si="4"/>
        <v>6</v>
      </c>
      <c r="L109" s="6" t="str">
        <f t="shared" si="5"/>
        <v>JUNIO</v>
      </c>
      <c r="M109" s="3"/>
    </row>
    <row r="110" spans="1:13" s="1" customFormat="1" x14ac:dyDescent="0.25">
      <c r="A110" s="5">
        <f t="shared" si="3"/>
        <v>2024</v>
      </c>
      <c r="B110" s="18" t="s">
        <v>829</v>
      </c>
      <c r="C110" s="18" t="s">
        <v>595</v>
      </c>
      <c r="D110" s="12">
        <v>5227</v>
      </c>
      <c r="E110" s="17">
        <v>4302704</v>
      </c>
      <c r="F110" s="12" t="s">
        <v>644</v>
      </c>
      <c r="G110" s="14">
        <v>1</v>
      </c>
      <c r="H110" s="24">
        <v>117936</v>
      </c>
      <c r="I110" s="12" t="s">
        <v>634</v>
      </c>
      <c r="J110" s="6" t="s">
        <v>614</v>
      </c>
      <c r="K110" s="6">
        <f t="shared" si="4"/>
        <v>4</v>
      </c>
      <c r="L110" s="6" t="str">
        <f t="shared" si="5"/>
        <v>ABRIL</v>
      </c>
      <c r="M110" s="3"/>
    </row>
    <row r="111" spans="1:13" s="1" customFormat="1" x14ac:dyDescent="0.25">
      <c r="A111" s="5">
        <f t="shared" si="3"/>
        <v>2024</v>
      </c>
      <c r="B111" s="18" t="s">
        <v>803</v>
      </c>
      <c r="C111" s="18" t="s">
        <v>595</v>
      </c>
      <c r="D111" s="12">
        <v>5257</v>
      </c>
      <c r="E111" s="17" t="s">
        <v>621</v>
      </c>
      <c r="F111" s="12" t="s">
        <v>623</v>
      </c>
      <c r="G111" s="14">
        <v>1</v>
      </c>
      <c r="H111" s="24">
        <v>280000</v>
      </c>
      <c r="I111" s="12" t="s">
        <v>712</v>
      </c>
      <c r="J111" s="6" t="s">
        <v>608</v>
      </c>
      <c r="K111" s="6">
        <f t="shared" si="4"/>
        <v>5</v>
      </c>
      <c r="L111" s="6" t="str">
        <f t="shared" si="5"/>
        <v>MAYO</v>
      </c>
      <c r="M111" s="3"/>
    </row>
    <row r="112" spans="1:13" s="1" customFormat="1" x14ac:dyDescent="0.25">
      <c r="A112" s="5">
        <f t="shared" si="3"/>
        <v>2024</v>
      </c>
      <c r="B112" s="18" t="s">
        <v>806</v>
      </c>
      <c r="C112" s="18" t="s">
        <v>595</v>
      </c>
      <c r="D112" s="12">
        <v>5305</v>
      </c>
      <c r="E112" s="17" t="s">
        <v>173</v>
      </c>
      <c r="F112" s="12" t="s">
        <v>174</v>
      </c>
      <c r="G112" s="14">
        <v>1</v>
      </c>
      <c r="H112" s="24">
        <v>230000</v>
      </c>
      <c r="I112" s="12" t="s">
        <v>712</v>
      </c>
      <c r="J112" s="6" t="s">
        <v>608</v>
      </c>
      <c r="K112" s="6">
        <f t="shared" si="4"/>
        <v>6</v>
      </c>
      <c r="L112" s="6" t="str">
        <f t="shared" si="5"/>
        <v>JUNIO</v>
      </c>
      <c r="M112" s="3"/>
    </row>
    <row r="113" spans="1:13" s="1" customFormat="1" x14ac:dyDescent="0.25">
      <c r="A113" s="5">
        <f t="shared" si="3"/>
        <v>2024</v>
      </c>
      <c r="B113" s="18" t="s">
        <v>816</v>
      </c>
      <c r="C113" s="18" t="s">
        <v>595</v>
      </c>
      <c r="D113" s="12">
        <v>5522</v>
      </c>
      <c r="E113" s="17" t="s">
        <v>196</v>
      </c>
      <c r="F113" s="12" t="s">
        <v>197</v>
      </c>
      <c r="G113" s="14">
        <v>1</v>
      </c>
      <c r="H113" s="24">
        <v>2486400</v>
      </c>
      <c r="I113" s="12" t="s">
        <v>634</v>
      </c>
      <c r="J113" s="6" t="s">
        <v>614</v>
      </c>
      <c r="K113" s="6">
        <f t="shared" si="4"/>
        <v>9</v>
      </c>
      <c r="L113" s="6" t="str">
        <f t="shared" si="5"/>
        <v>SEPTIEMBRE</v>
      </c>
      <c r="M113" s="3"/>
    </row>
    <row r="114" spans="1:13" s="1" customFormat="1" x14ac:dyDescent="0.25">
      <c r="A114" s="5">
        <f t="shared" si="3"/>
        <v>2024</v>
      </c>
      <c r="B114" s="18" t="s">
        <v>1077</v>
      </c>
      <c r="C114" s="18" t="s">
        <v>595</v>
      </c>
      <c r="D114" s="12">
        <v>5604</v>
      </c>
      <c r="E114" s="17" t="s">
        <v>678</v>
      </c>
      <c r="F114" s="12" t="s">
        <v>695</v>
      </c>
      <c r="G114" s="14">
        <v>1</v>
      </c>
      <c r="H114" s="24">
        <v>71007</v>
      </c>
      <c r="I114" s="12" t="s">
        <v>704</v>
      </c>
      <c r="J114" s="6" t="s">
        <v>706</v>
      </c>
      <c r="K114" s="6">
        <f t="shared" si="4"/>
        <v>10</v>
      </c>
      <c r="L114" s="6" t="str">
        <f t="shared" si="5"/>
        <v>OCTUBRE</v>
      </c>
      <c r="M114" s="3"/>
    </row>
    <row r="115" spans="1:13" s="1" customFormat="1" x14ac:dyDescent="0.25">
      <c r="A115" s="5">
        <f t="shared" si="3"/>
        <v>2024</v>
      </c>
      <c r="B115" s="18" t="s">
        <v>869</v>
      </c>
      <c r="C115" s="18" t="s">
        <v>595</v>
      </c>
      <c r="D115" s="12">
        <v>5205</v>
      </c>
      <c r="E115" s="17" t="s">
        <v>598</v>
      </c>
      <c r="F115" s="12" t="s">
        <v>602</v>
      </c>
      <c r="G115" s="14">
        <v>1</v>
      </c>
      <c r="H115" s="24">
        <v>460000</v>
      </c>
      <c r="I115" s="12" t="s">
        <v>712</v>
      </c>
      <c r="J115" s="6" t="s">
        <v>608</v>
      </c>
      <c r="K115" s="6">
        <f t="shared" si="4"/>
        <v>4</v>
      </c>
      <c r="L115" s="6" t="str">
        <f t="shared" si="5"/>
        <v>ABRIL</v>
      </c>
      <c r="M115" s="3"/>
    </row>
    <row r="116" spans="1:13" s="1" customFormat="1" x14ac:dyDescent="0.25">
      <c r="A116" s="5">
        <f t="shared" si="3"/>
        <v>2024</v>
      </c>
      <c r="B116" s="18" t="s">
        <v>813</v>
      </c>
      <c r="C116" s="18" t="s">
        <v>595</v>
      </c>
      <c r="D116" s="12">
        <v>5581</v>
      </c>
      <c r="E116" s="17" t="s">
        <v>735</v>
      </c>
      <c r="F116" s="12" t="s">
        <v>736</v>
      </c>
      <c r="G116" s="14">
        <v>2</v>
      </c>
      <c r="H116" s="24">
        <v>360000</v>
      </c>
      <c r="I116" s="12" t="s">
        <v>631</v>
      </c>
      <c r="J116" s="6" t="s">
        <v>609</v>
      </c>
      <c r="K116" s="6">
        <f t="shared" si="4"/>
        <v>10</v>
      </c>
      <c r="L116" s="6" t="str">
        <f t="shared" si="5"/>
        <v>OCTUBRE</v>
      </c>
      <c r="M116" s="3"/>
    </row>
    <row r="117" spans="1:13" s="1" customFormat="1" x14ac:dyDescent="0.25">
      <c r="A117" s="5">
        <f t="shared" si="3"/>
        <v>2024</v>
      </c>
      <c r="B117" s="18" t="s">
        <v>813</v>
      </c>
      <c r="C117" s="18" t="s">
        <v>595</v>
      </c>
      <c r="D117" s="12">
        <v>5581</v>
      </c>
      <c r="E117" s="17" t="s">
        <v>514</v>
      </c>
      <c r="F117" s="12" t="s">
        <v>515</v>
      </c>
      <c r="G117" s="14">
        <v>2</v>
      </c>
      <c r="H117" s="24">
        <v>560000</v>
      </c>
      <c r="I117" s="12" t="s">
        <v>631</v>
      </c>
      <c r="J117" s="6" t="s">
        <v>609</v>
      </c>
      <c r="K117" s="6">
        <f t="shared" si="4"/>
        <v>10</v>
      </c>
      <c r="L117" s="6" t="str">
        <f t="shared" si="5"/>
        <v>OCTUBRE</v>
      </c>
      <c r="M117" s="3"/>
    </row>
    <row r="118" spans="1:13" s="1" customFormat="1" x14ac:dyDescent="0.25">
      <c r="A118" s="5">
        <f t="shared" si="3"/>
        <v>2024</v>
      </c>
      <c r="B118" s="18" t="s">
        <v>794</v>
      </c>
      <c r="C118" s="18" t="s">
        <v>595</v>
      </c>
      <c r="D118" s="12">
        <v>5352</v>
      </c>
      <c r="E118" s="17" t="s">
        <v>315</v>
      </c>
      <c r="F118" s="12" t="s">
        <v>316</v>
      </c>
      <c r="G118" s="14">
        <v>2</v>
      </c>
      <c r="H118" s="24">
        <v>553650</v>
      </c>
      <c r="I118" s="12" t="s">
        <v>546</v>
      </c>
      <c r="J118" s="6" t="s">
        <v>610</v>
      </c>
      <c r="K118" s="6">
        <f t="shared" si="4"/>
        <v>7</v>
      </c>
      <c r="L118" s="6" t="str">
        <f t="shared" si="5"/>
        <v>JULIO</v>
      </c>
      <c r="M118" s="3"/>
    </row>
    <row r="119" spans="1:13" s="1" customFormat="1" x14ac:dyDescent="0.25">
      <c r="A119" s="5">
        <f t="shared" si="3"/>
        <v>2024</v>
      </c>
      <c r="B119" s="18" t="s">
        <v>784</v>
      </c>
      <c r="C119" s="18" t="s">
        <v>595</v>
      </c>
      <c r="D119" s="12">
        <v>5476</v>
      </c>
      <c r="E119" s="17" t="s">
        <v>196</v>
      </c>
      <c r="F119" s="12" t="s">
        <v>197</v>
      </c>
      <c r="G119" s="14">
        <v>1</v>
      </c>
      <c r="H119" s="24">
        <v>2486400</v>
      </c>
      <c r="I119" s="12" t="s">
        <v>634</v>
      </c>
      <c r="J119" s="6" t="s">
        <v>614</v>
      </c>
      <c r="K119" s="6">
        <f t="shared" si="4"/>
        <v>8</v>
      </c>
      <c r="L119" s="6" t="str">
        <f t="shared" si="5"/>
        <v>AGOSTO</v>
      </c>
      <c r="M119" s="3"/>
    </row>
    <row r="120" spans="1:13" s="1" customFormat="1" x14ac:dyDescent="0.25">
      <c r="A120" s="5">
        <f t="shared" si="3"/>
        <v>2024</v>
      </c>
      <c r="B120" s="18" t="s">
        <v>805</v>
      </c>
      <c r="C120" s="18" t="s">
        <v>595</v>
      </c>
      <c r="D120" s="12">
        <v>5269</v>
      </c>
      <c r="E120" s="17">
        <v>7059</v>
      </c>
      <c r="F120" s="12" t="s">
        <v>27</v>
      </c>
      <c r="G120" s="14">
        <v>3</v>
      </c>
      <c r="H120" s="24">
        <v>570000</v>
      </c>
      <c r="I120" s="12" t="s">
        <v>631</v>
      </c>
      <c r="J120" s="6" t="s">
        <v>609</v>
      </c>
      <c r="K120" s="6">
        <f t="shared" si="4"/>
        <v>5</v>
      </c>
      <c r="L120" s="6" t="str">
        <f t="shared" si="5"/>
        <v>MAYO</v>
      </c>
      <c r="M120" s="3"/>
    </row>
    <row r="121" spans="1:13" s="1" customFormat="1" x14ac:dyDescent="0.25">
      <c r="A121" s="5">
        <f t="shared" si="3"/>
        <v>2024</v>
      </c>
      <c r="B121" s="18" t="s">
        <v>814</v>
      </c>
      <c r="C121" s="18" t="s">
        <v>595</v>
      </c>
      <c r="D121" s="12">
        <v>5497</v>
      </c>
      <c r="E121" s="17">
        <v>16980</v>
      </c>
      <c r="F121" s="12" t="s">
        <v>154</v>
      </c>
      <c r="G121" s="14">
        <v>1</v>
      </c>
      <c r="H121" s="24">
        <v>3636</v>
      </c>
      <c r="I121" s="12" t="s">
        <v>704</v>
      </c>
      <c r="J121" s="6" t="s">
        <v>706</v>
      </c>
      <c r="K121" s="6">
        <f t="shared" si="4"/>
        <v>9</v>
      </c>
      <c r="L121" s="6" t="str">
        <f t="shared" si="5"/>
        <v>SEPTIEMBRE</v>
      </c>
      <c r="M121" s="3"/>
    </row>
    <row r="122" spans="1:13" s="1" customFormat="1" x14ac:dyDescent="0.25">
      <c r="A122" s="5">
        <f t="shared" si="3"/>
        <v>2024</v>
      </c>
      <c r="B122" s="18" t="s">
        <v>817</v>
      </c>
      <c r="C122" s="18" t="s">
        <v>595</v>
      </c>
      <c r="D122" s="12">
        <v>5550</v>
      </c>
      <c r="E122" s="17" t="s">
        <v>732</v>
      </c>
      <c r="F122" s="12" t="s">
        <v>733</v>
      </c>
      <c r="G122" s="14">
        <v>1</v>
      </c>
      <c r="H122" s="24">
        <v>235000</v>
      </c>
      <c r="I122" s="12" t="s">
        <v>712</v>
      </c>
      <c r="J122" s="6" t="s">
        <v>608</v>
      </c>
      <c r="K122" s="6">
        <f t="shared" si="4"/>
        <v>9</v>
      </c>
      <c r="L122" s="6" t="str">
        <f t="shared" si="5"/>
        <v>SEPTIEMBRE</v>
      </c>
      <c r="M122" s="3"/>
    </row>
    <row r="123" spans="1:13" s="1" customFormat="1" x14ac:dyDescent="0.25">
      <c r="A123" s="5">
        <f t="shared" si="3"/>
        <v>2024</v>
      </c>
      <c r="B123" s="18" t="s">
        <v>809</v>
      </c>
      <c r="C123" s="18" t="s">
        <v>595</v>
      </c>
      <c r="D123" s="12">
        <v>5348</v>
      </c>
      <c r="E123" s="17" t="s">
        <v>255</v>
      </c>
      <c r="F123" s="12" t="s">
        <v>256</v>
      </c>
      <c r="G123" s="14">
        <v>1</v>
      </c>
      <c r="H123" s="24">
        <v>85000</v>
      </c>
      <c r="I123" s="12" t="s">
        <v>712</v>
      </c>
      <c r="J123" s="6" t="s">
        <v>608</v>
      </c>
      <c r="K123" s="6">
        <f t="shared" si="4"/>
        <v>7</v>
      </c>
      <c r="L123" s="6" t="str">
        <f t="shared" si="5"/>
        <v>JULIO</v>
      </c>
      <c r="M123" s="3"/>
    </row>
    <row r="124" spans="1:13" s="1" customFormat="1" x14ac:dyDescent="0.25">
      <c r="A124" s="5">
        <f t="shared" ref="A124:A180" si="6">+YEAR(B124)</f>
        <v>2024</v>
      </c>
      <c r="B124" s="18" t="s">
        <v>876</v>
      </c>
      <c r="C124" s="18" t="s">
        <v>595</v>
      </c>
      <c r="D124" s="12">
        <v>5640</v>
      </c>
      <c r="E124" s="17">
        <v>216</v>
      </c>
      <c r="F124" s="12" t="s">
        <v>880</v>
      </c>
      <c r="G124" s="14">
        <v>2</v>
      </c>
      <c r="H124" s="24">
        <v>8000</v>
      </c>
      <c r="I124" s="12" t="s">
        <v>712</v>
      </c>
      <c r="J124" s="6" t="s">
        <v>608</v>
      </c>
      <c r="K124" s="6">
        <f t="shared" ref="K124:K180" si="7">+MONTH(B124)</f>
        <v>11</v>
      </c>
      <c r="L124" s="6" t="str">
        <f t="shared" si="5"/>
        <v>NOVIEMBRE</v>
      </c>
      <c r="M124" s="3"/>
    </row>
    <row r="125" spans="1:13" s="1" customFormat="1" x14ac:dyDescent="0.25">
      <c r="A125" s="5">
        <f t="shared" si="6"/>
        <v>2024</v>
      </c>
      <c r="B125" s="18" t="s">
        <v>876</v>
      </c>
      <c r="C125" s="18" t="s">
        <v>595</v>
      </c>
      <c r="D125" s="12">
        <v>5640</v>
      </c>
      <c r="E125" s="17">
        <v>128</v>
      </c>
      <c r="F125" s="12" t="s">
        <v>564</v>
      </c>
      <c r="G125" s="14">
        <v>1</v>
      </c>
      <c r="H125" s="24">
        <v>126</v>
      </c>
      <c r="I125" s="12" t="s">
        <v>712</v>
      </c>
      <c r="J125" s="6" t="s">
        <v>608</v>
      </c>
      <c r="K125" s="6">
        <f t="shared" si="7"/>
        <v>11</v>
      </c>
      <c r="L125" s="6" t="str">
        <f t="shared" si="5"/>
        <v>NOVIEMBRE</v>
      </c>
      <c r="M125" s="3"/>
    </row>
    <row r="126" spans="1:13" s="1" customFormat="1" x14ac:dyDescent="0.25">
      <c r="A126" s="5">
        <f t="shared" si="6"/>
        <v>2024</v>
      </c>
      <c r="B126" s="18" t="s">
        <v>806</v>
      </c>
      <c r="C126" s="18" t="s">
        <v>595</v>
      </c>
      <c r="D126" s="12">
        <v>5306</v>
      </c>
      <c r="E126" s="17" t="s">
        <v>510</v>
      </c>
      <c r="F126" s="12" t="s">
        <v>511</v>
      </c>
      <c r="G126" s="14">
        <v>1</v>
      </c>
      <c r="H126" s="24">
        <v>280000</v>
      </c>
      <c r="I126" s="12" t="s">
        <v>712</v>
      </c>
      <c r="J126" s="6" t="s">
        <v>608</v>
      </c>
      <c r="K126" s="6">
        <f t="shared" si="7"/>
        <v>6</v>
      </c>
      <c r="L126" s="6" t="str">
        <f t="shared" si="5"/>
        <v>JUNIO</v>
      </c>
      <c r="M126" s="3"/>
    </row>
    <row r="127" spans="1:13" s="1" customFormat="1" x14ac:dyDescent="0.25">
      <c r="A127" s="5">
        <f t="shared" si="6"/>
        <v>2024</v>
      </c>
      <c r="B127" s="18" t="s">
        <v>811</v>
      </c>
      <c r="C127" s="18" t="s">
        <v>595</v>
      </c>
      <c r="D127" s="12">
        <v>5318</v>
      </c>
      <c r="E127" s="17" t="s">
        <v>175</v>
      </c>
      <c r="F127" s="12" t="s">
        <v>176</v>
      </c>
      <c r="G127" s="14">
        <v>1</v>
      </c>
      <c r="H127" s="24">
        <v>138001</v>
      </c>
      <c r="I127" s="12" t="s">
        <v>712</v>
      </c>
      <c r="J127" s="6" t="s">
        <v>608</v>
      </c>
      <c r="K127" s="6">
        <f t="shared" si="7"/>
        <v>6</v>
      </c>
      <c r="L127" s="6" t="str">
        <f t="shared" si="5"/>
        <v>JUNIO</v>
      </c>
      <c r="M127" s="3"/>
    </row>
    <row r="128" spans="1:13" s="1" customFormat="1" x14ac:dyDescent="0.25">
      <c r="A128" s="5">
        <f t="shared" si="6"/>
        <v>2024</v>
      </c>
      <c r="B128" s="18" t="s">
        <v>828</v>
      </c>
      <c r="C128" s="18" t="s">
        <v>595</v>
      </c>
      <c r="D128" s="12">
        <v>5531</v>
      </c>
      <c r="E128" s="17" t="s">
        <v>730</v>
      </c>
      <c r="F128" s="12" t="s">
        <v>731</v>
      </c>
      <c r="G128" s="14">
        <v>2</v>
      </c>
      <c r="H128" s="24">
        <v>116000</v>
      </c>
      <c r="I128" s="12" t="s">
        <v>712</v>
      </c>
      <c r="J128" s="6" t="s">
        <v>608</v>
      </c>
      <c r="K128" s="6">
        <f t="shared" si="7"/>
        <v>9</v>
      </c>
      <c r="L128" s="6" t="str">
        <f t="shared" si="5"/>
        <v>SEPTIEMBRE</v>
      </c>
      <c r="M128" s="3"/>
    </row>
    <row r="129" spans="1:13" s="1" customFormat="1" x14ac:dyDescent="0.25">
      <c r="A129" s="5">
        <f t="shared" si="6"/>
        <v>2024</v>
      </c>
      <c r="B129" s="18" t="s">
        <v>827</v>
      </c>
      <c r="C129" s="18" t="s">
        <v>595</v>
      </c>
      <c r="D129" s="12">
        <v>5322</v>
      </c>
      <c r="E129" s="17">
        <v>119855</v>
      </c>
      <c r="F129" s="12" t="s">
        <v>478</v>
      </c>
      <c r="G129" s="14">
        <v>1</v>
      </c>
      <c r="H129" s="24">
        <v>23000</v>
      </c>
      <c r="I129" s="12" t="s">
        <v>712</v>
      </c>
      <c r="J129" s="6" t="s">
        <v>608</v>
      </c>
      <c r="K129" s="6">
        <f t="shared" si="7"/>
        <v>6</v>
      </c>
      <c r="L129" s="6" t="str">
        <f t="shared" si="5"/>
        <v>JUNIO</v>
      </c>
      <c r="M129" s="3"/>
    </row>
    <row r="130" spans="1:13" s="1" customFormat="1" x14ac:dyDescent="0.25">
      <c r="A130" s="5">
        <f t="shared" si="6"/>
        <v>2024</v>
      </c>
      <c r="B130" s="18" t="s">
        <v>827</v>
      </c>
      <c r="C130" s="18" t="s">
        <v>595</v>
      </c>
      <c r="D130" s="12">
        <v>5322</v>
      </c>
      <c r="E130" s="17">
        <v>83726</v>
      </c>
      <c r="F130" s="12" t="s">
        <v>53</v>
      </c>
      <c r="G130" s="14">
        <v>1</v>
      </c>
      <c r="H130" s="24">
        <v>16000</v>
      </c>
      <c r="I130" s="12" t="s">
        <v>712</v>
      </c>
      <c r="J130" s="6" t="s">
        <v>608</v>
      </c>
      <c r="K130" s="6">
        <f t="shared" si="7"/>
        <v>6</v>
      </c>
      <c r="L130" s="6" t="str">
        <f t="shared" si="5"/>
        <v>JUNIO</v>
      </c>
      <c r="M130" s="3"/>
    </row>
    <row r="131" spans="1:13" s="1" customFormat="1" x14ac:dyDescent="0.25">
      <c r="A131" s="5">
        <f t="shared" si="6"/>
        <v>2024</v>
      </c>
      <c r="B131" s="18" t="s">
        <v>827</v>
      </c>
      <c r="C131" s="18" t="s">
        <v>595</v>
      </c>
      <c r="D131" s="12">
        <v>5322</v>
      </c>
      <c r="E131" s="17" t="s">
        <v>276</v>
      </c>
      <c r="F131" s="12" t="s">
        <v>277</v>
      </c>
      <c r="G131" s="14">
        <v>1</v>
      </c>
      <c r="H131" s="24">
        <v>350000</v>
      </c>
      <c r="I131" s="12" t="s">
        <v>712</v>
      </c>
      <c r="J131" s="6" t="s">
        <v>608</v>
      </c>
      <c r="K131" s="6">
        <f t="shared" si="7"/>
        <v>6</v>
      </c>
      <c r="L131" s="6" t="str">
        <f t="shared" ref="L131:L194" si="8">VLOOKUP(K131,N:O,2,0)</f>
        <v>JUNIO</v>
      </c>
      <c r="M131" s="3"/>
    </row>
    <row r="132" spans="1:13" s="1" customFormat="1" x14ac:dyDescent="0.25">
      <c r="A132" s="5">
        <f t="shared" si="6"/>
        <v>2024</v>
      </c>
      <c r="B132" s="18" t="s">
        <v>820</v>
      </c>
      <c r="C132" s="18" t="s">
        <v>595</v>
      </c>
      <c r="D132" s="12">
        <v>5308</v>
      </c>
      <c r="E132" s="17" t="s">
        <v>68</v>
      </c>
      <c r="F132" s="12" t="s">
        <v>69</v>
      </c>
      <c r="G132" s="14">
        <v>6</v>
      </c>
      <c r="H132" s="24">
        <v>3660000</v>
      </c>
      <c r="I132" s="12" t="s">
        <v>712</v>
      </c>
      <c r="J132" s="6" t="s">
        <v>608</v>
      </c>
      <c r="K132" s="6">
        <f t="shared" si="7"/>
        <v>6</v>
      </c>
      <c r="L132" s="6" t="str">
        <f t="shared" si="8"/>
        <v>JUNIO</v>
      </c>
      <c r="M132" s="3"/>
    </row>
    <row r="133" spans="1:13" s="1" customFormat="1" x14ac:dyDescent="0.25">
      <c r="A133" s="5">
        <f t="shared" si="6"/>
        <v>2024</v>
      </c>
      <c r="B133" s="18" t="s">
        <v>807</v>
      </c>
      <c r="C133" s="18" t="s">
        <v>595</v>
      </c>
      <c r="D133" s="12">
        <v>5312</v>
      </c>
      <c r="E133" s="17" t="s">
        <v>76</v>
      </c>
      <c r="F133" s="12" t="s">
        <v>77</v>
      </c>
      <c r="G133" s="14">
        <v>2</v>
      </c>
      <c r="H133" s="24">
        <v>3808</v>
      </c>
      <c r="I133" s="12" t="s">
        <v>712</v>
      </c>
      <c r="J133" s="6" t="s">
        <v>608</v>
      </c>
      <c r="K133" s="6">
        <f t="shared" si="7"/>
        <v>6</v>
      </c>
      <c r="L133" s="6" t="str">
        <f t="shared" si="8"/>
        <v>JUNIO</v>
      </c>
      <c r="M133" s="3"/>
    </row>
    <row r="134" spans="1:13" s="1" customFormat="1" x14ac:dyDescent="0.25">
      <c r="A134" s="5">
        <f t="shared" si="6"/>
        <v>2024</v>
      </c>
      <c r="B134" s="18" t="s">
        <v>830</v>
      </c>
      <c r="C134" s="18" t="s">
        <v>595</v>
      </c>
      <c r="D134" s="12">
        <v>5283</v>
      </c>
      <c r="E134" s="17">
        <v>993308</v>
      </c>
      <c r="F134" s="12" t="s">
        <v>149</v>
      </c>
      <c r="G134" s="14">
        <v>1</v>
      </c>
      <c r="H134" s="24">
        <v>585000</v>
      </c>
      <c r="I134" s="12" t="s">
        <v>712</v>
      </c>
      <c r="J134" s="6" t="s">
        <v>608</v>
      </c>
      <c r="K134" s="6">
        <f t="shared" si="7"/>
        <v>5</v>
      </c>
      <c r="L134" s="6" t="str">
        <f t="shared" si="8"/>
        <v>MAYO</v>
      </c>
      <c r="M134" s="3"/>
    </row>
    <row r="135" spans="1:13" s="1" customFormat="1" x14ac:dyDescent="0.25">
      <c r="A135" s="5">
        <f t="shared" si="6"/>
        <v>2024</v>
      </c>
      <c r="B135" s="18" t="s">
        <v>791</v>
      </c>
      <c r="C135" s="18" t="s">
        <v>595</v>
      </c>
      <c r="D135" s="12">
        <v>5458</v>
      </c>
      <c r="E135" s="17" t="s">
        <v>76</v>
      </c>
      <c r="F135" s="12" t="s">
        <v>77</v>
      </c>
      <c r="G135" s="14">
        <v>2</v>
      </c>
      <c r="H135" s="24">
        <v>3200</v>
      </c>
      <c r="I135" s="12" t="s">
        <v>712</v>
      </c>
      <c r="J135" s="6" t="s">
        <v>608</v>
      </c>
      <c r="K135" s="6">
        <f t="shared" si="7"/>
        <v>8</v>
      </c>
      <c r="L135" s="6" t="str">
        <f t="shared" si="8"/>
        <v>AGOSTO</v>
      </c>
      <c r="M135" s="3"/>
    </row>
    <row r="136" spans="1:13" s="1" customFormat="1" x14ac:dyDescent="0.25">
      <c r="A136" s="5">
        <f t="shared" si="6"/>
        <v>2024</v>
      </c>
      <c r="B136" s="18" t="s">
        <v>804</v>
      </c>
      <c r="C136" s="18" t="s">
        <v>595</v>
      </c>
      <c r="D136" s="12">
        <v>5096</v>
      </c>
      <c r="E136" s="17">
        <v>147</v>
      </c>
      <c r="F136" s="12" t="s">
        <v>571</v>
      </c>
      <c r="G136" s="14">
        <v>4</v>
      </c>
      <c r="H136" s="24">
        <v>1200</v>
      </c>
      <c r="I136" s="12" t="s">
        <v>712</v>
      </c>
      <c r="J136" s="6" t="s">
        <v>608</v>
      </c>
      <c r="K136" s="6">
        <f t="shared" si="7"/>
        <v>2</v>
      </c>
      <c r="L136" s="6" t="str">
        <f t="shared" si="8"/>
        <v>FEBRERO</v>
      </c>
      <c r="M136" s="3"/>
    </row>
    <row r="137" spans="1:13" s="1" customFormat="1" x14ac:dyDescent="0.25">
      <c r="A137" s="5">
        <f t="shared" si="6"/>
        <v>2024</v>
      </c>
      <c r="B137" s="18" t="s">
        <v>834</v>
      </c>
      <c r="C137" s="18" t="s">
        <v>595</v>
      </c>
      <c r="D137" s="12">
        <v>5354</v>
      </c>
      <c r="E137" s="17">
        <v>108145</v>
      </c>
      <c r="F137" s="12" t="s">
        <v>121</v>
      </c>
      <c r="G137" s="14">
        <v>4</v>
      </c>
      <c r="H137" s="24">
        <v>60000</v>
      </c>
      <c r="I137" s="12" t="s">
        <v>712</v>
      </c>
      <c r="J137" s="6" t="s">
        <v>608</v>
      </c>
      <c r="K137" s="6">
        <f t="shared" si="7"/>
        <v>7</v>
      </c>
      <c r="L137" s="6" t="str">
        <f t="shared" si="8"/>
        <v>JULIO</v>
      </c>
      <c r="M137" s="3"/>
    </row>
    <row r="138" spans="1:13" s="1" customFormat="1" x14ac:dyDescent="0.25">
      <c r="A138" s="5">
        <f t="shared" si="6"/>
        <v>2024</v>
      </c>
      <c r="B138" s="18" t="s">
        <v>834</v>
      </c>
      <c r="C138" s="18" t="s">
        <v>595</v>
      </c>
      <c r="D138" s="12">
        <v>5354</v>
      </c>
      <c r="E138" s="17">
        <v>83726</v>
      </c>
      <c r="F138" s="12" t="s">
        <v>53</v>
      </c>
      <c r="G138" s="14">
        <v>4</v>
      </c>
      <c r="H138" s="24">
        <v>64000</v>
      </c>
      <c r="I138" s="12" t="s">
        <v>712</v>
      </c>
      <c r="J138" s="6" t="s">
        <v>608</v>
      </c>
      <c r="K138" s="6">
        <f t="shared" si="7"/>
        <v>7</v>
      </c>
      <c r="L138" s="6" t="str">
        <f t="shared" si="8"/>
        <v>JULIO</v>
      </c>
      <c r="M138" s="3"/>
    </row>
    <row r="139" spans="1:13" s="1" customFormat="1" x14ac:dyDescent="0.25">
      <c r="A139" s="5">
        <f t="shared" si="6"/>
        <v>2024</v>
      </c>
      <c r="B139" s="18" t="s">
        <v>816</v>
      </c>
      <c r="C139" s="18" t="s">
        <v>595</v>
      </c>
      <c r="D139" s="12">
        <v>5520</v>
      </c>
      <c r="E139" s="17" t="s">
        <v>723</v>
      </c>
      <c r="F139" s="12" t="s">
        <v>139</v>
      </c>
      <c r="G139" s="14">
        <v>4</v>
      </c>
      <c r="H139" s="24">
        <v>140000</v>
      </c>
      <c r="I139" s="12" t="s">
        <v>631</v>
      </c>
      <c r="J139" s="6" t="s">
        <v>609</v>
      </c>
      <c r="K139" s="6">
        <f t="shared" si="7"/>
        <v>9</v>
      </c>
      <c r="L139" s="6" t="str">
        <f t="shared" si="8"/>
        <v>SEPTIEMBRE</v>
      </c>
      <c r="M139" s="3"/>
    </row>
    <row r="140" spans="1:13" s="1" customFormat="1" x14ac:dyDescent="0.25">
      <c r="A140" s="5">
        <f t="shared" si="6"/>
        <v>2024</v>
      </c>
      <c r="B140" s="18" t="s">
        <v>825</v>
      </c>
      <c r="C140" s="18" t="s">
        <v>595</v>
      </c>
      <c r="D140" s="12">
        <v>5236</v>
      </c>
      <c r="E140" s="17" t="s">
        <v>498</v>
      </c>
      <c r="F140" s="12" t="s">
        <v>499</v>
      </c>
      <c r="G140" s="14">
        <v>4</v>
      </c>
      <c r="H140" s="24">
        <v>148000</v>
      </c>
      <c r="I140" s="12" t="s">
        <v>631</v>
      </c>
      <c r="J140" s="6" t="s">
        <v>609</v>
      </c>
      <c r="K140" s="6">
        <f t="shared" si="7"/>
        <v>4</v>
      </c>
      <c r="L140" s="6" t="str">
        <f t="shared" si="8"/>
        <v>ABRIL</v>
      </c>
      <c r="M140" s="3"/>
    </row>
    <row r="141" spans="1:13" s="1" customFormat="1" x14ac:dyDescent="0.25">
      <c r="A141" s="5">
        <f t="shared" si="6"/>
        <v>2024</v>
      </c>
      <c r="B141" s="18" t="s">
        <v>789</v>
      </c>
      <c r="C141" s="18" t="s">
        <v>595</v>
      </c>
      <c r="D141" s="12">
        <v>5122</v>
      </c>
      <c r="E141" s="17">
        <v>4301795</v>
      </c>
      <c r="F141" s="12" t="s">
        <v>588</v>
      </c>
      <c r="G141" s="14">
        <v>1</v>
      </c>
      <c r="H141" s="24">
        <v>815000</v>
      </c>
      <c r="I141" s="12" t="s">
        <v>546</v>
      </c>
      <c r="J141" s="6" t="s">
        <v>610</v>
      </c>
      <c r="K141" s="6">
        <f t="shared" si="7"/>
        <v>2</v>
      </c>
      <c r="L141" s="6" t="str">
        <f t="shared" si="8"/>
        <v>FEBRERO</v>
      </c>
      <c r="M141" s="3"/>
    </row>
    <row r="142" spans="1:13" s="1" customFormat="1" x14ac:dyDescent="0.25">
      <c r="A142" s="5">
        <f t="shared" si="6"/>
        <v>2024</v>
      </c>
      <c r="B142" s="18" t="s">
        <v>798</v>
      </c>
      <c r="C142" s="18" t="s">
        <v>595</v>
      </c>
      <c r="D142" s="12">
        <v>5530</v>
      </c>
      <c r="E142" s="17" t="s">
        <v>206</v>
      </c>
      <c r="F142" s="12" t="s">
        <v>207</v>
      </c>
      <c r="G142" s="14">
        <v>1</v>
      </c>
      <c r="H142" s="24">
        <v>85000</v>
      </c>
      <c r="I142" s="12" t="s">
        <v>546</v>
      </c>
      <c r="J142" s="6" t="s">
        <v>610</v>
      </c>
      <c r="K142" s="6">
        <f t="shared" si="7"/>
        <v>9</v>
      </c>
      <c r="L142" s="6" t="str">
        <f t="shared" si="8"/>
        <v>SEPTIEMBRE</v>
      </c>
      <c r="M142" s="3"/>
    </row>
    <row r="143" spans="1:13" s="1" customFormat="1" x14ac:dyDescent="0.25">
      <c r="A143" s="5">
        <f t="shared" si="6"/>
        <v>2024</v>
      </c>
      <c r="B143" s="18" t="s">
        <v>788</v>
      </c>
      <c r="C143" s="18" t="s">
        <v>595</v>
      </c>
      <c r="D143" s="12">
        <v>5151</v>
      </c>
      <c r="E143" s="17" t="s">
        <v>429</v>
      </c>
      <c r="F143" s="12" t="s">
        <v>430</v>
      </c>
      <c r="G143" s="14">
        <v>2</v>
      </c>
      <c r="H143" s="24">
        <v>196000</v>
      </c>
      <c r="I143" s="12" t="s">
        <v>546</v>
      </c>
      <c r="J143" s="6" t="s">
        <v>610</v>
      </c>
      <c r="K143" s="6">
        <f t="shared" si="7"/>
        <v>3</v>
      </c>
      <c r="L143" s="6" t="str">
        <f t="shared" si="8"/>
        <v>MARZO</v>
      </c>
      <c r="M143" s="3"/>
    </row>
    <row r="144" spans="1:13" s="1" customFormat="1" x14ac:dyDescent="0.25">
      <c r="A144" s="5">
        <f t="shared" si="6"/>
        <v>2024</v>
      </c>
      <c r="B144" s="18" t="s">
        <v>802</v>
      </c>
      <c r="C144" s="18" t="s">
        <v>595</v>
      </c>
      <c r="D144" s="12">
        <v>5181</v>
      </c>
      <c r="E144" s="17">
        <v>43271</v>
      </c>
      <c r="F144" s="12" t="s">
        <v>479</v>
      </c>
      <c r="G144" s="14">
        <v>1</v>
      </c>
      <c r="H144" s="24">
        <v>48000</v>
      </c>
      <c r="I144" s="12" t="s">
        <v>712</v>
      </c>
      <c r="J144" s="6" t="s">
        <v>608</v>
      </c>
      <c r="K144" s="6">
        <f t="shared" si="7"/>
        <v>3</v>
      </c>
      <c r="L144" s="6" t="str">
        <f t="shared" si="8"/>
        <v>MARZO</v>
      </c>
      <c r="M144" s="3"/>
    </row>
    <row r="145" spans="1:14" s="1" customFormat="1" x14ac:dyDescent="0.25">
      <c r="A145" s="5">
        <f t="shared" si="6"/>
        <v>2024</v>
      </c>
      <c r="B145" s="18" t="s">
        <v>832</v>
      </c>
      <c r="C145" s="18" t="s">
        <v>595</v>
      </c>
      <c r="D145" s="12">
        <v>5387</v>
      </c>
      <c r="E145" s="17" t="s">
        <v>131</v>
      </c>
      <c r="F145" s="12" t="s">
        <v>132</v>
      </c>
      <c r="G145" s="14">
        <v>1</v>
      </c>
      <c r="H145" s="24">
        <v>202000</v>
      </c>
      <c r="I145" s="12" t="s">
        <v>712</v>
      </c>
      <c r="J145" s="6" t="s">
        <v>608</v>
      </c>
      <c r="K145" s="6">
        <f t="shared" si="7"/>
        <v>7</v>
      </c>
      <c r="L145" s="6" t="str">
        <f t="shared" si="8"/>
        <v>JULIO</v>
      </c>
      <c r="M145" s="3"/>
    </row>
    <row r="146" spans="1:14" s="1" customFormat="1" x14ac:dyDescent="0.25">
      <c r="A146" s="5">
        <f t="shared" si="6"/>
        <v>2024</v>
      </c>
      <c r="B146" s="18" t="s">
        <v>832</v>
      </c>
      <c r="C146" s="18" t="s">
        <v>595</v>
      </c>
      <c r="D146" s="12">
        <v>5387</v>
      </c>
      <c r="E146" s="17" t="s">
        <v>74</v>
      </c>
      <c r="F146" s="12" t="s">
        <v>75</v>
      </c>
      <c r="G146" s="14">
        <v>1</v>
      </c>
      <c r="H146" s="24">
        <v>56000</v>
      </c>
      <c r="I146" s="12" t="s">
        <v>712</v>
      </c>
      <c r="J146" s="6" t="s">
        <v>608</v>
      </c>
      <c r="K146" s="6">
        <f t="shared" si="7"/>
        <v>7</v>
      </c>
      <c r="L146" s="6" t="str">
        <f t="shared" si="8"/>
        <v>JULIO</v>
      </c>
      <c r="M146" s="3"/>
    </row>
    <row r="147" spans="1:14" s="1" customFormat="1" x14ac:dyDescent="0.25">
      <c r="A147" s="5">
        <f t="shared" si="6"/>
        <v>2024</v>
      </c>
      <c r="B147" s="18" t="s">
        <v>801</v>
      </c>
      <c r="C147" s="18" t="s">
        <v>595</v>
      </c>
      <c r="D147" s="12">
        <v>5193</v>
      </c>
      <c r="E147" s="17" t="s">
        <v>74</v>
      </c>
      <c r="F147" s="12" t="s">
        <v>75</v>
      </c>
      <c r="G147" s="14">
        <v>1</v>
      </c>
      <c r="H147" s="24">
        <v>56000</v>
      </c>
      <c r="I147" s="12" t="s">
        <v>712</v>
      </c>
      <c r="J147" s="6" t="s">
        <v>608</v>
      </c>
      <c r="K147" s="6">
        <f t="shared" si="7"/>
        <v>4</v>
      </c>
      <c r="L147" s="6" t="str">
        <f t="shared" si="8"/>
        <v>ABRIL</v>
      </c>
      <c r="M147" s="3"/>
    </row>
    <row r="148" spans="1:14" s="1" customFormat="1" x14ac:dyDescent="0.25">
      <c r="A148" s="5">
        <f t="shared" si="6"/>
        <v>2024</v>
      </c>
      <c r="B148" s="18" t="s">
        <v>810</v>
      </c>
      <c r="C148" s="18" t="s">
        <v>595</v>
      </c>
      <c r="D148" s="12">
        <v>5321</v>
      </c>
      <c r="E148" s="17" t="s">
        <v>170</v>
      </c>
      <c r="F148" s="12" t="s">
        <v>171</v>
      </c>
      <c r="G148" s="14">
        <v>2</v>
      </c>
      <c r="H148" s="24">
        <v>3670000</v>
      </c>
      <c r="I148" s="12" t="s">
        <v>546</v>
      </c>
      <c r="J148" s="6" t="s">
        <v>610</v>
      </c>
      <c r="K148" s="6">
        <f t="shared" si="7"/>
        <v>6</v>
      </c>
      <c r="L148" s="6" t="str">
        <f t="shared" si="8"/>
        <v>JUNIO</v>
      </c>
      <c r="M148" s="15"/>
      <c r="N148" s="13"/>
    </row>
    <row r="149" spans="1:14" s="1" customFormat="1" x14ac:dyDescent="0.25">
      <c r="A149" s="5">
        <f t="shared" si="6"/>
        <v>2024</v>
      </c>
      <c r="B149" s="18" t="s">
        <v>882</v>
      </c>
      <c r="C149" s="18" t="s">
        <v>595</v>
      </c>
      <c r="D149" s="12">
        <v>5679</v>
      </c>
      <c r="E149" s="17" t="s">
        <v>181</v>
      </c>
      <c r="F149" s="12" t="s">
        <v>182</v>
      </c>
      <c r="G149" s="14">
        <v>1</v>
      </c>
      <c r="H149" s="24">
        <v>91400</v>
      </c>
      <c r="I149" s="12" t="s">
        <v>704</v>
      </c>
      <c r="J149" s="6" t="s">
        <v>706</v>
      </c>
      <c r="K149" s="6">
        <f t="shared" si="7"/>
        <v>11</v>
      </c>
      <c r="L149" s="6" t="str">
        <f t="shared" si="8"/>
        <v>NOVIEMBRE</v>
      </c>
      <c r="M149" s="3"/>
    </row>
    <row r="150" spans="1:14" s="1" customFormat="1" x14ac:dyDescent="0.25">
      <c r="A150" s="5">
        <f t="shared" si="6"/>
        <v>2024</v>
      </c>
      <c r="B150" s="18" t="s">
        <v>882</v>
      </c>
      <c r="C150" s="18" t="s">
        <v>595</v>
      </c>
      <c r="D150" s="12">
        <v>5679</v>
      </c>
      <c r="E150" s="17" t="s">
        <v>346</v>
      </c>
      <c r="F150" s="12" t="s">
        <v>347</v>
      </c>
      <c r="G150" s="14">
        <v>1</v>
      </c>
      <c r="H150" s="24">
        <v>96800</v>
      </c>
      <c r="I150" s="12" t="s">
        <v>704</v>
      </c>
      <c r="J150" s="6" t="s">
        <v>706</v>
      </c>
      <c r="K150" s="6">
        <f t="shared" si="7"/>
        <v>11</v>
      </c>
      <c r="L150" s="6" t="str">
        <f t="shared" si="8"/>
        <v>NOVIEMBRE</v>
      </c>
      <c r="M150" s="3"/>
    </row>
    <row r="151" spans="1:14" s="1" customFormat="1" x14ac:dyDescent="0.25">
      <c r="A151" s="5">
        <f t="shared" si="6"/>
        <v>2024</v>
      </c>
      <c r="B151" s="18" t="s">
        <v>835</v>
      </c>
      <c r="C151" s="18" t="s">
        <v>595</v>
      </c>
      <c r="D151" s="12">
        <v>5594</v>
      </c>
      <c r="E151" s="17">
        <v>147</v>
      </c>
      <c r="F151" s="12" t="s">
        <v>571</v>
      </c>
      <c r="G151" s="14">
        <v>8</v>
      </c>
      <c r="H151" s="24">
        <v>2400</v>
      </c>
      <c r="I151" s="12" t="s">
        <v>712</v>
      </c>
      <c r="J151" s="6" t="s">
        <v>608</v>
      </c>
      <c r="K151" s="6">
        <f t="shared" si="7"/>
        <v>10</v>
      </c>
      <c r="L151" s="6" t="str">
        <f t="shared" si="8"/>
        <v>OCTUBRE</v>
      </c>
      <c r="M151" s="3"/>
    </row>
    <row r="152" spans="1:14" s="1" customFormat="1" x14ac:dyDescent="0.25">
      <c r="A152" s="5">
        <f t="shared" si="6"/>
        <v>2024</v>
      </c>
      <c r="B152" s="18" t="s">
        <v>835</v>
      </c>
      <c r="C152" s="18" t="s">
        <v>595</v>
      </c>
      <c r="D152" s="12">
        <v>5594</v>
      </c>
      <c r="E152" s="17">
        <v>146</v>
      </c>
      <c r="F152" s="12" t="s">
        <v>568</v>
      </c>
      <c r="G152" s="14">
        <v>8</v>
      </c>
      <c r="H152" s="24">
        <v>2400</v>
      </c>
      <c r="I152" s="12" t="s">
        <v>712</v>
      </c>
      <c r="J152" s="6" t="s">
        <v>608</v>
      </c>
      <c r="K152" s="6">
        <f t="shared" si="7"/>
        <v>10</v>
      </c>
      <c r="L152" s="6" t="str">
        <f t="shared" si="8"/>
        <v>OCTUBRE</v>
      </c>
      <c r="M152" s="3"/>
    </row>
    <row r="153" spans="1:14" s="1" customFormat="1" x14ac:dyDescent="0.25">
      <c r="A153" s="5">
        <f t="shared" si="6"/>
        <v>2024</v>
      </c>
      <c r="B153" s="18" t="s">
        <v>835</v>
      </c>
      <c r="C153" s="18" t="s">
        <v>595</v>
      </c>
      <c r="D153" s="12">
        <v>5594</v>
      </c>
      <c r="E153" s="17">
        <v>211</v>
      </c>
      <c r="F153" s="12" t="s">
        <v>573</v>
      </c>
      <c r="G153" s="14">
        <v>3</v>
      </c>
      <c r="H153" s="24">
        <v>300</v>
      </c>
      <c r="I153" s="12" t="s">
        <v>712</v>
      </c>
      <c r="J153" s="6" t="s">
        <v>608</v>
      </c>
      <c r="K153" s="6">
        <f t="shared" si="7"/>
        <v>10</v>
      </c>
      <c r="L153" s="6" t="str">
        <f t="shared" si="8"/>
        <v>OCTUBRE</v>
      </c>
      <c r="M153" s="3"/>
    </row>
    <row r="154" spans="1:14" s="1" customFormat="1" x14ac:dyDescent="0.25">
      <c r="A154" s="5">
        <f t="shared" si="6"/>
        <v>2024</v>
      </c>
      <c r="B154" s="18" t="s">
        <v>836</v>
      </c>
      <c r="C154" s="18" t="s">
        <v>595</v>
      </c>
      <c r="D154" s="12">
        <v>5524</v>
      </c>
      <c r="E154" s="17">
        <v>147</v>
      </c>
      <c r="F154" s="12" t="s">
        <v>571</v>
      </c>
      <c r="G154" s="14">
        <v>4</v>
      </c>
      <c r="H154" s="24">
        <v>1200</v>
      </c>
      <c r="I154" s="12" t="s">
        <v>712</v>
      </c>
      <c r="J154" s="6" t="s">
        <v>608</v>
      </c>
      <c r="K154" s="6">
        <f t="shared" si="7"/>
        <v>9</v>
      </c>
      <c r="L154" s="6" t="str">
        <f t="shared" si="8"/>
        <v>SEPTIEMBRE</v>
      </c>
      <c r="M154" s="3"/>
    </row>
    <row r="155" spans="1:14" s="1" customFormat="1" x14ac:dyDescent="0.25">
      <c r="A155" s="5">
        <f t="shared" si="6"/>
        <v>2024</v>
      </c>
      <c r="B155" s="18" t="s">
        <v>887</v>
      </c>
      <c r="C155" s="18" t="s">
        <v>595</v>
      </c>
      <c r="D155" s="12">
        <v>5732</v>
      </c>
      <c r="E155" s="17" t="s">
        <v>600</v>
      </c>
      <c r="F155" s="12" t="s">
        <v>604</v>
      </c>
      <c r="G155" s="14">
        <v>7</v>
      </c>
      <c r="H155" s="24">
        <v>561162</v>
      </c>
      <c r="I155" s="12" t="s">
        <v>712</v>
      </c>
      <c r="J155" s="6" t="s">
        <v>608</v>
      </c>
      <c r="K155" s="6">
        <f t="shared" si="7"/>
        <v>12</v>
      </c>
      <c r="L155" s="6" t="str">
        <f t="shared" si="8"/>
        <v>DICIEMBRE</v>
      </c>
      <c r="M155" s="3"/>
    </row>
    <row r="156" spans="1:14" s="1" customFormat="1" x14ac:dyDescent="0.25">
      <c r="A156" s="5">
        <f t="shared" si="6"/>
        <v>2024</v>
      </c>
      <c r="B156" s="18" t="s">
        <v>887</v>
      </c>
      <c r="C156" s="18" t="s">
        <v>595</v>
      </c>
      <c r="D156" s="12">
        <v>5733</v>
      </c>
      <c r="E156" s="17">
        <v>4303424</v>
      </c>
      <c r="F156" s="12" t="s">
        <v>135</v>
      </c>
      <c r="G156" s="14">
        <v>1</v>
      </c>
      <c r="H156" s="24">
        <v>19000</v>
      </c>
      <c r="I156" s="12" t="s">
        <v>546</v>
      </c>
      <c r="J156" s="6" t="s">
        <v>610</v>
      </c>
      <c r="K156" s="6">
        <f t="shared" si="7"/>
        <v>12</v>
      </c>
      <c r="L156" s="6" t="str">
        <f t="shared" si="8"/>
        <v>DICIEMBRE</v>
      </c>
      <c r="M156" s="3"/>
    </row>
    <row r="157" spans="1:14" s="1" customFormat="1" x14ac:dyDescent="0.25">
      <c r="A157" s="5">
        <f t="shared" si="6"/>
        <v>2024</v>
      </c>
      <c r="B157" s="18" t="s">
        <v>797</v>
      </c>
      <c r="C157" s="18" t="s">
        <v>595</v>
      </c>
      <c r="D157" s="12">
        <v>5494</v>
      </c>
      <c r="E157" s="17" t="s">
        <v>365</v>
      </c>
      <c r="F157" s="12" t="s">
        <v>366</v>
      </c>
      <c r="G157" s="14">
        <v>2</v>
      </c>
      <c r="H157" s="24">
        <v>9200</v>
      </c>
      <c r="I157" s="12" t="s">
        <v>546</v>
      </c>
      <c r="J157" s="6" t="s">
        <v>610</v>
      </c>
      <c r="K157" s="6">
        <f t="shared" si="7"/>
        <v>9</v>
      </c>
      <c r="L157" s="6" t="str">
        <f t="shared" si="8"/>
        <v>SEPTIEMBRE</v>
      </c>
      <c r="M157" s="3"/>
    </row>
    <row r="158" spans="1:14" s="1" customFormat="1" x14ac:dyDescent="0.25">
      <c r="A158" s="5">
        <f t="shared" si="6"/>
        <v>2024</v>
      </c>
      <c r="B158" s="18" t="s">
        <v>808</v>
      </c>
      <c r="C158" s="18" t="s">
        <v>595</v>
      </c>
      <c r="D158" s="12">
        <v>5511</v>
      </c>
      <c r="E158" s="17" t="s">
        <v>714</v>
      </c>
      <c r="F158" s="12" t="s">
        <v>719</v>
      </c>
      <c r="G158" s="14">
        <v>2</v>
      </c>
      <c r="H158" s="24">
        <v>596000</v>
      </c>
      <c r="I158" s="12" t="s">
        <v>712</v>
      </c>
      <c r="J158" s="6" t="s">
        <v>608</v>
      </c>
      <c r="K158" s="6">
        <f t="shared" si="7"/>
        <v>9</v>
      </c>
      <c r="L158" s="6" t="str">
        <f t="shared" si="8"/>
        <v>SEPTIEMBRE</v>
      </c>
      <c r="M158" s="3"/>
    </row>
    <row r="159" spans="1:14" s="1" customFormat="1" x14ac:dyDescent="0.25">
      <c r="A159" s="5">
        <f t="shared" si="6"/>
        <v>2024</v>
      </c>
      <c r="B159" s="18" t="s">
        <v>795</v>
      </c>
      <c r="C159" s="18" t="s">
        <v>595</v>
      </c>
      <c r="D159" s="12">
        <v>5304</v>
      </c>
      <c r="E159" s="17" t="s">
        <v>560</v>
      </c>
      <c r="F159" s="12" t="s">
        <v>570</v>
      </c>
      <c r="G159" s="14">
        <v>1</v>
      </c>
      <c r="H159" s="24">
        <v>465300</v>
      </c>
      <c r="I159" s="12" t="s">
        <v>546</v>
      </c>
      <c r="J159" s="6" t="s">
        <v>610</v>
      </c>
      <c r="K159" s="6">
        <f t="shared" si="7"/>
        <v>6</v>
      </c>
      <c r="L159" s="6" t="str">
        <f t="shared" si="8"/>
        <v>JUNIO</v>
      </c>
      <c r="M159" s="3"/>
    </row>
    <row r="160" spans="1:14" s="1" customFormat="1" x14ac:dyDescent="0.25">
      <c r="A160" s="5">
        <f t="shared" si="6"/>
        <v>2024</v>
      </c>
      <c r="B160" s="18" t="s">
        <v>882</v>
      </c>
      <c r="C160" s="18" t="s">
        <v>595</v>
      </c>
      <c r="D160" s="12">
        <v>5682</v>
      </c>
      <c r="E160" s="17">
        <v>513878</v>
      </c>
      <c r="F160" s="12" t="s">
        <v>191</v>
      </c>
      <c r="G160" s="14">
        <v>1</v>
      </c>
      <c r="H160" s="24">
        <v>320000</v>
      </c>
      <c r="I160" s="12" t="s">
        <v>546</v>
      </c>
      <c r="J160" s="6" t="s">
        <v>610</v>
      </c>
      <c r="K160" s="6">
        <f t="shared" si="7"/>
        <v>11</v>
      </c>
      <c r="L160" s="6" t="str">
        <f t="shared" si="8"/>
        <v>NOVIEMBRE</v>
      </c>
      <c r="M160" s="3"/>
    </row>
    <row r="161" spans="1:13" s="1" customFormat="1" x14ac:dyDescent="0.25">
      <c r="A161" s="5">
        <f t="shared" si="6"/>
        <v>2024</v>
      </c>
      <c r="B161" s="18" t="s">
        <v>882</v>
      </c>
      <c r="C161" s="18" t="s">
        <v>595</v>
      </c>
      <c r="D161" s="12">
        <v>5682</v>
      </c>
      <c r="E161" s="17">
        <v>4301795</v>
      </c>
      <c r="F161" s="12" t="s">
        <v>588</v>
      </c>
      <c r="G161" s="14">
        <v>3</v>
      </c>
      <c r="H161" s="24">
        <v>2445000</v>
      </c>
      <c r="I161" s="12" t="s">
        <v>546</v>
      </c>
      <c r="J161" s="6" t="s">
        <v>610</v>
      </c>
      <c r="K161" s="6">
        <f t="shared" si="7"/>
        <v>11</v>
      </c>
      <c r="L161" s="6" t="str">
        <f t="shared" si="8"/>
        <v>NOVIEMBRE</v>
      </c>
      <c r="M161" s="3"/>
    </row>
    <row r="162" spans="1:13" s="1" customFormat="1" x14ac:dyDescent="0.25">
      <c r="A162" s="5">
        <f t="shared" si="6"/>
        <v>2024</v>
      </c>
      <c r="B162" s="18" t="s">
        <v>808</v>
      </c>
      <c r="C162" s="18" t="s">
        <v>595</v>
      </c>
      <c r="D162" s="12">
        <v>5512</v>
      </c>
      <c r="E162" s="17" t="s">
        <v>558</v>
      </c>
      <c r="F162" s="12" t="s">
        <v>559</v>
      </c>
      <c r="G162" s="14">
        <v>1</v>
      </c>
      <c r="H162" s="24">
        <v>289933</v>
      </c>
      <c r="I162" s="12" t="s">
        <v>546</v>
      </c>
      <c r="J162" s="6" t="s">
        <v>610</v>
      </c>
      <c r="K162" s="6">
        <f t="shared" si="7"/>
        <v>9</v>
      </c>
      <c r="L162" s="6" t="str">
        <f t="shared" si="8"/>
        <v>SEPTIEMBRE</v>
      </c>
      <c r="M162" s="3"/>
    </row>
    <row r="163" spans="1:13" s="1" customFormat="1" x14ac:dyDescent="0.25">
      <c r="A163" s="5">
        <f t="shared" si="6"/>
        <v>2024</v>
      </c>
      <c r="B163" s="18" t="s">
        <v>877</v>
      </c>
      <c r="C163" s="18" t="s">
        <v>595</v>
      </c>
      <c r="D163" s="12">
        <v>5657</v>
      </c>
      <c r="E163" s="17" t="s">
        <v>457</v>
      </c>
      <c r="F163" s="12" t="s">
        <v>458</v>
      </c>
      <c r="G163" s="14">
        <v>1</v>
      </c>
      <c r="H163" s="24">
        <v>1114736</v>
      </c>
      <c r="I163" s="12" t="s">
        <v>712</v>
      </c>
      <c r="J163" s="6" t="s">
        <v>608</v>
      </c>
      <c r="K163" s="6">
        <f t="shared" si="7"/>
        <v>11</v>
      </c>
      <c r="L163" s="6" t="str">
        <f t="shared" si="8"/>
        <v>NOVIEMBRE</v>
      </c>
      <c r="M163" s="3"/>
    </row>
    <row r="164" spans="1:13" s="1" customFormat="1" x14ac:dyDescent="0.25">
      <c r="A164" s="5">
        <f t="shared" si="6"/>
        <v>2024</v>
      </c>
      <c r="B164" s="18" t="s">
        <v>877</v>
      </c>
      <c r="C164" s="18" t="s">
        <v>595</v>
      </c>
      <c r="D164" s="12">
        <v>5657</v>
      </c>
      <c r="E164" s="17">
        <v>993308</v>
      </c>
      <c r="F164" s="12" t="s">
        <v>149</v>
      </c>
      <c r="G164" s="14">
        <v>1</v>
      </c>
      <c r="H164" s="24">
        <v>585000</v>
      </c>
      <c r="I164" s="12" t="s">
        <v>712</v>
      </c>
      <c r="J164" s="6" t="s">
        <v>608</v>
      </c>
      <c r="K164" s="6">
        <f t="shared" si="7"/>
        <v>11</v>
      </c>
      <c r="L164" s="6" t="str">
        <f t="shared" si="8"/>
        <v>NOVIEMBRE</v>
      </c>
      <c r="M164" s="3"/>
    </row>
    <row r="165" spans="1:13" s="1" customFormat="1" x14ac:dyDescent="0.25">
      <c r="A165" s="5">
        <f t="shared" si="6"/>
        <v>2024</v>
      </c>
      <c r="B165" s="18" t="s">
        <v>867</v>
      </c>
      <c r="C165" s="18" t="s">
        <v>595</v>
      </c>
      <c r="D165" s="12">
        <v>5169</v>
      </c>
      <c r="E165" s="17" t="s">
        <v>76</v>
      </c>
      <c r="F165" s="12" t="s">
        <v>77</v>
      </c>
      <c r="G165" s="14">
        <v>4</v>
      </c>
      <c r="H165" s="24">
        <v>6400</v>
      </c>
      <c r="I165" s="12" t="s">
        <v>712</v>
      </c>
      <c r="J165" s="6" t="s">
        <v>608</v>
      </c>
      <c r="K165" s="6">
        <f t="shared" si="7"/>
        <v>3</v>
      </c>
      <c r="L165" s="6" t="str">
        <f t="shared" si="8"/>
        <v>MARZO</v>
      </c>
      <c r="M165" s="3"/>
    </row>
    <row r="166" spans="1:13" s="1" customFormat="1" x14ac:dyDescent="0.25">
      <c r="A166" s="5">
        <f t="shared" si="6"/>
        <v>2024</v>
      </c>
      <c r="B166" s="18" t="s">
        <v>867</v>
      </c>
      <c r="C166" s="18" t="s">
        <v>595</v>
      </c>
      <c r="D166" s="12">
        <v>5169</v>
      </c>
      <c r="E166" s="17" t="s">
        <v>627</v>
      </c>
      <c r="F166" s="12" t="s">
        <v>628</v>
      </c>
      <c r="G166" s="14">
        <v>3</v>
      </c>
      <c r="H166" s="24">
        <v>4200</v>
      </c>
      <c r="I166" s="12" t="s">
        <v>712</v>
      </c>
      <c r="J166" s="6" t="s">
        <v>608</v>
      </c>
      <c r="K166" s="6">
        <f t="shared" si="7"/>
        <v>3</v>
      </c>
      <c r="L166" s="6" t="str">
        <f t="shared" si="8"/>
        <v>MARZO</v>
      </c>
      <c r="M166" s="3"/>
    </row>
    <row r="167" spans="1:13" s="1" customFormat="1" x14ac:dyDescent="0.25">
      <c r="A167" s="5">
        <f t="shared" si="6"/>
        <v>2024</v>
      </c>
      <c r="B167" s="18" t="s">
        <v>833</v>
      </c>
      <c r="C167" s="18" t="s">
        <v>595</v>
      </c>
      <c r="D167" s="12">
        <v>5589</v>
      </c>
      <c r="E167" s="17" t="s">
        <v>558</v>
      </c>
      <c r="F167" s="12" t="s">
        <v>559</v>
      </c>
      <c r="G167" s="14">
        <v>3</v>
      </c>
      <c r="H167" s="24">
        <v>869799</v>
      </c>
      <c r="I167" s="12" t="s">
        <v>546</v>
      </c>
      <c r="J167" s="6" t="s">
        <v>610</v>
      </c>
      <c r="K167" s="6">
        <f t="shared" si="7"/>
        <v>10</v>
      </c>
      <c r="L167" s="6" t="str">
        <f t="shared" si="8"/>
        <v>OCTUBRE</v>
      </c>
      <c r="M167" s="3"/>
    </row>
    <row r="168" spans="1:13" s="1" customFormat="1" x14ac:dyDescent="0.25">
      <c r="A168" s="5">
        <f t="shared" si="6"/>
        <v>2024</v>
      </c>
      <c r="B168" s="18" t="s">
        <v>833</v>
      </c>
      <c r="C168" s="18" t="s">
        <v>595</v>
      </c>
      <c r="D168" s="12">
        <v>5589</v>
      </c>
      <c r="E168" s="17" t="s">
        <v>346</v>
      </c>
      <c r="F168" s="12" t="s">
        <v>347</v>
      </c>
      <c r="G168" s="14">
        <v>2</v>
      </c>
      <c r="H168" s="24">
        <v>241806</v>
      </c>
      <c r="I168" s="12" t="s">
        <v>546</v>
      </c>
      <c r="J168" s="6" t="s">
        <v>610</v>
      </c>
      <c r="K168" s="6">
        <f t="shared" si="7"/>
        <v>10</v>
      </c>
      <c r="L168" s="6" t="str">
        <f t="shared" si="8"/>
        <v>OCTUBRE</v>
      </c>
      <c r="M168" s="3"/>
    </row>
    <row r="169" spans="1:13" s="1" customFormat="1" x14ac:dyDescent="0.25">
      <c r="A169" s="5">
        <f t="shared" si="6"/>
        <v>2024</v>
      </c>
      <c r="B169" s="18" t="s">
        <v>831</v>
      </c>
      <c r="C169" s="18" t="s">
        <v>595</v>
      </c>
      <c r="D169" s="12">
        <v>5300</v>
      </c>
      <c r="E169" s="17" t="s">
        <v>558</v>
      </c>
      <c r="F169" s="12" t="s">
        <v>559</v>
      </c>
      <c r="G169" s="14">
        <v>1</v>
      </c>
      <c r="H169" s="24">
        <v>289933</v>
      </c>
      <c r="I169" s="12" t="s">
        <v>546</v>
      </c>
      <c r="J169" s="6" t="s">
        <v>610</v>
      </c>
      <c r="K169" s="6">
        <f t="shared" si="7"/>
        <v>5</v>
      </c>
      <c r="L169" s="6" t="str">
        <f t="shared" si="8"/>
        <v>MAYO</v>
      </c>
      <c r="M169" s="3"/>
    </row>
    <row r="170" spans="1:13" s="1" customFormat="1" x14ac:dyDescent="0.25">
      <c r="A170" s="5">
        <f t="shared" si="6"/>
        <v>2024</v>
      </c>
      <c r="B170" s="18" t="s">
        <v>823</v>
      </c>
      <c r="C170" s="18" t="s">
        <v>595</v>
      </c>
      <c r="D170" s="12">
        <v>5420</v>
      </c>
      <c r="E170" s="17" t="s">
        <v>138</v>
      </c>
      <c r="F170" s="12" t="s">
        <v>139</v>
      </c>
      <c r="G170" s="14">
        <v>6</v>
      </c>
      <c r="H170" s="24">
        <v>502200</v>
      </c>
      <c r="I170" s="12" t="s">
        <v>631</v>
      </c>
      <c r="J170" s="6" t="s">
        <v>609</v>
      </c>
      <c r="K170" s="6">
        <f t="shared" si="7"/>
        <v>8</v>
      </c>
      <c r="L170" s="6" t="str">
        <f t="shared" si="8"/>
        <v>AGOSTO</v>
      </c>
      <c r="M170" s="3"/>
    </row>
    <row r="171" spans="1:13" s="1" customFormat="1" x14ac:dyDescent="0.25">
      <c r="A171" s="5">
        <f t="shared" si="6"/>
        <v>2024</v>
      </c>
      <c r="B171" s="18" t="s">
        <v>823</v>
      </c>
      <c r="C171" s="18" t="s">
        <v>595</v>
      </c>
      <c r="D171" s="12">
        <v>5420</v>
      </c>
      <c r="E171" s="17" t="s">
        <v>373</v>
      </c>
      <c r="F171" s="12" t="s">
        <v>374</v>
      </c>
      <c r="G171" s="14">
        <v>3</v>
      </c>
      <c r="H171" s="24">
        <v>825000</v>
      </c>
      <c r="I171" s="12" t="s">
        <v>631</v>
      </c>
      <c r="J171" s="6" t="s">
        <v>609</v>
      </c>
      <c r="K171" s="6">
        <f t="shared" si="7"/>
        <v>8</v>
      </c>
      <c r="L171" s="6" t="str">
        <f t="shared" si="8"/>
        <v>AGOSTO</v>
      </c>
      <c r="M171" s="3"/>
    </row>
    <row r="172" spans="1:13" s="1" customFormat="1" x14ac:dyDescent="0.25">
      <c r="A172" s="5">
        <f t="shared" si="6"/>
        <v>2024</v>
      </c>
      <c r="B172" s="18" t="s">
        <v>809</v>
      </c>
      <c r="C172" s="18" t="s">
        <v>595</v>
      </c>
      <c r="D172" s="12">
        <v>5350</v>
      </c>
      <c r="E172" s="17">
        <v>147</v>
      </c>
      <c r="F172" s="12" t="s">
        <v>571</v>
      </c>
      <c r="G172" s="14">
        <v>7</v>
      </c>
      <c r="H172" s="24">
        <v>2100</v>
      </c>
      <c r="I172" s="12" t="s">
        <v>712</v>
      </c>
      <c r="J172" s="6" t="s">
        <v>608</v>
      </c>
      <c r="K172" s="6">
        <f t="shared" si="7"/>
        <v>7</v>
      </c>
      <c r="L172" s="6" t="str">
        <f t="shared" si="8"/>
        <v>JULIO</v>
      </c>
      <c r="M172" s="3"/>
    </row>
    <row r="173" spans="1:13" s="1" customFormat="1" x14ac:dyDescent="0.25">
      <c r="A173" s="5">
        <f t="shared" si="6"/>
        <v>2024</v>
      </c>
      <c r="B173" s="18" t="s">
        <v>790</v>
      </c>
      <c r="C173" s="18" t="s">
        <v>595</v>
      </c>
      <c r="D173" s="12">
        <v>5396</v>
      </c>
      <c r="E173" s="17" t="s">
        <v>676</v>
      </c>
      <c r="F173" s="12" t="s">
        <v>691</v>
      </c>
      <c r="G173" s="14">
        <v>1</v>
      </c>
      <c r="H173" s="24">
        <v>85700</v>
      </c>
      <c r="I173" s="12" t="s">
        <v>704</v>
      </c>
      <c r="J173" s="6" t="s">
        <v>706</v>
      </c>
      <c r="K173" s="6">
        <f t="shared" si="7"/>
        <v>7</v>
      </c>
      <c r="L173" s="6" t="str">
        <f t="shared" si="8"/>
        <v>JULIO</v>
      </c>
      <c r="M173" s="3"/>
    </row>
    <row r="174" spans="1:13" s="1" customFormat="1" x14ac:dyDescent="0.25">
      <c r="A174" s="5">
        <f t="shared" si="6"/>
        <v>2024</v>
      </c>
      <c r="B174" s="18" t="s">
        <v>790</v>
      </c>
      <c r="C174" s="18" t="s">
        <v>595</v>
      </c>
      <c r="D174" s="12">
        <v>5396</v>
      </c>
      <c r="E174" s="17" t="s">
        <v>119</v>
      </c>
      <c r="F174" s="12" t="s">
        <v>120</v>
      </c>
      <c r="G174" s="14">
        <v>1</v>
      </c>
      <c r="H174" s="24">
        <v>145700</v>
      </c>
      <c r="I174" s="12" t="s">
        <v>704</v>
      </c>
      <c r="J174" s="6" t="s">
        <v>706</v>
      </c>
      <c r="K174" s="6">
        <f t="shared" si="7"/>
        <v>7</v>
      </c>
      <c r="L174" s="6" t="str">
        <f t="shared" si="8"/>
        <v>JULIO</v>
      </c>
      <c r="M174" s="3"/>
    </row>
    <row r="175" spans="1:13" s="1" customFormat="1" x14ac:dyDescent="0.25">
      <c r="A175" s="5">
        <f t="shared" si="6"/>
        <v>2024</v>
      </c>
      <c r="B175" s="18" t="s">
        <v>830</v>
      </c>
      <c r="C175" s="18" t="s">
        <v>595</v>
      </c>
      <c r="D175" s="12">
        <v>5285</v>
      </c>
      <c r="E175" s="17" t="s">
        <v>226</v>
      </c>
      <c r="F175" s="12" t="s">
        <v>227</v>
      </c>
      <c r="G175" s="14">
        <v>297</v>
      </c>
      <c r="H175" s="24">
        <v>691416</v>
      </c>
      <c r="I175" s="12" t="s">
        <v>712</v>
      </c>
      <c r="J175" s="6" t="s">
        <v>608</v>
      </c>
      <c r="K175" s="6">
        <f t="shared" si="7"/>
        <v>5</v>
      </c>
      <c r="L175" s="6" t="str">
        <f t="shared" si="8"/>
        <v>MAYO</v>
      </c>
      <c r="M175" s="3"/>
    </row>
    <row r="176" spans="1:13" s="1" customFormat="1" x14ac:dyDescent="0.25">
      <c r="A176" s="5">
        <f t="shared" si="6"/>
        <v>2024</v>
      </c>
      <c r="B176" s="18" t="s">
        <v>822</v>
      </c>
      <c r="C176" s="18" t="s">
        <v>595</v>
      </c>
      <c r="D176" s="12">
        <v>5138</v>
      </c>
      <c r="E176" s="17" t="s">
        <v>561</v>
      </c>
      <c r="F176" s="12" t="s">
        <v>575</v>
      </c>
      <c r="G176" s="14">
        <v>3</v>
      </c>
      <c r="H176" s="24">
        <v>1260000</v>
      </c>
      <c r="I176" s="12" t="s">
        <v>631</v>
      </c>
      <c r="J176" s="6" t="s">
        <v>609</v>
      </c>
      <c r="K176" s="6">
        <f t="shared" si="7"/>
        <v>2</v>
      </c>
      <c r="L176" s="6" t="str">
        <f t="shared" si="8"/>
        <v>FEBRERO</v>
      </c>
      <c r="M176" s="3"/>
    </row>
    <row r="177" spans="1:13" s="1" customFormat="1" x14ac:dyDescent="0.25">
      <c r="A177" s="5">
        <f t="shared" si="6"/>
        <v>2024</v>
      </c>
      <c r="B177" s="18" t="s">
        <v>822</v>
      </c>
      <c r="C177" s="18" t="s">
        <v>595</v>
      </c>
      <c r="D177" s="12">
        <v>5138</v>
      </c>
      <c r="E177" s="17" t="s">
        <v>49</v>
      </c>
      <c r="F177" s="12" t="s">
        <v>50</v>
      </c>
      <c r="G177" s="14">
        <v>8</v>
      </c>
      <c r="H177" s="24">
        <v>400000</v>
      </c>
      <c r="I177" s="12" t="s">
        <v>631</v>
      </c>
      <c r="J177" s="6" t="s">
        <v>609</v>
      </c>
      <c r="K177" s="6">
        <f t="shared" si="7"/>
        <v>2</v>
      </c>
      <c r="L177" s="6" t="str">
        <f t="shared" si="8"/>
        <v>FEBRERO</v>
      </c>
      <c r="M177" s="3"/>
    </row>
    <row r="178" spans="1:13" s="1" customFormat="1" x14ac:dyDescent="0.25">
      <c r="A178" s="5">
        <f t="shared" si="6"/>
        <v>2025</v>
      </c>
      <c r="B178" s="18" t="s">
        <v>988</v>
      </c>
      <c r="C178" s="18" t="s">
        <v>595</v>
      </c>
      <c r="D178" s="12">
        <v>6021</v>
      </c>
      <c r="E178" s="17">
        <v>4089478</v>
      </c>
      <c r="F178" s="12" t="s">
        <v>990</v>
      </c>
      <c r="G178" s="14">
        <v>1</v>
      </c>
      <c r="H178" s="24">
        <v>1136842</v>
      </c>
      <c r="I178" s="12" t="s">
        <v>995</v>
      </c>
      <c r="J178" s="6" t="s">
        <v>892</v>
      </c>
      <c r="K178" s="6">
        <f t="shared" si="7"/>
        <v>4</v>
      </c>
      <c r="L178" s="6" t="str">
        <f t="shared" si="8"/>
        <v>ABRIL</v>
      </c>
      <c r="M178" s="3"/>
    </row>
    <row r="179" spans="1:13" s="1" customFormat="1" x14ac:dyDescent="0.25">
      <c r="A179" s="5">
        <f t="shared" si="6"/>
        <v>2025</v>
      </c>
      <c r="B179" s="18" t="s">
        <v>988</v>
      </c>
      <c r="C179" s="18" t="s">
        <v>595</v>
      </c>
      <c r="D179" s="12">
        <v>6021</v>
      </c>
      <c r="E179" s="17">
        <v>4089998</v>
      </c>
      <c r="F179" s="12" t="s">
        <v>991</v>
      </c>
      <c r="G179" s="14">
        <v>1</v>
      </c>
      <c r="H179" s="24">
        <v>1684210</v>
      </c>
      <c r="I179" s="12" t="s">
        <v>995</v>
      </c>
      <c r="J179" s="6" t="s">
        <v>892</v>
      </c>
      <c r="K179" s="6">
        <f t="shared" si="7"/>
        <v>4</v>
      </c>
      <c r="L179" s="6" t="str">
        <f t="shared" si="8"/>
        <v>ABRIL</v>
      </c>
      <c r="M179" s="3"/>
    </row>
    <row r="180" spans="1:13" s="1" customFormat="1" x14ac:dyDescent="0.25">
      <c r="A180" s="5">
        <f t="shared" si="6"/>
        <v>2025</v>
      </c>
      <c r="B180" s="18" t="s">
        <v>950</v>
      </c>
      <c r="C180" s="18" t="s">
        <v>595</v>
      </c>
      <c r="D180" s="12">
        <v>5958</v>
      </c>
      <c r="E180" s="17" t="s">
        <v>918</v>
      </c>
      <c r="F180" s="12" t="s">
        <v>921</v>
      </c>
      <c r="G180" s="14">
        <v>1</v>
      </c>
      <c r="H180" s="24">
        <v>3700240</v>
      </c>
      <c r="I180" s="12" t="s">
        <v>705</v>
      </c>
      <c r="J180" s="6" t="s">
        <v>611</v>
      </c>
      <c r="K180" s="6">
        <f t="shared" si="7"/>
        <v>3</v>
      </c>
      <c r="L180" s="6" t="str">
        <f t="shared" si="8"/>
        <v>MARZO</v>
      </c>
      <c r="M180" s="3"/>
    </row>
    <row r="181" spans="1:13" s="1" customFormat="1" x14ac:dyDescent="0.25">
      <c r="A181" s="5">
        <f t="shared" ref="A181:A244" si="9">+YEAR(B181)</f>
        <v>2025</v>
      </c>
      <c r="B181" s="18" t="s">
        <v>963</v>
      </c>
      <c r="C181" s="18" t="s">
        <v>595</v>
      </c>
      <c r="D181" s="12">
        <v>5980</v>
      </c>
      <c r="E181" s="17" t="s">
        <v>973</v>
      </c>
      <c r="F181" s="12" t="s">
        <v>974</v>
      </c>
      <c r="G181" s="14">
        <v>1</v>
      </c>
      <c r="H181" s="24">
        <v>3049999.7</v>
      </c>
      <c r="I181" s="12" t="s">
        <v>633</v>
      </c>
      <c r="J181" s="6" t="s">
        <v>892</v>
      </c>
      <c r="K181" s="6">
        <f t="shared" ref="K181:K244" si="10">+MONTH(B181)</f>
        <v>4</v>
      </c>
      <c r="L181" s="6" t="str">
        <f t="shared" si="8"/>
        <v>ABRIL</v>
      </c>
      <c r="M181" s="3"/>
    </row>
    <row r="182" spans="1:13" s="1" customFormat="1" x14ac:dyDescent="0.25">
      <c r="A182" s="5">
        <f t="shared" si="9"/>
        <v>2025</v>
      </c>
      <c r="B182" s="18" t="s">
        <v>1012</v>
      </c>
      <c r="C182" s="18" t="s">
        <v>595</v>
      </c>
      <c r="D182" s="12">
        <v>6063</v>
      </c>
      <c r="E182" s="17" t="s">
        <v>1018</v>
      </c>
      <c r="F182" s="12" t="s">
        <v>1019</v>
      </c>
      <c r="G182" s="14">
        <v>1</v>
      </c>
      <c r="H182" s="24">
        <v>190000</v>
      </c>
      <c r="I182" s="12" t="s">
        <v>712</v>
      </c>
      <c r="J182" s="6" t="s">
        <v>608</v>
      </c>
      <c r="K182" s="6">
        <f t="shared" si="10"/>
        <v>5</v>
      </c>
      <c r="L182" s="6" t="str">
        <f t="shared" si="8"/>
        <v>MAYO</v>
      </c>
      <c r="M182" s="3"/>
    </row>
    <row r="183" spans="1:13" s="1" customFormat="1" x14ac:dyDescent="0.25">
      <c r="A183" s="5">
        <f t="shared" si="9"/>
        <v>2025</v>
      </c>
      <c r="B183" s="18" t="s">
        <v>989</v>
      </c>
      <c r="C183" s="18" t="s">
        <v>595</v>
      </c>
      <c r="D183" s="12">
        <v>6026</v>
      </c>
      <c r="E183" s="17">
        <v>4090008</v>
      </c>
      <c r="F183" s="12" t="s">
        <v>994</v>
      </c>
      <c r="G183" s="14">
        <v>1</v>
      </c>
      <c r="H183" s="24">
        <v>8806500</v>
      </c>
      <c r="I183" s="12" t="s">
        <v>633</v>
      </c>
      <c r="J183" s="6" t="s">
        <v>892</v>
      </c>
      <c r="K183" s="6">
        <f t="shared" si="10"/>
        <v>4</v>
      </c>
      <c r="L183" s="6" t="str">
        <f t="shared" si="8"/>
        <v>ABRIL</v>
      </c>
      <c r="M183" s="3"/>
    </row>
    <row r="184" spans="1:13" s="1" customFormat="1" x14ac:dyDescent="0.25">
      <c r="A184" s="5">
        <f t="shared" si="9"/>
        <v>2025</v>
      </c>
      <c r="B184" s="18" t="s">
        <v>989</v>
      </c>
      <c r="C184" s="18" t="s">
        <v>595</v>
      </c>
      <c r="D184" s="12">
        <v>6026</v>
      </c>
      <c r="E184" s="17" t="s">
        <v>992</v>
      </c>
      <c r="F184" s="12" t="s">
        <v>993</v>
      </c>
      <c r="G184" s="14">
        <v>1</v>
      </c>
      <c r="H184" s="24">
        <v>2641000</v>
      </c>
      <c r="I184" s="12" t="s">
        <v>633</v>
      </c>
      <c r="J184" s="6" t="s">
        <v>892</v>
      </c>
      <c r="K184" s="6">
        <f t="shared" si="10"/>
        <v>4</v>
      </c>
      <c r="L184" s="6" t="str">
        <f t="shared" si="8"/>
        <v>ABRIL</v>
      </c>
      <c r="M184" s="3"/>
    </row>
    <row r="185" spans="1:13" s="1" customFormat="1" x14ac:dyDescent="0.25">
      <c r="A185" s="5">
        <f t="shared" si="9"/>
        <v>2025</v>
      </c>
      <c r="B185" s="18" t="s">
        <v>914</v>
      </c>
      <c r="C185" s="18" t="s">
        <v>595</v>
      </c>
      <c r="D185" s="12">
        <v>5830</v>
      </c>
      <c r="E185" s="17" t="s">
        <v>204</v>
      </c>
      <c r="F185" s="12" t="s">
        <v>205</v>
      </c>
      <c r="G185" s="14">
        <v>4</v>
      </c>
      <c r="H185" s="24">
        <v>160800</v>
      </c>
      <c r="I185" s="12" t="s">
        <v>634</v>
      </c>
      <c r="J185" s="6" t="s">
        <v>614</v>
      </c>
      <c r="K185" s="6">
        <f t="shared" si="10"/>
        <v>2</v>
      </c>
      <c r="L185" s="6" t="str">
        <f t="shared" si="8"/>
        <v>FEBRERO</v>
      </c>
      <c r="M185" s="3"/>
    </row>
    <row r="186" spans="1:13" s="1" customFormat="1" x14ac:dyDescent="0.25">
      <c r="A186" s="5">
        <f t="shared" si="9"/>
        <v>2025</v>
      </c>
      <c r="B186" s="18" t="s">
        <v>947</v>
      </c>
      <c r="C186" s="18" t="s">
        <v>595</v>
      </c>
      <c r="D186" s="12">
        <v>5930</v>
      </c>
      <c r="E186" s="17" t="s">
        <v>959</v>
      </c>
      <c r="F186" s="12" t="s">
        <v>960</v>
      </c>
      <c r="G186" s="14">
        <v>1</v>
      </c>
      <c r="H186" s="24">
        <v>78300</v>
      </c>
      <c r="I186" s="12" t="s">
        <v>712</v>
      </c>
      <c r="J186" s="6" t="s">
        <v>608</v>
      </c>
      <c r="K186" s="6">
        <f t="shared" si="10"/>
        <v>3</v>
      </c>
      <c r="L186" s="6" t="str">
        <f t="shared" si="8"/>
        <v>MARZO</v>
      </c>
      <c r="M186" s="3"/>
    </row>
    <row r="187" spans="1:13" s="1" customFormat="1" x14ac:dyDescent="0.25">
      <c r="A187" s="5">
        <f t="shared" si="9"/>
        <v>2025</v>
      </c>
      <c r="B187" s="18" t="s">
        <v>908</v>
      </c>
      <c r="C187" s="18" t="s">
        <v>595</v>
      </c>
      <c r="D187" s="12">
        <v>5815</v>
      </c>
      <c r="E187" s="17">
        <v>16980</v>
      </c>
      <c r="F187" s="12" t="s">
        <v>154</v>
      </c>
      <c r="G187" s="14">
        <v>1</v>
      </c>
      <c r="H187" s="24">
        <v>3700</v>
      </c>
      <c r="I187" s="12" t="s">
        <v>704</v>
      </c>
      <c r="J187" s="6" t="s">
        <v>706</v>
      </c>
      <c r="K187" s="6">
        <f t="shared" si="10"/>
        <v>1</v>
      </c>
      <c r="L187" s="6" t="str">
        <f t="shared" si="8"/>
        <v>ENERO</v>
      </c>
      <c r="M187" s="3"/>
    </row>
    <row r="188" spans="1:13" s="1" customFormat="1" x14ac:dyDescent="0.25">
      <c r="A188" s="5">
        <f t="shared" si="9"/>
        <v>2025</v>
      </c>
      <c r="B188" s="18" t="s">
        <v>904</v>
      </c>
      <c r="C188" s="18" t="s">
        <v>595</v>
      </c>
      <c r="D188" s="12">
        <v>5801</v>
      </c>
      <c r="E188" s="17">
        <v>4302704</v>
      </c>
      <c r="F188" s="12" t="s">
        <v>644</v>
      </c>
      <c r="G188" s="14">
        <v>1</v>
      </c>
      <c r="H188" s="24">
        <v>117936</v>
      </c>
      <c r="I188" s="12" t="s">
        <v>634</v>
      </c>
      <c r="J188" s="6" t="s">
        <v>614</v>
      </c>
      <c r="K188" s="6">
        <f t="shared" si="10"/>
        <v>1</v>
      </c>
      <c r="L188" s="6" t="str">
        <f t="shared" si="8"/>
        <v>ENERO</v>
      </c>
      <c r="M188" s="3"/>
    </row>
    <row r="189" spans="1:13" s="1" customFormat="1" x14ac:dyDescent="0.25">
      <c r="A189" s="5">
        <f t="shared" si="9"/>
        <v>2025</v>
      </c>
      <c r="B189" s="18" t="s">
        <v>912</v>
      </c>
      <c r="C189" s="18" t="s">
        <v>595</v>
      </c>
      <c r="D189" s="12">
        <v>5841</v>
      </c>
      <c r="E189" s="17" t="s">
        <v>380</v>
      </c>
      <c r="F189" s="12" t="s">
        <v>381</v>
      </c>
      <c r="G189" s="14">
        <v>1</v>
      </c>
      <c r="H189" s="24">
        <v>3300000.75</v>
      </c>
      <c r="I189" s="12" t="s">
        <v>633</v>
      </c>
      <c r="J189" s="6" t="s">
        <v>630</v>
      </c>
      <c r="K189" s="6">
        <f t="shared" si="10"/>
        <v>2</v>
      </c>
      <c r="L189" s="6" t="str">
        <f t="shared" si="8"/>
        <v>FEBRERO</v>
      </c>
      <c r="M189" s="3"/>
    </row>
    <row r="190" spans="1:13" s="1" customFormat="1" x14ac:dyDescent="0.25">
      <c r="A190" s="5">
        <f t="shared" si="9"/>
        <v>2025</v>
      </c>
      <c r="B190" s="18" t="s">
        <v>893</v>
      </c>
      <c r="C190" s="18" t="s">
        <v>595</v>
      </c>
      <c r="D190" s="12">
        <v>5762</v>
      </c>
      <c r="E190" s="17" t="s">
        <v>340</v>
      </c>
      <c r="F190" s="12" t="s">
        <v>341</v>
      </c>
      <c r="G190" s="14">
        <v>1</v>
      </c>
      <c r="H190" s="24">
        <v>35000</v>
      </c>
      <c r="I190" s="12" t="s">
        <v>546</v>
      </c>
      <c r="J190" s="6" t="s">
        <v>610</v>
      </c>
      <c r="K190" s="6">
        <f t="shared" si="10"/>
        <v>1</v>
      </c>
      <c r="L190" s="6" t="str">
        <f t="shared" si="8"/>
        <v>ENERO</v>
      </c>
      <c r="M190" s="3"/>
    </row>
    <row r="191" spans="1:13" s="1" customFormat="1" x14ac:dyDescent="0.25">
      <c r="A191" s="5">
        <f t="shared" si="9"/>
        <v>2025</v>
      </c>
      <c r="B191" s="18" t="s">
        <v>1025</v>
      </c>
      <c r="C191" s="18" t="s">
        <v>595</v>
      </c>
      <c r="D191" s="12">
        <v>6075</v>
      </c>
      <c r="E191" s="17" t="s">
        <v>1032</v>
      </c>
      <c r="F191" s="12" t="s">
        <v>1037</v>
      </c>
      <c r="G191" s="14">
        <v>3</v>
      </c>
      <c r="H191" s="24">
        <v>99891</v>
      </c>
      <c r="I191" s="12" t="s">
        <v>712</v>
      </c>
      <c r="J191" s="6" t="s">
        <v>608</v>
      </c>
      <c r="K191" s="6">
        <f t="shared" si="10"/>
        <v>5</v>
      </c>
      <c r="L191" s="6" t="str">
        <f t="shared" si="8"/>
        <v>MAYO</v>
      </c>
      <c r="M191" s="3"/>
    </row>
    <row r="192" spans="1:13" s="1" customFormat="1" x14ac:dyDescent="0.25">
      <c r="A192" s="5">
        <f t="shared" si="9"/>
        <v>2025</v>
      </c>
      <c r="B192" s="18" t="s">
        <v>1025</v>
      </c>
      <c r="C192" s="18" t="s">
        <v>595</v>
      </c>
      <c r="D192" s="12">
        <v>6076</v>
      </c>
      <c r="E192" s="17" t="s">
        <v>1033</v>
      </c>
      <c r="F192" s="12" t="s">
        <v>1038</v>
      </c>
      <c r="G192" s="14">
        <v>3</v>
      </c>
      <c r="H192" s="24">
        <v>80964</v>
      </c>
      <c r="I192" s="12" t="s">
        <v>712</v>
      </c>
      <c r="J192" s="6" t="s">
        <v>608</v>
      </c>
      <c r="K192" s="6">
        <f t="shared" si="10"/>
        <v>5</v>
      </c>
      <c r="L192" s="6" t="str">
        <f t="shared" si="8"/>
        <v>MAYO</v>
      </c>
      <c r="M192" s="3"/>
    </row>
    <row r="193" spans="1:13" s="1" customFormat="1" x14ac:dyDescent="0.25">
      <c r="A193" s="5">
        <f t="shared" si="9"/>
        <v>2025</v>
      </c>
      <c r="B193" s="18" t="s">
        <v>1026</v>
      </c>
      <c r="C193" s="18" t="s">
        <v>595</v>
      </c>
      <c r="D193" s="12">
        <v>6090</v>
      </c>
      <c r="E193" s="17" t="s">
        <v>872</v>
      </c>
      <c r="F193" s="12" t="s">
        <v>873</v>
      </c>
      <c r="G193" s="14">
        <v>1</v>
      </c>
      <c r="H193" s="24">
        <v>9473684</v>
      </c>
      <c r="I193" s="12" t="s">
        <v>1042</v>
      </c>
      <c r="J193" s="6" t="s">
        <v>1010</v>
      </c>
      <c r="K193" s="6">
        <f t="shared" si="10"/>
        <v>5</v>
      </c>
      <c r="L193" s="6" t="str">
        <f t="shared" si="8"/>
        <v>MAYO</v>
      </c>
      <c r="M193" s="3"/>
    </row>
    <row r="194" spans="1:13" s="1" customFormat="1" x14ac:dyDescent="0.25">
      <c r="A194" s="5">
        <f t="shared" si="9"/>
        <v>2025</v>
      </c>
      <c r="B194" s="18" t="s">
        <v>912</v>
      </c>
      <c r="C194" s="18" t="s">
        <v>595</v>
      </c>
      <c r="D194" s="12">
        <v>5835</v>
      </c>
      <c r="E194" s="17" t="s">
        <v>652</v>
      </c>
      <c r="F194" s="12" t="s">
        <v>217</v>
      </c>
      <c r="G194" s="14">
        <v>1</v>
      </c>
      <c r="H194" s="24">
        <v>105000</v>
      </c>
      <c r="I194" s="12" t="s">
        <v>712</v>
      </c>
      <c r="J194" s="6" t="s">
        <v>608</v>
      </c>
      <c r="K194" s="6">
        <f t="shared" si="10"/>
        <v>2</v>
      </c>
      <c r="L194" s="6" t="str">
        <f t="shared" si="8"/>
        <v>FEBRERO</v>
      </c>
      <c r="M194" s="3"/>
    </row>
    <row r="195" spans="1:13" s="1" customFormat="1" x14ac:dyDescent="0.25">
      <c r="A195" s="5">
        <f t="shared" si="9"/>
        <v>2025</v>
      </c>
      <c r="B195" s="18" t="s">
        <v>1079</v>
      </c>
      <c r="C195" s="18" t="s">
        <v>595</v>
      </c>
      <c r="D195" s="12">
        <v>6143</v>
      </c>
      <c r="E195" s="17" t="s">
        <v>1092</v>
      </c>
      <c r="F195" s="12" t="s">
        <v>1093</v>
      </c>
      <c r="G195" s="14">
        <v>2</v>
      </c>
      <c r="H195" s="24">
        <v>200000</v>
      </c>
      <c r="I195" s="12" t="s">
        <v>712</v>
      </c>
      <c r="J195" s="6" t="s">
        <v>608</v>
      </c>
      <c r="K195" s="6">
        <f t="shared" si="10"/>
        <v>7</v>
      </c>
      <c r="L195" s="6" t="str">
        <f t="shared" ref="L195:L258" si="11">VLOOKUP(K195,N:O,2,0)</f>
        <v>JULIO</v>
      </c>
      <c r="M195" s="3"/>
    </row>
    <row r="196" spans="1:13" s="1" customFormat="1" x14ac:dyDescent="0.25">
      <c r="A196" s="5">
        <f t="shared" si="9"/>
        <v>2025</v>
      </c>
      <c r="B196" s="18" t="s">
        <v>893</v>
      </c>
      <c r="C196" s="18" t="s">
        <v>595</v>
      </c>
      <c r="D196" s="12">
        <v>5760</v>
      </c>
      <c r="E196" s="17" t="s">
        <v>707</v>
      </c>
      <c r="F196" s="12" t="s">
        <v>670</v>
      </c>
      <c r="G196" s="14">
        <v>1</v>
      </c>
      <c r="H196" s="24">
        <v>340000</v>
      </c>
      <c r="I196" s="12" t="s">
        <v>712</v>
      </c>
      <c r="J196" s="6" t="s">
        <v>608</v>
      </c>
      <c r="K196" s="6">
        <f t="shared" si="10"/>
        <v>1</v>
      </c>
      <c r="L196" s="6" t="str">
        <f t="shared" si="11"/>
        <v>ENERO</v>
      </c>
      <c r="M196" s="3"/>
    </row>
    <row r="197" spans="1:13" s="1" customFormat="1" x14ac:dyDescent="0.25">
      <c r="A197" s="5">
        <f t="shared" si="9"/>
        <v>2025</v>
      </c>
      <c r="B197" s="18" t="s">
        <v>1044</v>
      </c>
      <c r="C197" s="18" t="s">
        <v>595</v>
      </c>
      <c r="D197" s="12">
        <v>6107</v>
      </c>
      <c r="E197" s="17" t="s">
        <v>1054</v>
      </c>
      <c r="F197" s="12" t="s">
        <v>1057</v>
      </c>
      <c r="G197" s="14">
        <v>1</v>
      </c>
      <c r="H197" s="24">
        <v>845500</v>
      </c>
      <c r="I197" s="12" t="s">
        <v>1058</v>
      </c>
      <c r="J197" s="6" t="s">
        <v>608</v>
      </c>
      <c r="K197" s="6">
        <f t="shared" si="10"/>
        <v>6</v>
      </c>
      <c r="L197" s="6" t="str">
        <f t="shared" si="11"/>
        <v>JUNIO</v>
      </c>
      <c r="M197" s="3"/>
    </row>
    <row r="198" spans="1:13" s="1" customFormat="1" x14ac:dyDescent="0.25">
      <c r="A198" s="5">
        <f t="shared" si="9"/>
        <v>2025</v>
      </c>
      <c r="B198" s="18" t="s">
        <v>1045</v>
      </c>
      <c r="C198" s="18" t="s">
        <v>595</v>
      </c>
      <c r="D198" s="12">
        <v>6116</v>
      </c>
      <c r="E198" s="17">
        <v>7400850005</v>
      </c>
      <c r="F198" s="12" t="s">
        <v>874</v>
      </c>
      <c r="G198" s="14">
        <v>1</v>
      </c>
      <c r="H198" s="24">
        <v>106000</v>
      </c>
      <c r="I198" s="12" t="s">
        <v>712</v>
      </c>
      <c r="J198" s="6" t="s">
        <v>608</v>
      </c>
      <c r="K198" s="6">
        <f t="shared" si="10"/>
        <v>6</v>
      </c>
      <c r="L198" s="6" t="str">
        <f t="shared" si="11"/>
        <v>JUNIO</v>
      </c>
      <c r="M198" s="3"/>
    </row>
    <row r="199" spans="1:13" s="1" customFormat="1" x14ac:dyDescent="0.25">
      <c r="A199" s="5">
        <f t="shared" si="9"/>
        <v>2025</v>
      </c>
      <c r="B199" s="18" t="s">
        <v>903</v>
      </c>
      <c r="C199" s="18" t="s">
        <v>595</v>
      </c>
      <c r="D199" s="12">
        <v>5802</v>
      </c>
      <c r="E199" s="17" t="s">
        <v>222</v>
      </c>
      <c r="F199" s="12" t="s">
        <v>223</v>
      </c>
      <c r="G199" s="14">
        <v>1</v>
      </c>
      <c r="H199" s="24">
        <v>222000</v>
      </c>
      <c r="I199" s="12" t="s">
        <v>712</v>
      </c>
      <c r="J199" s="6" t="s">
        <v>608</v>
      </c>
      <c r="K199" s="6">
        <f t="shared" si="10"/>
        <v>1</v>
      </c>
      <c r="L199" s="6" t="str">
        <f t="shared" si="11"/>
        <v>ENERO</v>
      </c>
      <c r="M199" s="3"/>
    </row>
    <row r="200" spans="1:13" s="1" customFormat="1" x14ac:dyDescent="0.25">
      <c r="A200" s="5">
        <f t="shared" si="9"/>
        <v>2025</v>
      </c>
      <c r="B200" s="18" t="s">
        <v>1081</v>
      </c>
      <c r="C200" s="18" t="s">
        <v>595</v>
      </c>
      <c r="D200" s="12">
        <v>6152</v>
      </c>
      <c r="E200" s="17" t="s">
        <v>1054</v>
      </c>
      <c r="F200" s="12" t="s">
        <v>1057</v>
      </c>
      <c r="G200" s="14">
        <v>1</v>
      </c>
      <c r="H200" s="24">
        <v>898276.04</v>
      </c>
      <c r="I200" s="12" t="s">
        <v>705</v>
      </c>
      <c r="J200" s="6" t="s">
        <v>612</v>
      </c>
      <c r="K200" s="6">
        <f t="shared" si="10"/>
        <v>7</v>
      </c>
      <c r="L200" s="6" t="str">
        <f t="shared" si="11"/>
        <v>JULIO</v>
      </c>
      <c r="M200" s="3"/>
    </row>
    <row r="201" spans="1:13" s="1" customFormat="1" x14ac:dyDescent="0.25">
      <c r="A201" s="5">
        <f t="shared" si="9"/>
        <v>2025</v>
      </c>
      <c r="B201" s="18" t="s">
        <v>1030</v>
      </c>
      <c r="C201" s="18" t="s">
        <v>595</v>
      </c>
      <c r="D201" s="12">
        <v>6094</v>
      </c>
      <c r="E201" s="17" t="s">
        <v>1031</v>
      </c>
      <c r="F201" s="12" t="s">
        <v>1036</v>
      </c>
      <c r="G201" s="14">
        <v>1</v>
      </c>
      <c r="H201" s="24">
        <v>2463760</v>
      </c>
      <c r="I201" s="12" t="s">
        <v>705</v>
      </c>
      <c r="J201" s="6" t="s">
        <v>611</v>
      </c>
      <c r="K201" s="6">
        <f t="shared" si="10"/>
        <v>6</v>
      </c>
      <c r="L201" s="6" t="str">
        <f t="shared" si="11"/>
        <v>JUNIO</v>
      </c>
      <c r="M201" s="3"/>
    </row>
    <row r="202" spans="1:13" s="1" customFormat="1" x14ac:dyDescent="0.25">
      <c r="A202" s="5">
        <f t="shared" si="9"/>
        <v>2025</v>
      </c>
      <c r="B202" s="18" t="s">
        <v>1081</v>
      </c>
      <c r="C202" s="18" t="s">
        <v>595</v>
      </c>
      <c r="D202" s="12">
        <v>6152</v>
      </c>
      <c r="E202" s="17" t="s">
        <v>1096</v>
      </c>
      <c r="F202" s="12" t="s">
        <v>1097</v>
      </c>
      <c r="G202" s="14">
        <v>1</v>
      </c>
      <c r="H202" s="24">
        <v>90885.88</v>
      </c>
      <c r="I202" s="12" t="s">
        <v>705</v>
      </c>
      <c r="J202" s="6" t="s">
        <v>612</v>
      </c>
      <c r="K202" s="6">
        <f t="shared" si="10"/>
        <v>7</v>
      </c>
      <c r="L202" s="6" t="str">
        <f t="shared" si="11"/>
        <v>JULIO</v>
      </c>
      <c r="M202" s="3"/>
    </row>
    <row r="203" spans="1:13" x14ac:dyDescent="0.25">
      <c r="A203" s="5">
        <f t="shared" si="9"/>
        <v>2025</v>
      </c>
      <c r="B203" s="18" t="s">
        <v>1081</v>
      </c>
      <c r="C203" s="18" t="s">
        <v>595</v>
      </c>
      <c r="D203" s="12">
        <v>6152</v>
      </c>
      <c r="E203" s="17" t="s">
        <v>1094</v>
      </c>
      <c r="F203" s="12" t="s">
        <v>1095</v>
      </c>
      <c r="G203" s="14">
        <v>1</v>
      </c>
      <c r="H203" s="24">
        <v>2220068.56</v>
      </c>
      <c r="I203" s="12" t="s">
        <v>705</v>
      </c>
      <c r="J203" s="6" t="s">
        <v>612</v>
      </c>
      <c r="K203" s="6">
        <f t="shared" si="10"/>
        <v>7</v>
      </c>
      <c r="L203" s="6" t="str">
        <f t="shared" si="11"/>
        <v>JULIO</v>
      </c>
    </row>
    <row r="204" spans="1:13" x14ac:dyDescent="0.25">
      <c r="A204" s="5">
        <f t="shared" si="9"/>
        <v>2025</v>
      </c>
      <c r="B204" s="18" t="s">
        <v>1081</v>
      </c>
      <c r="C204" s="18" t="s">
        <v>595</v>
      </c>
      <c r="D204" s="12">
        <v>6152</v>
      </c>
      <c r="E204" s="17" t="s">
        <v>1098</v>
      </c>
      <c r="F204" s="12" t="s">
        <v>1099</v>
      </c>
      <c r="G204" s="14">
        <v>1</v>
      </c>
      <c r="H204" s="24">
        <v>280000.15999999997</v>
      </c>
      <c r="I204" s="12" t="s">
        <v>705</v>
      </c>
      <c r="J204" s="6" t="s">
        <v>612</v>
      </c>
      <c r="K204" s="6">
        <f t="shared" si="10"/>
        <v>7</v>
      </c>
      <c r="L204" s="6" t="str">
        <f t="shared" si="11"/>
        <v>JULIO</v>
      </c>
    </row>
    <row r="205" spans="1:13" x14ac:dyDescent="0.25">
      <c r="A205" s="5">
        <f t="shared" si="9"/>
        <v>2025</v>
      </c>
      <c r="B205" s="18" t="s">
        <v>1060</v>
      </c>
      <c r="C205" s="18" t="s">
        <v>595</v>
      </c>
      <c r="D205" s="12">
        <v>6127</v>
      </c>
      <c r="E205" s="17" t="s">
        <v>371</v>
      </c>
      <c r="F205" s="12" t="s">
        <v>372</v>
      </c>
      <c r="G205" s="14">
        <v>12</v>
      </c>
      <c r="H205" s="24">
        <v>2073600</v>
      </c>
      <c r="I205" s="12" t="s">
        <v>634</v>
      </c>
      <c r="J205" s="6" t="s">
        <v>614</v>
      </c>
      <c r="K205" s="6">
        <f t="shared" si="10"/>
        <v>6</v>
      </c>
      <c r="L205" s="6" t="str">
        <f t="shared" si="11"/>
        <v>JUNIO</v>
      </c>
    </row>
    <row r="206" spans="1:13" x14ac:dyDescent="0.25">
      <c r="A206" s="5">
        <f t="shared" si="9"/>
        <v>2025</v>
      </c>
      <c r="B206" s="18" t="s">
        <v>1064</v>
      </c>
      <c r="C206" s="18" t="s">
        <v>595</v>
      </c>
      <c r="D206" s="12">
        <v>6132</v>
      </c>
      <c r="E206" s="17" t="s">
        <v>173</v>
      </c>
      <c r="F206" s="12" t="s">
        <v>174</v>
      </c>
      <c r="G206" s="14">
        <v>2</v>
      </c>
      <c r="H206" s="24">
        <v>460000</v>
      </c>
      <c r="I206" s="12" t="s">
        <v>712</v>
      </c>
      <c r="J206" s="6" t="s">
        <v>608</v>
      </c>
      <c r="K206" s="6">
        <f t="shared" si="10"/>
        <v>7</v>
      </c>
      <c r="L206" s="6" t="str">
        <f t="shared" si="11"/>
        <v>JULIO</v>
      </c>
    </row>
    <row r="207" spans="1:13" x14ac:dyDescent="0.25">
      <c r="A207" s="5">
        <f t="shared" si="9"/>
        <v>2025</v>
      </c>
      <c r="B207" s="18" t="s">
        <v>1064</v>
      </c>
      <c r="C207" s="18" t="s">
        <v>595</v>
      </c>
      <c r="D207" s="12">
        <v>6132</v>
      </c>
      <c r="E207" s="17">
        <v>15918</v>
      </c>
      <c r="F207" s="12" t="s">
        <v>285</v>
      </c>
      <c r="G207" s="14">
        <v>3</v>
      </c>
      <c r="H207" s="24">
        <v>7200</v>
      </c>
      <c r="I207" s="12" t="s">
        <v>712</v>
      </c>
      <c r="J207" s="6" t="s">
        <v>608</v>
      </c>
      <c r="K207" s="6">
        <f t="shared" si="10"/>
        <v>7</v>
      </c>
      <c r="L207" s="6" t="str">
        <f t="shared" si="11"/>
        <v>JULIO</v>
      </c>
    </row>
    <row r="208" spans="1:13" x14ac:dyDescent="0.25">
      <c r="A208" s="5">
        <f t="shared" si="9"/>
        <v>2025</v>
      </c>
      <c r="B208" s="18" t="s">
        <v>1102</v>
      </c>
      <c r="C208" s="18" t="s">
        <v>595</v>
      </c>
      <c r="D208" s="12">
        <v>6175</v>
      </c>
      <c r="E208" s="17" t="s">
        <v>297</v>
      </c>
      <c r="F208" s="12" t="s">
        <v>298</v>
      </c>
      <c r="G208" s="14">
        <v>1</v>
      </c>
      <c r="H208" s="24">
        <v>145000</v>
      </c>
      <c r="I208" s="12" t="s">
        <v>634</v>
      </c>
      <c r="J208" s="6" t="s">
        <v>614</v>
      </c>
      <c r="K208" s="6">
        <f t="shared" si="10"/>
        <v>7</v>
      </c>
      <c r="L208" s="6" t="str">
        <f t="shared" si="11"/>
        <v>JULIO</v>
      </c>
    </row>
    <row r="209" spans="1:12" x14ac:dyDescent="0.25">
      <c r="A209" s="5">
        <f t="shared" si="9"/>
        <v>2025</v>
      </c>
      <c r="B209" s="18" t="s">
        <v>1064</v>
      </c>
      <c r="C209" s="18" t="s">
        <v>595</v>
      </c>
      <c r="D209" s="12">
        <v>6133</v>
      </c>
      <c r="E209" s="17" t="s">
        <v>192</v>
      </c>
      <c r="F209" s="12" t="s">
        <v>193</v>
      </c>
      <c r="G209" s="14">
        <v>2</v>
      </c>
      <c r="H209" s="24">
        <v>620000</v>
      </c>
      <c r="I209" s="12" t="s">
        <v>712</v>
      </c>
      <c r="J209" s="6" t="s">
        <v>608</v>
      </c>
      <c r="K209" s="6">
        <f t="shared" si="10"/>
        <v>7</v>
      </c>
      <c r="L209" s="6" t="str">
        <f t="shared" si="11"/>
        <v>JULIO</v>
      </c>
    </row>
    <row r="210" spans="1:12" x14ac:dyDescent="0.25">
      <c r="A210" s="5">
        <f t="shared" si="9"/>
        <v>2025</v>
      </c>
      <c r="B210" s="18" t="s">
        <v>1126</v>
      </c>
      <c r="C210" s="18" t="s">
        <v>595</v>
      </c>
      <c r="D210" s="12">
        <v>6206</v>
      </c>
      <c r="E210" s="17" t="s">
        <v>872</v>
      </c>
      <c r="F210" s="12" t="s">
        <v>873</v>
      </c>
      <c r="G210" s="14">
        <v>1</v>
      </c>
      <c r="H210" s="24">
        <v>9473684</v>
      </c>
      <c r="I210" s="12" t="s">
        <v>1042</v>
      </c>
      <c r="J210" s="6" t="s">
        <v>1010</v>
      </c>
      <c r="K210" s="6">
        <f t="shared" si="10"/>
        <v>8</v>
      </c>
      <c r="L210" s="6" t="str">
        <f t="shared" si="11"/>
        <v>AGOSTO</v>
      </c>
    </row>
    <row r="211" spans="1:12" x14ac:dyDescent="0.25">
      <c r="A211" s="5">
        <f t="shared" si="9"/>
        <v>2025</v>
      </c>
      <c r="B211" s="18" t="s">
        <v>1044</v>
      </c>
      <c r="C211" s="18" t="s">
        <v>595</v>
      </c>
      <c r="D211" s="12">
        <v>6104</v>
      </c>
      <c r="E211" s="17" t="s">
        <v>872</v>
      </c>
      <c r="F211" s="12" t="s">
        <v>873</v>
      </c>
      <c r="G211" s="14">
        <v>1</v>
      </c>
      <c r="H211" s="24">
        <v>9100000</v>
      </c>
      <c r="I211" s="12" t="s">
        <v>1059</v>
      </c>
      <c r="J211" s="6" t="s">
        <v>613</v>
      </c>
      <c r="K211" s="6">
        <f t="shared" si="10"/>
        <v>6</v>
      </c>
      <c r="L211" s="6" t="str">
        <f t="shared" si="11"/>
        <v>JUNIO</v>
      </c>
    </row>
    <row r="212" spans="1:12" x14ac:dyDescent="0.25">
      <c r="A212" s="5">
        <f t="shared" si="9"/>
        <v>2025</v>
      </c>
      <c r="B212" s="18" t="s">
        <v>1127</v>
      </c>
      <c r="C212" s="18" t="s">
        <v>595</v>
      </c>
      <c r="D212" s="12">
        <v>6208</v>
      </c>
      <c r="E212" s="17" t="s">
        <v>68</v>
      </c>
      <c r="F212" s="12" t="s">
        <v>69</v>
      </c>
      <c r="G212" s="14">
        <v>24</v>
      </c>
      <c r="H212" s="24">
        <v>14760000</v>
      </c>
      <c r="I212" s="12" t="s">
        <v>634</v>
      </c>
      <c r="J212" s="6" t="s">
        <v>614</v>
      </c>
      <c r="K212" s="6">
        <f t="shared" si="10"/>
        <v>8</v>
      </c>
      <c r="L212" s="6" t="str">
        <f t="shared" si="11"/>
        <v>AGOSTO</v>
      </c>
    </row>
    <row r="213" spans="1:12" x14ac:dyDescent="0.25">
      <c r="A213" s="5">
        <f t="shared" si="9"/>
        <v>2025</v>
      </c>
      <c r="B213" s="18" t="s">
        <v>1103</v>
      </c>
      <c r="C213" s="18" t="s">
        <v>595</v>
      </c>
      <c r="D213" s="12">
        <v>6177</v>
      </c>
      <c r="E213" s="17" t="s">
        <v>303</v>
      </c>
      <c r="F213" s="12" t="s">
        <v>304</v>
      </c>
      <c r="G213" s="14">
        <v>10</v>
      </c>
      <c r="H213" s="24">
        <v>320000</v>
      </c>
      <c r="I213" s="12" t="s">
        <v>631</v>
      </c>
      <c r="J213" s="6" t="s">
        <v>609</v>
      </c>
      <c r="K213" s="6">
        <f t="shared" si="10"/>
        <v>7</v>
      </c>
      <c r="L213" s="6" t="str">
        <f t="shared" si="11"/>
        <v>JULIO</v>
      </c>
    </row>
    <row r="214" spans="1:12" x14ac:dyDescent="0.25">
      <c r="A214" s="5">
        <f t="shared" si="9"/>
        <v>2025</v>
      </c>
      <c r="B214" s="18" t="s">
        <v>1103</v>
      </c>
      <c r="C214" s="18" t="s">
        <v>595</v>
      </c>
      <c r="D214" s="12">
        <v>6177</v>
      </c>
      <c r="E214" s="17" t="s">
        <v>427</v>
      </c>
      <c r="F214" s="12" t="s">
        <v>428</v>
      </c>
      <c r="G214" s="14">
        <v>1</v>
      </c>
      <c r="H214" s="24">
        <v>50000</v>
      </c>
      <c r="I214" s="12" t="s">
        <v>631</v>
      </c>
      <c r="J214" s="6" t="s">
        <v>609</v>
      </c>
      <c r="K214" s="6">
        <f t="shared" si="10"/>
        <v>7</v>
      </c>
      <c r="L214" s="6" t="str">
        <f t="shared" si="11"/>
        <v>JULIO</v>
      </c>
    </row>
    <row r="215" spans="1:12" x14ac:dyDescent="0.25">
      <c r="A215" s="5">
        <f t="shared" si="9"/>
        <v>2025</v>
      </c>
      <c r="B215" s="18" t="s">
        <v>969</v>
      </c>
      <c r="C215" s="18" t="s">
        <v>595</v>
      </c>
      <c r="D215" s="12">
        <v>6000</v>
      </c>
      <c r="E215" s="17">
        <v>5566510</v>
      </c>
      <c r="F215" s="12" t="s">
        <v>324</v>
      </c>
      <c r="G215" s="14">
        <v>1</v>
      </c>
      <c r="H215" s="24">
        <v>338889</v>
      </c>
      <c r="I215" s="12" t="s">
        <v>712</v>
      </c>
      <c r="J215" s="6" t="s">
        <v>608</v>
      </c>
      <c r="K215" s="6">
        <f t="shared" si="10"/>
        <v>4</v>
      </c>
      <c r="L215" s="6" t="str">
        <f t="shared" si="11"/>
        <v>ABRIL</v>
      </c>
    </row>
    <row r="216" spans="1:12" x14ac:dyDescent="0.25">
      <c r="A216" s="5">
        <f t="shared" si="9"/>
        <v>2025</v>
      </c>
      <c r="B216" s="18" t="s">
        <v>969</v>
      </c>
      <c r="C216" s="18" t="s">
        <v>595</v>
      </c>
      <c r="D216" s="12">
        <v>6000</v>
      </c>
      <c r="E216" s="17" t="s">
        <v>599</v>
      </c>
      <c r="F216" s="12" t="s">
        <v>603</v>
      </c>
      <c r="G216" s="14">
        <v>10</v>
      </c>
      <c r="H216" s="24">
        <v>671050</v>
      </c>
      <c r="I216" s="12" t="s">
        <v>712</v>
      </c>
      <c r="J216" s="6" t="s">
        <v>608</v>
      </c>
      <c r="K216" s="6">
        <f t="shared" si="10"/>
        <v>4</v>
      </c>
      <c r="L216" s="6" t="str">
        <f t="shared" si="11"/>
        <v>ABRIL</v>
      </c>
    </row>
    <row r="217" spans="1:12" x14ac:dyDescent="0.25">
      <c r="A217" s="5">
        <f t="shared" si="9"/>
        <v>2025</v>
      </c>
      <c r="B217" s="18" t="s">
        <v>969</v>
      </c>
      <c r="C217" s="18" t="s">
        <v>595</v>
      </c>
      <c r="D217" s="12">
        <v>6000</v>
      </c>
      <c r="E217" s="17" t="s">
        <v>586</v>
      </c>
      <c r="F217" s="12" t="s">
        <v>587</v>
      </c>
      <c r="G217" s="14">
        <v>9</v>
      </c>
      <c r="H217" s="24">
        <v>855000</v>
      </c>
      <c r="I217" s="12" t="s">
        <v>712</v>
      </c>
      <c r="J217" s="6" t="s">
        <v>608</v>
      </c>
      <c r="K217" s="6">
        <f t="shared" si="10"/>
        <v>4</v>
      </c>
      <c r="L217" s="6" t="str">
        <f t="shared" si="11"/>
        <v>ABRIL</v>
      </c>
    </row>
    <row r="218" spans="1:12" x14ac:dyDescent="0.25">
      <c r="A218" s="5">
        <f t="shared" si="9"/>
        <v>2025</v>
      </c>
      <c r="B218" s="18" t="s">
        <v>969</v>
      </c>
      <c r="C218" s="18" t="s">
        <v>595</v>
      </c>
      <c r="D218" s="12">
        <v>6000</v>
      </c>
      <c r="E218" s="17">
        <v>43271</v>
      </c>
      <c r="F218" s="12" t="s">
        <v>479</v>
      </c>
      <c r="G218" s="14">
        <v>1</v>
      </c>
      <c r="H218" s="24">
        <v>75000</v>
      </c>
      <c r="I218" s="12" t="s">
        <v>712</v>
      </c>
      <c r="J218" s="6" t="s">
        <v>608</v>
      </c>
      <c r="K218" s="6">
        <f t="shared" si="10"/>
        <v>4</v>
      </c>
      <c r="L218" s="6" t="str">
        <f t="shared" si="11"/>
        <v>ABRIL</v>
      </c>
    </row>
    <row r="219" spans="1:12" x14ac:dyDescent="0.25">
      <c r="A219" s="5">
        <f t="shared" si="9"/>
        <v>2025</v>
      </c>
      <c r="B219" s="18" t="s">
        <v>969</v>
      </c>
      <c r="C219" s="18" t="s">
        <v>595</v>
      </c>
      <c r="D219" s="12">
        <v>6000</v>
      </c>
      <c r="E219" s="17">
        <v>108145</v>
      </c>
      <c r="F219" s="12" t="s">
        <v>121</v>
      </c>
      <c r="G219" s="14">
        <v>4</v>
      </c>
      <c r="H219" s="24">
        <v>64800</v>
      </c>
      <c r="I219" s="12" t="s">
        <v>712</v>
      </c>
      <c r="J219" s="6" t="s">
        <v>608</v>
      </c>
      <c r="K219" s="6">
        <f t="shared" si="10"/>
        <v>4</v>
      </c>
      <c r="L219" s="6" t="str">
        <f t="shared" si="11"/>
        <v>ABRIL</v>
      </c>
    </row>
    <row r="220" spans="1:12" x14ac:dyDescent="0.25">
      <c r="A220" s="5">
        <f t="shared" si="9"/>
        <v>2025</v>
      </c>
      <c r="B220" s="18" t="s">
        <v>907</v>
      </c>
      <c r="C220" s="18" t="s">
        <v>595</v>
      </c>
      <c r="D220" s="12">
        <v>5816</v>
      </c>
      <c r="E220" s="17" t="s">
        <v>586</v>
      </c>
      <c r="F220" s="12" t="s">
        <v>587</v>
      </c>
      <c r="G220" s="14">
        <v>3</v>
      </c>
      <c r="H220" s="24">
        <v>243000</v>
      </c>
      <c r="I220" s="12" t="s">
        <v>712</v>
      </c>
      <c r="J220" s="6" t="s">
        <v>608</v>
      </c>
      <c r="K220" s="6">
        <f t="shared" si="10"/>
        <v>1</v>
      </c>
      <c r="L220" s="6" t="str">
        <f t="shared" si="11"/>
        <v>ENERO</v>
      </c>
    </row>
    <row r="221" spans="1:12" x14ac:dyDescent="0.25">
      <c r="A221" s="5">
        <f t="shared" si="9"/>
        <v>2025</v>
      </c>
      <c r="B221" s="18" t="s">
        <v>943</v>
      </c>
      <c r="C221" s="18" t="s">
        <v>595</v>
      </c>
      <c r="D221" s="12">
        <v>5922</v>
      </c>
      <c r="E221" s="17" t="s">
        <v>200</v>
      </c>
      <c r="F221" s="12" t="s">
        <v>201</v>
      </c>
      <c r="G221" s="14">
        <v>1</v>
      </c>
      <c r="H221" s="24">
        <v>152000</v>
      </c>
      <c r="I221" s="12" t="s">
        <v>712</v>
      </c>
      <c r="J221" s="6" t="s">
        <v>608</v>
      </c>
      <c r="K221" s="6">
        <f t="shared" si="10"/>
        <v>3</v>
      </c>
      <c r="L221" s="6" t="str">
        <f t="shared" si="11"/>
        <v>MARZO</v>
      </c>
    </row>
    <row r="222" spans="1:12" x14ac:dyDescent="0.25">
      <c r="A222" s="5">
        <f t="shared" si="9"/>
        <v>2025</v>
      </c>
      <c r="B222" s="18" t="s">
        <v>909</v>
      </c>
      <c r="C222" s="18" t="s">
        <v>595</v>
      </c>
      <c r="D222" s="12">
        <v>5819</v>
      </c>
      <c r="E222" s="17" t="s">
        <v>41</v>
      </c>
      <c r="F222" s="12" t="s">
        <v>42</v>
      </c>
      <c r="G222" s="14">
        <v>2</v>
      </c>
      <c r="H222" s="24">
        <v>56000</v>
      </c>
      <c r="I222" s="12" t="s">
        <v>712</v>
      </c>
      <c r="J222" s="6" t="s">
        <v>608</v>
      </c>
      <c r="K222" s="6">
        <f t="shared" si="10"/>
        <v>1</v>
      </c>
      <c r="L222" s="6" t="str">
        <f t="shared" si="11"/>
        <v>ENERO</v>
      </c>
    </row>
    <row r="223" spans="1:12" x14ac:dyDescent="0.25">
      <c r="A223" s="5">
        <f t="shared" si="9"/>
        <v>2025</v>
      </c>
      <c r="B223" s="18" t="s">
        <v>1260</v>
      </c>
      <c r="C223" s="18" t="s">
        <v>595</v>
      </c>
      <c r="D223" s="12">
        <v>6344</v>
      </c>
      <c r="E223" s="17">
        <v>328349</v>
      </c>
      <c r="F223" s="12" t="s">
        <v>107</v>
      </c>
      <c r="G223" s="14">
        <v>1</v>
      </c>
      <c r="H223" s="24">
        <v>890000</v>
      </c>
      <c r="I223" s="12" t="s">
        <v>712</v>
      </c>
      <c r="J223" s="6" t="s">
        <v>608</v>
      </c>
      <c r="K223" s="6">
        <f t="shared" si="10"/>
        <v>11</v>
      </c>
      <c r="L223" s="6" t="str">
        <f t="shared" si="11"/>
        <v>NOVIEMBRE</v>
      </c>
    </row>
    <row r="224" spans="1:12" x14ac:dyDescent="0.25">
      <c r="A224" s="5">
        <f t="shared" si="9"/>
        <v>2025</v>
      </c>
      <c r="B224" s="18" t="s">
        <v>1051</v>
      </c>
      <c r="C224" s="18" t="s">
        <v>595</v>
      </c>
      <c r="D224" s="12">
        <v>6114</v>
      </c>
      <c r="E224" s="17" t="s">
        <v>723</v>
      </c>
      <c r="F224" s="12" t="s">
        <v>139</v>
      </c>
      <c r="G224" s="14">
        <v>5</v>
      </c>
      <c r="H224" s="24">
        <v>175000</v>
      </c>
      <c r="I224" s="12" t="s">
        <v>631</v>
      </c>
      <c r="J224" s="6" t="s">
        <v>609</v>
      </c>
      <c r="K224" s="6">
        <f t="shared" si="10"/>
        <v>6</v>
      </c>
      <c r="L224" s="6" t="str">
        <f t="shared" si="11"/>
        <v>JUNIO</v>
      </c>
    </row>
    <row r="225" spans="1:12" x14ac:dyDescent="0.25">
      <c r="A225" s="5">
        <f t="shared" si="9"/>
        <v>2025</v>
      </c>
      <c r="B225" s="18" t="s">
        <v>1051</v>
      </c>
      <c r="C225" s="18" t="s">
        <v>595</v>
      </c>
      <c r="D225" s="12">
        <v>6114</v>
      </c>
      <c r="E225" s="17" t="s">
        <v>237</v>
      </c>
      <c r="F225" s="12" t="s">
        <v>238</v>
      </c>
      <c r="G225" s="14">
        <v>1</v>
      </c>
      <c r="H225" s="24">
        <v>480000</v>
      </c>
      <c r="I225" s="12" t="s">
        <v>631</v>
      </c>
      <c r="J225" s="6" t="s">
        <v>609</v>
      </c>
      <c r="K225" s="6">
        <f t="shared" si="10"/>
        <v>6</v>
      </c>
      <c r="L225" s="6" t="str">
        <f t="shared" si="11"/>
        <v>JUNIO</v>
      </c>
    </row>
    <row r="226" spans="1:12" x14ac:dyDescent="0.25">
      <c r="A226" s="5">
        <f t="shared" si="9"/>
        <v>2025</v>
      </c>
      <c r="B226" s="18" t="s">
        <v>1143</v>
      </c>
      <c r="C226" s="18" t="s">
        <v>595</v>
      </c>
      <c r="D226" s="12">
        <v>6230</v>
      </c>
      <c r="E226" s="17" t="s">
        <v>417</v>
      </c>
      <c r="F226" s="12" t="s">
        <v>418</v>
      </c>
      <c r="G226" s="14">
        <v>2</v>
      </c>
      <c r="H226" s="24">
        <v>428000</v>
      </c>
      <c r="I226" s="12" t="s">
        <v>712</v>
      </c>
      <c r="J226" s="6" t="s">
        <v>608</v>
      </c>
      <c r="K226" s="6">
        <f t="shared" si="10"/>
        <v>8</v>
      </c>
      <c r="L226" s="6" t="str">
        <f t="shared" si="11"/>
        <v>AGOSTO</v>
      </c>
    </row>
    <row r="227" spans="1:12" x14ac:dyDescent="0.25">
      <c r="A227" s="5">
        <f t="shared" si="9"/>
        <v>2025</v>
      </c>
      <c r="B227" s="18" t="s">
        <v>1142</v>
      </c>
      <c r="C227" s="18" t="s">
        <v>595</v>
      </c>
      <c r="D227" s="12">
        <v>6228</v>
      </c>
      <c r="E227" s="17" t="s">
        <v>245</v>
      </c>
      <c r="F227" s="12" t="s">
        <v>246</v>
      </c>
      <c r="G227" s="14">
        <v>12</v>
      </c>
      <c r="H227" s="24">
        <v>72540</v>
      </c>
      <c r="I227" s="12" t="s">
        <v>704</v>
      </c>
      <c r="J227" s="6" t="s">
        <v>1101</v>
      </c>
      <c r="K227" s="6">
        <f t="shared" si="10"/>
        <v>8</v>
      </c>
      <c r="L227" s="6" t="str">
        <f t="shared" si="11"/>
        <v>AGOSTO</v>
      </c>
    </row>
    <row r="228" spans="1:12" x14ac:dyDescent="0.25">
      <c r="A228" s="5">
        <f t="shared" si="9"/>
        <v>2025</v>
      </c>
      <c r="B228" s="18" t="s">
        <v>950</v>
      </c>
      <c r="C228" s="18" t="s">
        <v>595</v>
      </c>
      <c r="D228" s="12">
        <v>5960</v>
      </c>
      <c r="E228" s="17" t="s">
        <v>26</v>
      </c>
      <c r="F228" s="12" t="s">
        <v>585</v>
      </c>
      <c r="G228" s="14">
        <v>1</v>
      </c>
      <c r="H228" s="24">
        <v>139700</v>
      </c>
      <c r="I228" s="12" t="s">
        <v>712</v>
      </c>
      <c r="J228" s="6" t="s">
        <v>608</v>
      </c>
      <c r="K228" s="6">
        <f t="shared" si="10"/>
        <v>3</v>
      </c>
      <c r="L228" s="6" t="str">
        <f t="shared" si="11"/>
        <v>MARZO</v>
      </c>
    </row>
    <row r="229" spans="1:12" x14ac:dyDescent="0.25">
      <c r="A229" s="5">
        <f t="shared" si="9"/>
        <v>2025</v>
      </c>
      <c r="B229" s="18" t="s">
        <v>940</v>
      </c>
      <c r="C229" s="18" t="s">
        <v>595</v>
      </c>
      <c r="D229" s="12">
        <v>5891</v>
      </c>
      <c r="E229" s="17" t="s">
        <v>21</v>
      </c>
      <c r="F229" s="12" t="s">
        <v>22</v>
      </c>
      <c r="G229" s="14">
        <v>1</v>
      </c>
      <c r="H229" s="24">
        <v>110000</v>
      </c>
      <c r="I229" s="12" t="s">
        <v>712</v>
      </c>
      <c r="J229" s="6" t="s">
        <v>608</v>
      </c>
      <c r="K229" s="6">
        <f t="shared" si="10"/>
        <v>3</v>
      </c>
      <c r="L229" s="6" t="str">
        <f t="shared" si="11"/>
        <v>MARZO</v>
      </c>
    </row>
    <row r="230" spans="1:12" x14ac:dyDescent="0.25">
      <c r="A230" s="5">
        <f t="shared" si="9"/>
        <v>2025</v>
      </c>
      <c r="B230" s="18" t="s">
        <v>942</v>
      </c>
      <c r="C230" s="18" t="s">
        <v>595</v>
      </c>
      <c r="D230" s="12">
        <v>5908</v>
      </c>
      <c r="E230" s="17" t="s">
        <v>514</v>
      </c>
      <c r="F230" s="12" t="s">
        <v>515</v>
      </c>
      <c r="G230" s="14">
        <v>2</v>
      </c>
      <c r="H230" s="24">
        <v>459474</v>
      </c>
      <c r="I230" s="12" t="s">
        <v>634</v>
      </c>
      <c r="J230" s="6" t="s">
        <v>614</v>
      </c>
      <c r="K230" s="6">
        <f t="shared" si="10"/>
        <v>3</v>
      </c>
      <c r="L230" s="6" t="str">
        <f t="shared" si="11"/>
        <v>MARZO</v>
      </c>
    </row>
    <row r="231" spans="1:12" x14ac:dyDescent="0.25">
      <c r="A231" s="5">
        <f t="shared" si="9"/>
        <v>2025</v>
      </c>
      <c r="B231" s="18" t="s">
        <v>948</v>
      </c>
      <c r="C231" s="18" t="s">
        <v>595</v>
      </c>
      <c r="D231" s="12">
        <v>5950</v>
      </c>
      <c r="E231" s="17" t="s">
        <v>297</v>
      </c>
      <c r="F231" s="12" t="s">
        <v>298</v>
      </c>
      <c r="G231" s="14">
        <v>1</v>
      </c>
      <c r="H231" s="24">
        <v>145000</v>
      </c>
      <c r="I231" s="12" t="s">
        <v>634</v>
      </c>
      <c r="J231" s="6" t="s">
        <v>614</v>
      </c>
      <c r="K231" s="6">
        <f t="shared" si="10"/>
        <v>3</v>
      </c>
      <c r="L231" s="6" t="str">
        <f t="shared" si="11"/>
        <v>MARZO</v>
      </c>
    </row>
    <row r="232" spans="1:12" x14ac:dyDescent="0.25">
      <c r="A232" s="5">
        <f t="shared" si="9"/>
        <v>2025</v>
      </c>
      <c r="B232" s="18" t="s">
        <v>1005</v>
      </c>
      <c r="C232" s="18" t="s">
        <v>595</v>
      </c>
      <c r="D232" s="12">
        <v>6048</v>
      </c>
      <c r="E232" s="17" t="s">
        <v>677</v>
      </c>
      <c r="F232" s="12" t="s">
        <v>692</v>
      </c>
      <c r="G232" s="14">
        <v>2</v>
      </c>
      <c r="H232" s="24">
        <v>762960</v>
      </c>
      <c r="I232" s="12" t="s">
        <v>704</v>
      </c>
      <c r="J232" s="6" t="s">
        <v>706</v>
      </c>
      <c r="K232" s="6">
        <f t="shared" si="10"/>
        <v>5</v>
      </c>
      <c r="L232" s="6" t="str">
        <f t="shared" si="11"/>
        <v>MAYO</v>
      </c>
    </row>
    <row r="233" spans="1:12" x14ac:dyDescent="0.25">
      <c r="A233" s="5">
        <f t="shared" si="9"/>
        <v>2025</v>
      </c>
      <c r="B233" s="18" t="s">
        <v>1168</v>
      </c>
      <c r="C233" s="18" t="s">
        <v>595</v>
      </c>
      <c r="D233" s="12">
        <v>6252</v>
      </c>
      <c r="E233" s="17" t="s">
        <v>375</v>
      </c>
      <c r="F233" s="12" t="s">
        <v>376</v>
      </c>
      <c r="G233" s="14">
        <v>1</v>
      </c>
      <c r="H233" s="24">
        <v>22000</v>
      </c>
      <c r="I233" s="12" t="s">
        <v>712</v>
      </c>
      <c r="J233" s="6" t="s">
        <v>608</v>
      </c>
      <c r="K233" s="6">
        <f t="shared" si="10"/>
        <v>9</v>
      </c>
      <c r="L233" s="6" t="str">
        <f t="shared" si="11"/>
        <v>SEPTIEMBRE</v>
      </c>
    </row>
    <row r="234" spans="1:12" x14ac:dyDescent="0.25">
      <c r="A234" s="5">
        <f t="shared" si="9"/>
        <v>2025</v>
      </c>
      <c r="B234" s="18" t="s">
        <v>1176</v>
      </c>
      <c r="C234" s="18" t="s">
        <v>595</v>
      </c>
      <c r="D234" s="12">
        <v>6266</v>
      </c>
      <c r="E234" s="17">
        <v>7400750005</v>
      </c>
      <c r="F234" s="12" t="s">
        <v>1039</v>
      </c>
      <c r="G234" s="14">
        <v>1</v>
      </c>
      <c r="H234" s="24">
        <v>95000</v>
      </c>
      <c r="I234" s="12" t="s">
        <v>712</v>
      </c>
      <c r="J234" s="6" t="s">
        <v>608</v>
      </c>
      <c r="K234" s="6">
        <f t="shared" si="10"/>
        <v>9</v>
      </c>
      <c r="L234" s="6" t="str">
        <f t="shared" si="11"/>
        <v>SEPTIEMBRE</v>
      </c>
    </row>
    <row r="235" spans="1:12" x14ac:dyDescent="0.25">
      <c r="A235" s="5">
        <f t="shared" si="9"/>
        <v>2025</v>
      </c>
      <c r="B235" s="18" t="s">
        <v>1169</v>
      </c>
      <c r="C235" s="18" t="s">
        <v>595</v>
      </c>
      <c r="D235" s="12">
        <v>6248</v>
      </c>
      <c r="E235" s="17" t="s">
        <v>1171</v>
      </c>
      <c r="F235" s="12" t="s">
        <v>1172</v>
      </c>
      <c r="G235" s="14">
        <v>1</v>
      </c>
      <c r="H235" s="24">
        <v>2969999.25</v>
      </c>
      <c r="I235" s="12" t="s">
        <v>633</v>
      </c>
      <c r="J235" s="6" t="s">
        <v>892</v>
      </c>
      <c r="K235" s="6">
        <f t="shared" si="10"/>
        <v>9</v>
      </c>
      <c r="L235" s="6" t="str">
        <f t="shared" si="11"/>
        <v>SEPTIEMBRE</v>
      </c>
    </row>
    <row r="236" spans="1:12" x14ac:dyDescent="0.25">
      <c r="A236" s="5">
        <f t="shared" si="9"/>
        <v>2025</v>
      </c>
      <c r="B236" s="18" t="s">
        <v>1218</v>
      </c>
      <c r="C236" s="18" t="s">
        <v>595</v>
      </c>
      <c r="D236" s="12">
        <v>6323</v>
      </c>
      <c r="E236" s="17" t="s">
        <v>872</v>
      </c>
      <c r="F236" s="12" t="s">
        <v>873</v>
      </c>
      <c r="G236" s="14">
        <v>1</v>
      </c>
      <c r="H236" s="24">
        <v>8645000</v>
      </c>
      <c r="I236" s="12" t="s">
        <v>1250</v>
      </c>
      <c r="J236" s="6" t="s">
        <v>1010</v>
      </c>
      <c r="K236" s="6">
        <f t="shared" si="10"/>
        <v>10</v>
      </c>
      <c r="L236" s="6" t="str">
        <f t="shared" si="11"/>
        <v>OCTUBRE</v>
      </c>
    </row>
    <row r="237" spans="1:12" x14ac:dyDescent="0.25">
      <c r="A237" s="5">
        <f t="shared" si="9"/>
        <v>2025</v>
      </c>
      <c r="B237" s="18" t="s">
        <v>1154</v>
      </c>
      <c r="C237" s="18" t="s">
        <v>595</v>
      </c>
      <c r="D237" s="12">
        <v>6239</v>
      </c>
      <c r="E237" s="17" t="s">
        <v>1156</v>
      </c>
      <c r="F237" s="12" t="s">
        <v>1162</v>
      </c>
      <c r="G237" s="14">
        <v>2</v>
      </c>
      <c r="H237" s="24">
        <v>170000</v>
      </c>
      <c r="I237" s="12" t="s">
        <v>712</v>
      </c>
      <c r="J237" s="6" t="s">
        <v>608</v>
      </c>
      <c r="K237" s="6">
        <f t="shared" si="10"/>
        <v>9</v>
      </c>
      <c r="L237" s="6" t="str">
        <f t="shared" si="11"/>
        <v>SEPTIEMBRE</v>
      </c>
    </row>
    <row r="238" spans="1:12" x14ac:dyDescent="0.25">
      <c r="A238" s="5">
        <f t="shared" si="9"/>
        <v>2025</v>
      </c>
      <c r="B238" s="18" t="s">
        <v>950</v>
      </c>
      <c r="C238" s="18" t="s">
        <v>595</v>
      </c>
      <c r="D238" s="12">
        <v>5967</v>
      </c>
      <c r="E238" s="17" t="s">
        <v>307</v>
      </c>
      <c r="F238" s="12" t="s">
        <v>308</v>
      </c>
      <c r="G238" s="14">
        <v>2</v>
      </c>
      <c r="H238" s="24">
        <v>771972</v>
      </c>
      <c r="I238" s="12" t="s">
        <v>546</v>
      </c>
      <c r="J238" s="6" t="s">
        <v>610</v>
      </c>
      <c r="K238" s="6">
        <f t="shared" si="10"/>
        <v>3</v>
      </c>
      <c r="L238" s="6" t="str">
        <f t="shared" si="11"/>
        <v>MARZO</v>
      </c>
    </row>
    <row r="239" spans="1:12" x14ac:dyDescent="0.25">
      <c r="A239" s="5">
        <f t="shared" si="9"/>
        <v>2025</v>
      </c>
      <c r="B239" s="18" t="s">
        <v>967</v>
      </c>
      <c r="C239" s="18" t="s">
        <v>595</v>
      </c>
      <c r="D239" s="12">
        <v>5975</v>
      </c>
      <c r="E239" s="17" t="s">
        <v>417</v>
      </c>
      <c r="F239" s="12" t="s">
        <v>418</v>
      </c>
      <c r="G239" s="14">
        <v>1</v>
      </c>
      <c r="H239" s="24">
        <v>217096</v>
      </c>
      <c r="I239" s="12" t="s">
        <v>546</v>
      </c>
      <c r="J239" s="6" t="s">
        <v>610</v>
      </c>
      <c r="K239" s="6">
        <f t="shared" si="10"/>
        <v>4</v>
      </c>
      <c r="L239" s="6" t="str">
        <f t="shared" si="11"/>
        <v>ABRIL</v>
      </c>
    </row>
    <row r="240" spans="1:12" x14ac:dyDescent="0.25">
      <c r="A240" s="5">
        <f t="shared" si="9"/>
        <v>2025</v>
      </c>
      <c r="B240" s="18" t="s">
        <v>1175</v>
      </c>
      <c r="C240" s="18" t="s">
        <v>595</v>
      </c>
      <c r="D240" s="12">
        <v>6259</v>
      </c>
      <c r="E240" s="17" t="s">
        <v>371</v>
      </c>
      <c r="F240" s="12" t="s">
        <v>372</v>
      </c>
      <c r="G240" s="14">
        <v>3</v>
      </c>
      <c r="H240" s="24">
        <v>503430</v>
      </c>
      <c r="I240" s="12" t="s">
        <v>704</v>
      </c>
      <c r="J240" s="6" t="s">
        <v>1101</v>
      </c>
      <c r="K240" s="6">
        <f t="shared" si="10"/>
        <v>9</v>
      </c>
      <c r="L240" s="6" t="str">
        <f t="shared" si="11"/>
        <v>SEPTIEMBRE</v>
      </c>
    </row>
    <row r="241" spans="1:12" x14ac:dyDescent="0.25">
      <c r="A241" s="5">
        <f t="shared" si="9"/>
        <v>2025</v>
      </c>
      <c r="B241" s="18" t="s">
        <v>963</v>
      </c>
      <c r="C241" s="18" t="s">
        <v>595</v>
      </c>
      <c r="D241" s="12">
        <v>5976</v>
      </c>
      <c r="E241" s="17" t="s">
        <v>276</v>
      </c>
      <c r="F241" s="12" t="s">
        <v>277</v>
      </c>
      <c r="G241" s="14">
        <v>1</v>
      </c>
      <c r="H241" s="24">
        <v>385000</v>
      </c>
      <c r="I241" s="12" t="s">
        <v>712</v>
      </c>
      <c r="J241" s="6" t="s">
        <v>608</v>
      </c>
      <c r="K241" s="6">
        <f t="shared" si="10"/>
        <v>4</v>
      </c>
      <c r="L241" s="6" t="str">
        <f t="shared" si="11"/>
        <v>ABRIL</v>
      </c>
    </row>
    <row r="242" spans="1:12" x14ac:dyDescent="0.25">
      <c r="A242" s="5">
        <f t="shared" si="9"/>
        <v>2025</v>
      </c>
      <c r="B242" s="18" t="s">
        <v>946</v>
      </c>
      <c r="C242" s="18" t="s">
        <v>595</v>
      </c>
      <c r="D242" s="12">
        <v>5940</v>
      </c>
      <c r="E242" s="17">
        <v>83726</v>
      </c>
      <c r="F242" s="12" t="s">
        <v>53</v>
      </c>
      <c r="G242" s="14">
        <v>3</v>
      </c>
      <c r="H242" s="24">
        <v>73539</v>
      </c>
      <c r="I242" s="12" t="s">
        <v>712</v>
      </c>
      <c r="J242" s="6" t="s">
        <v>608</v>
      </c>
      <c r="K242" s="6">
        <f t="shared" si="10"/>
        <v>3</v>
      </c>
      <c r="L242" s="6" t="str">
        <f t="shared" si="11"/>
        <v>MARZO</v>
      </c>
    </row>
    <row r="243" spans="1:12" x14ac:dyDescent="0.25">
      <c r="A243" s="5">
        <f t="shared" si="9"/>
        <v>2025</v>
      </c>
      <c r="B243" s="18" t="s">
        <v>1219</v>
      </c>
      <c r="C243" s="18" t="s">
        <v>595</v>
      </c>
      <c r="D243" s="12">
        <v>6325</v>
      </c>
      <c r="E243" s="17">
        <v>109</v>
      </c>
      <c r="F243" s="12" t="s">
        <v>579</v>
      </c>
      <c r="G243" s="14">
        <v>1</v>
      </c>
      <c r="H243" s="24">
        <v>100000</v>
      </c>
      <c r="I243" s="12" t="s">
        <v>712</v>
      </c>
      <c r="J243" s="6" t="s">
        <v>608</v>
      </c>
      <c r="K243" s="6">
        <f t="shared" si="10"/>
        <v>10</v>
      </c>
      <c r="L243" s="6" t="str">
        <f t="shared" si="11"/>
        <v>OCTUBRE</v>
      </c>
    </row>
    <row r="244" spans="1:12" x14ac:dyDescent="0.25">
      <c r="A244" s="5">
        <f t="shared" si="9"/>
        <v>2025</v>
      </c>
      <c r="B244" s="18" t="s">
        <v>1192</v>
      </c>
      <c r="C244" s="18" t="s">
        <v>595</v>
      </c>
      <c r="D244" s="12">
        <v>6292</v>
      </c>
      <c r="E244" s="17" t="s">
        <v>1031</v>
      </c>
      <c r="F244" s="12" t="s">
        <v>1036</v>
      </c>
      <c r="G244" s="14">
        <v>1</v>
      </c>
      <c r="H244" s="24">
        <v>2549776.3199999998</v>
      </c>
      <c r="I244" s="12" t="s">
        <v>1207</v>
      </c>
      <c r="J244" s="6" t="s">
        <v>615</v>
      </c>
      <c r="K244" s="6">
        <f t="shared" si="10"/>
        <v>10</v>
      </c>
      <c r="L244" s="6" t="str">
        <f t="shared" si="11"/>
        <v>OCTUBRE</v>
      </c>
    </row>
    <row r="245" spans="1:12" x14ac:dyDescent="0.25">
      <c r="A245" s="5">
        <f t="shared" ref="A245:A308" si="12">+YEAR(B245)</f>
        <v>2025</v>
      </c>
      <c r="B245" s="18" t="s">
        <v>1192</v>
      </c>
      <c r="C245" s="18" t="s">
        <v>595</v>
      </c>
      <c r="D245" s="12">
        <v>6292</v>
      </c>
      <c r="E245" s="17" t="s">
        <v>1193</v>
      </c>
      <c r="F245" s="12" t="s">
        <v>1194</v>
      </c>
      <c r="G245" s="14">
        <v>1</v>
      </c>
      <c r="H245" s="24">
        <v>3052722.84</v>
      </c>
      <c r="I245" s="12" t="s">
        <v>1207</v>
      </c>
      <c r="J245" s="6" t="s">
        <v>615</v>
      </c>
      <c r="K245" s="6">
        <f t="shared" ref="K245:K308" si="13">+MONTH(B245)</f>
        <v>10</v>
      </c>
      <c r="L245" s="6" t="str">
        <f t="shared" si="11"/>
        <v>OCTUBRE</v>
      </c>
    </row>
    <row r="246" spans="1:12" x14ac:dyDescent="0.25">
      <c r="A246" s="5">
        <f t="shared" si="12"/>
        <v>2025</v>
      </c>
      <c r="B246" s="18" t="s">
        <v>1192</v>
      </c>
      <c r="C246" s="18" t="s">
        <v>595</v>
      </c>
      <c r="D246" s="12">
        <v>6292</v>
      </c>
      <c r="E246" s="17" t="s">
        <v>1094</v>
      </c>
      <c r="F246" s="12" t="s">
        <v>1095</v>
      </c>
      <c r="G246" s="14">
        <v>1</v>
      </c>
      <c r="H246" s="24">
        <v>2276643.04</v>
      </c>
      <c r="I246" s="12" t="s">
        <v>1207</v>
      </c>
      <c r="J246" s="6" t="s">
        <v>615</v>
      </c>
      <c r="K246" s="6">
        <f t="shared" si="13"/>
        <v>10</v>
      </c>
      <c r="L246" s="6" t="str">
        <f t="shared" si="11"/>
        <v>OCTUBRE</v>
      </c>
    </row>
    <row r="247" spans="1:12" x14ac:dyDescent="0.25">
      <c r="A247" s="5">
        <f t="shared" si="12"/>
        <v>2025</v>
      </c>
      <c r="B247" s="18" t="s">
        <v>1220</v>
      </c>
      <c r="C247" s="18" t="s">
        <v>595</v>
      </c>
      <c r="D247" s="12">
        <v>6332</v>
      </c>
      <c r="E247" s="17" t="s">
        <v>1248</v>
      </c>
      <c r="F247" s="12" t="s">
        <v>1249</v>
      </c>
      <c r="G247" s="14">
        <v>1</v>
      </c>
      <c r="H247" s="24">
        <v>3304100</v>
      </c>
      <c r="I247" s="12" t="s">
        <v>633</v>
      </c>
      <c r="J247" s="6" t="s">
        <v>892</v>
      </c>
      <c r="K247" s="6">
        <f t="shared" si="13"/>
        <v>10</v>
      </c>
      <c r="L247" s="6" t="str">
        <f t="shared" si="11"/>
        <v>OCTUBRE</v>
      </c>
    </row>
    <row r="248" spans="1:12" x14ac:dyDescent="0.25">
      <c r="A248" s="5">
        <f t="shared" si="12"/>
        <v>2025</v>
      </c>
      <c r="B248" s="18" t="s">
        <v>1220</v>
      </c>
      <c r="C248" s="18" t="s">
        <v>595</v>
      </c>
      <c r="D248" s="12">
        <v>6332</v>
      </c>
      <c r="E248" s="17" t="s">
        <v>1246</v>
      </c>
      <c r="F248" s="12" t="s">
        <v>1247</v>
      </c>
      <c r="G248" s="14">
        <v>1</v>
      </c>
      <c r="H248" s="24">
        <v>4531500</v>
      </c>
      <c r="I248" s="12" t="s">
        <v>633</v>
      </c>
      <c r="J248" s="6" t="s">
        <v>892</v>
      </c>
      <c r="K248" s="6">
        <f t="shared" si="13"/>
        <v>10</v>
      </c>
      <c r="L248" s="6" t="str">
        <f t="shared" si="11"/>
        <v>OCTUBRE</v>
      </c>
    </row>
    <row r="249" spans="1:12" x14ac:dyDescent="0.25">
      <c r="A249" s="5">
        <f t="shared" si="12"/>
        <v>2025</v>
      </c>
      <c r="B249" s="18" t="s">
        <v>1220</v>
      </c>
      <c r="C249" s="18" t="s">
        <v>595</v>
      </c>
      <c r="D249" s="12">
        <v>6332</v>
      </c>
      <c r="E249" s="17" t="s">
        <v>1244</v>
      </c>
      <c r="F249" s="12" t="s">
        <v>1245</v>
      </c>
      <c r="G249" s="14">
        <v>1</v>
      </c>
      <c r="H249" s="24">
        <v>4360500</v>
      </c>
      <c r="I249" s="12" t="s">
        <v>633</v>
      </c>
      <c r="J249" s="6" t="s">
        <v>892</v>
      </c>
      <c r="K249" s="6">
        <f t="shared" si="13"/>
        <v>10</v>
      </c>
      <c r="L249" s="6" t="str">
        <f t="shared" si="11"/>
        <v>OCTUBRE</v>
      </c>
    </row>
    <row r="250" spans="1:12" x14ac:dyDescent="0.25">
      <c r="A250" s="5">
        <f t="shared" si="12"/>
        <v>2025</v>
      </c>
      <c r="B250" s="18" t="s">
        <v>947</v>
      </c>
      <c r="C250" s="18" t="s">
        <v>595</v>
      </c>
      <c r="D250" s="12">
        <v>5929</v>
      </c>
      <c r="E250" s="17" t="s">
        <v>455</v>
      </c>
      <c r="F250" s="12" t="s">
        <v>456</v>
      </c>
      <c r="G250" s="14">
        <v>1</v>
      </c>
      <c r="H250" s="24">
        <v>185000</v>
      </c>
      <c r="I250" s="12" t="s">
        <v>712</v>
      </c>
      <c r="J250" s="6" t="s">
        <v>608</v>
      </c>
      <c r="K250" s="6">
        <f t="shared" si="13"/>
        <v>3</v>
      </c>
      <c r="L250" s="6" t="str">
        <f t="shared" si="11"/>
        <v>MARZO</v>
      </c>
    </row>
    <row r="251" spans="1:12" x14ac:dyDescent="0.25">
      <c r="A251" s="5">
        <f t="shared" si="12"/>
        <v>2025</v>
      </c>
      <c r="B251" s="18" t="s">
        <v>1220</v>
      </c>
      <c r="C251" s="18" t="s">
        <v>595</v>
      </c>
      <c r="D251" s="12">
        <v>6332</v>
      </c>
      <c r="E251" s="17" t="s">
        <v>1242</v>
      </c>
      <c r="F251" s="12" t="s">
        <v>1243</v>
      </c>
      <c r="G251" s="14">
        <v>1</v>
      </c>
      <c r="H251" s="24">
        <v>3923500</v>
      </c>
      <c r="I251" s="12" t="s">
        <v>633</v>
      </c>
      <c r="J251" s="6" t="s">
        <v>892</v>
      </c>
      <c r="K251" s="6">
        <f t="shared" si="13"/>
        <v>10</v>
      </c>
      <c r="L251" s="6" t="str">
        <f t="shared" si="11"/>
        <v>OCTUBRE</v>
      </c>
    </row>
    <row r="252" spans="1:12" x14ac:dyDescent="0.25">
      <c r="A252" s="5">
        <f t="shared" si="12"/>
        <v>2025</v>
      </c>
      <c r="B252" s="18" t="s">
        <v>1220</v>
      </c>
      <c r="C252" s="18" t="s">
        <v>595</v>
      </c>
      <c r="D252" s="12">
        <v>6332</v>
      </c>
      <c r="E252" s="17" t="s">
        <v>1240</v>
      </c>
      <c r="F252" s="12" t="s">
        <v>1241</v>
      </c>
      <c r="G252" s="14">
        <v>1</v>
      </c>
      <c r="H252" s="24">
        <v>4151500</v>
      </c>
      <c r="I252" s="12" t="s">
        <v>633</v>
      </c>
      <c r="J252" s="6" t="s">
        <v>892</v>
      </c>
      <c r="K252" s="6">
        <f t="shared" si="13"/>
        <v>10</v>
      </c>
      <c r="L252" s="6" t="str">
        <f t="shared" si="11"/>
        <v>OCTUBRE</v>
      </c>
    </row>
    <row r="253" spans="1:12" x14ac:dyDescent="0.25">
      <c r="A253" s="5">
        <f t="shared" si="12"/>
        <v>2025</v>
      </c>
      <c r="B253" s="18" t="s">
        <v>964</v>
      </c>
      <c r="C253" s="18" t="s">
        <v>595</v>
      </c>
      <c r="D253" s="12">
        <v>6003</v>
      </c>
      <c r="E253" s="17" t="s">
        <v>76</v>
      </c>
      <c r="F253" s="12" t="s">
        <v>77</v>
      </c>
      <c r="G253" s="14">
        <v>1</v>
      </c>
      <c r="H253" s="24">
        <v>1407</v>
      </c>
      <c r="I253" s="12" t="s">
        <v>712</v>
      </c>
      <c r="J253" s="6" t="s">
        <v>608</v>
      </c>
      <c r="K253" s="6">
        <f t="shared" si="13"/>
        <v>4</v>
      </c>
      <c r="L253" s="6" t="str">
        <f t="shared" si="11"/>
        <v>ABRIL</v>
      </c>
    </row>
    <row r="254" spans="1:12" x14ac:dyDescent="0.25">
      <c r="A254" s="5">
        <f t="shared" si="12"/>
        <v>2025</v>
      </c>
      <c r="B254" s="18" t="s">
        <v>1220</v>
      </c>
      <c r="C254" s="18" t="s">
        <v>595</v>
      </c>
      <c r="D254" s="12">
        <v>6332</v>
      </c>
      <c r="E254" s="17" t="s">
        <v>1238</v>
      </c>
      <c r="F254" s="12" t="s">
        <v>1239</v>
      </c>
      <c r="G254" s="14">
        <v>1</v>
      </c>
      <c r="H254" s="24">
        <v>4284500</v>
      </c>
      <c r="I254" s="12" t="s">
        <v>633</v>
      </c>
      <c r="J254" s="6" t="s">
        <v>892</v>
      </c>
      <c r="K254" s="6">
        <f t="shared" si="13"/>
        <v>10</v>
      </c>
      <c r="L254" s="6" t="str">
        <f t="shared" si="11"/>
        <v>OCTUBRE</v>
      </c>
    </row>
    <row r="255" spans="1:12" x14ac:dyDescent="0.25">
      <c r="A255" s="5">
        <f t="shared" si="12"/>
        <v>2025</v>
      </c>
      <c r="B255" s="18" t="s">
        <v>1220</v>
      </c>
      <c r="C255" s="18" t="s">
        <v>595</v>
      </c>
      <c r="D255" s="12">
        <v>6332</v>
      </c>
      <c r="E255" s="17" t="s">
        <v>1236</v>
      </c>
      <c r="F255" s="12" t="s">
        <v>1237</v>
      </c>
      <c r="G255" s="14">
        <v>1</v>
      </c>
      <c r="H255" s="24">
        <v>4284500</v>
      </c>
      <c r="I255" s="12" t="s">
        <v>633</v>
      </c>
      <c r="J255" s="6" t="s">
        <v>892</v>
      </c>
      <c r="K255" s="6">
        <f t="shared" si="13"/>
        <v>10</v>
      </c>
      <c r="L255" s="6" t="str">
        <f t="shared" si="11"/>
        <v>OCTUBRE</v>
      </c>
    </row>
    <row r="256" spans="1:12" x14ac:dyDescent="0.25">
      <c r="A256" s="5">
        <f t="shared" si="12"/>
        <v>2025</v>
      </c>
      <c r="B256" s="18" t="s">
        <v>1220</v>
      </c>
      <c r="C256" s="18" t="s">
        <v>595</v>
      </c>
      <c r="D256" s="12">
        <v>6332</v>
      </c>
      <c r="E256" s="17" t="s">
        <v>1234</v>
      </c>
      <c r="F256" s="12" t="s">
        <v>1235</v>
      </c>
      <c r="G256" s="14">
        <v>1</v>
      </c>
      <c r="H256" s="24">
        <v>4180000</v>
      </c>
      <c r="I256" s="12" t="s">
        <v>633</v>
      </c>
      <c r="J256" s="6" t="s">
        <v>892</v>
      </c>
      <c r="K256" s="6">
        <f t="shared" si="13"/>
        <v>10</v>
      </c>
      <c r="L256" s="6" t="str">
        <f t="shared" si="11"/>
        <v>OCTUBRE</v>
      </c>
    </row>
    <row r="257" spans="1:12" x14ac:dyDescent="0.25">
      <c r="A257" s="5">
        <f t="shared" si="12"/>
        <v>2025</v>
      </c>
      <c r="B257" s="18" t="s">
        <v>1220</v>
      </c>
      <c r="C257" s="18" t="s">
        <v>595</v>
      </c>
      <c r="D257" s="12">
        <v>6332</v>
      </c>
      <c r="E257" s="17" t="s">
        <v>1232</v>
      </c>
      <c r="F257" s="12" t="s">
        <v>1233</v>
      </c>
      <c r="G257" s="14">
        <v>1</v>
      </c>
      <c r="H257" s="24">
        <v>3695500</v>
      </c>
      <c r="I257" s="12" t="s">
        <v>633</v>
      </c>
      <c r="J257" s="6" t="s">
        <v>892</v>
      </c>
      <c r="K257" s="6">
        <f t="shared" si="13"/>
        <v>10</v>
      </c>
      <c r="L257" s="6" t="str">
        <f t="shared" si="11"/>
        <v>OCTUBRE</v>
      </c>
    </row>
    <row r="258" spans="1:12" x14ac:dyDescent="0.25">
      <c r="A258" s="5">
        <f t="shared" si="12"/>
        <v>2025</v>
      </c>
      <c r="B258" s="18" t="s">
        <v>1220</v>
      </c>
      <c r="C258" s="18" t="s">
        <v>595</v>
      </c>
      <c r="D258" s="12">
        <v>6332</v>
      </c>
      <c r="E258" s="17" t="s">
        <v>1230</v>
      </c>
      <c r="F258" s="12" t="s">
        <v>1231</v>
      </c>
      <c r="G258" s="14">
        <v>1</v>
      </c>
      <c r="H258" s="24">
        <v>2023500</v>
      </c>
      <c r="I258" s="12" t="s">
        <v>633</v>
      </c>
      <c r="J258" s="6" t="s">
        <v>892</v>
      </c>
      <c r="K258" s="6">
        <f t="shared" si="13"/>
        <v>10</v>
      </c>
      <c r="L258" s="6" t="str">
        <f t="shared" si="11"/>
        <v>OCTUBRE</v>
      </c>
    </row>
    <row r="259" spans="1:12" x14ac:dyDescent="0.25">
      <c r="A259" s="5">
        <f t="shared" si="12"/>
        <v>2025</v>
      </c>
      <c r="B259" s="18" t="s">
        <v>1282</v>
      </c>
      <c r="C259" s="18" t="s">
        <v>595</v>
      </c>
      <c r="D259" s="12">
        <v>6363</v>
      </c>
      <c r="E259" s="17" t="s">
        <v>218</v>
      </c>
      <c r="F259" s="12" t="s">
        <v>219</v>
      </c>
      <c r="G259" s="14">
        <v>10</v>
      </c>
      <c r="H259" s="24">
        <v>300610</v>
      </c>
      <c r="I259" s="12" t="s">
        <v>704</v>
      </c>
      <c r="J259" s="6" t="s">
        <v>706</v>
      </c>
      <c r="K259" s="6">
        <f t="shared" si="13"/>
        <v>11</v>
      </c>
      <c r="L259" s="6" t="str">
        <f t="shared" ref="L259:L322" si="14">VLOOKUP(K259,N:O,2,0)</f>
        <v>NOVIEMBRE</v>
      </c>
    </row>
    <row r="260" spans="1:12" x14ac:dyDescent="0.25">
      <c r="A260" s="5">
        <f t="shared" si="12"/>
        <v>2025</v>
      </c>
      <c r="B260" s="18" t="s">
        <v>1282</v>
      </c>
      <c r="C260" s="18" t="s">
        <v>595</v>
      </c>
      <c r="D260" s="12">
        <v>6363</v>
      </c>
      <c r="E260" s="17" t="s">
        <v>303</v>
      </c>
      <c r="F260" s="12" t="s">
        <v>304</v>
      </c>
      <c r="G260" s="14">
        <v>14</v>
      </c>
      <c r="H260" s="24">
        <v>443968</v>
      </c>
      <c r="I260" s="12" t="s">
        <v>704</v>
      </c>
      <c r="J260" s="6" t="s">
        <v>706</v>
      </c>
      <c r="K260" s="6">
        <f t="shared" si="13"/>
        <v>11</v>
      </c>
      <c r="L260" s="6" t="str">
        <f t="shared" si="14"/>
        <v>NOVIEMBRE</v>
      </c>
    </row>
    <row r="261" spans="1:12" x14ac:dyDescent="0.25">
      <c r="A261" s="5">
        <f t="shared" si="12"/>
        <v>2025</v>
      </c>
      <c r="B261" s="18" t="s">
        <v>1282</v>
      </c>
      <c r="C261" s="18" t="s">
        <v>595</v>
      </c>
      <c r="D261" s="12">
        <v>6363</v>
      </c>
      <c r="E261" s="17" t="s">
        <v>488</v>
      </c>
      <c r="F261" s="12" t="s">
        <v>489</v>
      </c>
      <c r="G261" s="14">
        <v>4</v>
      </c>
      <c r="H261" s="24">
        <v>796428</v>
      </c>
      <c r="I261" s="12" t="s">
        <v>704</v>
      </c>
      <c r="J261" s="6" t="s">
        <v>706</v>
      </c>
      <c r="K261" s="6">
        <f t="shared" si="13"/>
        <v>11</v>
      </c>
      <c r="L261" s="6" t="str">
        <f t="shared" si="14"/>
        <v>NOVIEMBRE</v>
      </c>
    </row>
    <row r="262" spans="1:12" x14ac:dyDescent="0.25">
      <c r="A262" s="5">
        <f t="shared" si="12"/>
        <v>2025</v>
      </c>
      <c r="B262" s="18" t="s">
        <v>1220</v>
      </c>
      <c r="C262" s="18" t="s">
        <v>595</v>
      </c>
      <c r="D262" s="12">
        <v>6332</v>
      </c>
      <c r="E262" s="17" t="s">
        <v>196</v>
      </c>
      <c r="F262" s="12" t="s">
        <v>197</v>
      </c>
      <c r="G262" s="14">
        <v>1</v>
      </c>
      <c r="H262" s="24">
        <v>2308500</v>
      </c>
      <c r="I262" s="12" t="s">
        <v>633</v>
      </c>
      <c r="J262" s="6" t="s">
        <v>892</v>
      </c>
      <c r="K262" s="6">
        <f t="shared" si="13"/>
        <v>10</v>
      </c>
      <c r="L262" s="6" t="str">
        <f t="shared" si="14"/>
        <v>OCTUBRE</v>
      </c>
    </row>
    <row r="263" spans="1:12" x14ac:dyDescent="0.25">
      <c r="A263" s="5">
        <f t="shared" si="12"/>
        <v>2025</v>
      </c>
      <c r="B263" s="18" t="s">
        <v>1220</v>
      </c>
      <c r="C263" s="18" t="s">
        <v>595</v>
      </c>
      <c r="D263" s="12">
        <v>6332</v>
      </c>
      <c r="E263" s="17" t="s">
        <v>1228</v>
      </c>
      <c r="F263" s="12" t="s">
        <v>1229</v>
      </c>
      <c r="G263" s="14">
        <v>1</v>
      </c>
      <c r="H263" s="24">
        <v>1653000</v>
      </c>
      <c r="I263" s="12" t="s">
        <v>633</v>
      </c>
      <c r="J263" s="6" t="s">
        <v>892</v>
      </c>
      <c r="K263" s="6">
        <f t="shared" si="13"/>
        <v>10</v>
      </c>
      <c r="L263" s="6" t="str">
        <f t="shared" si="14"/>
        <v>OCTUBRE</v>
      </c>
    </row>
    <row r="264" spans="1:12" x14ac:dyDescent="0.25">
      <c r="A264" s="5">
        <f t="shared" si="12"/>
        <v>2025</v>
      </c>
      <c r="B264" s="18" t="s">
        <v>966</v>
      </c>
      <c r="C264" s="18" t="s">
        <v>595</v>
      </c>
      <c r="D264" s="12">
        <v>6008</v>
      </c>
      <c r="E264" s="17">
        <v>4302082</v>
      </c>
      <c r="F264" s="12" t="s">
        <v>83</v>
      </c>
      <c r="G264" s="14">
        <v>2</v>
      </c>
      <c r="H264" s="24">
        <v>4400</v>
      </c>
      <c r="I264" s="12" t="s">
        <v>712</v>
      </c>
      <c r="J264" s="6" t="s">
        <v>608</v>
      </c>
      <c r="K264" s="6">
        <f t="shared" si="13"/>
        <v>4</v>
      </c>
      <c r="L264" s="6" t="str">
        <f t="shared" si="14"/>
        <v>ABRIL</v>
      </c>
    </row>
    <row r="265" spans="1:12" x14ac:dyDescent="0.25">
      <c r="A265" s="5">
        <f t="shared" si="12"/>
        <v>2025</v>
      </c>
      <c r="B265" s="18" t="s">
        <v>966</v>
      </c>
      <c r="C265" s="18" t="s">
        <v>595</v>
      </c>
      <c r="D265" s="12">
        <v>6008</v>
      </c>
      <c r="E265" s="17" t="s">
        <v>977</v>
      </c>
      <c r="F265" s="12" t="s">
        <v>108</v>
      </c>
      <c r="G265" s="14">
        <v>2</v>
      </c>
      <c r="H265" s="24">
        <v>150000</v>
      </c>
      <c r="I265" s="12" t="s">
        <v>712</v>
      </c>
      <c r="J265" s="6" t="s">
        <v>608</v>
      </c>
      <c r="K265" s="6">
        <f t="shared" si="13"/>
        <v>4</v>
      </c>
      <c r="L265" s="6" t="str">
        <f t="shared" si="14"/>
        <v>ABRIL</v>
      </c>
    </row>
    <row r="266" spans="1:12" x14ac:dyDescent="0.25">
      <c r="A266" s="5">
        <f t="shared" si="12"/>
        <v>2025</v>
      </c>
      <c r="B266" s="18" t="s">
        <v>1189</v>
      </c>
      <c r="C266" s="18" t="s">
        <v>595</v>
      </c>
      <c r="D266" s="12">
        <v>6293</v>
      </c>
      <c r="E266" s="17" t="s">
        <v>562</v>
      </c>
      <c r="F266" s="12" t="s">
        <v>577</v>
      </c>
      <c r="G266" s="14">
        <v>1</v>
      </c>
      <c r="H266" s="24">
        <v>2782051</v>
      </c>
      <c r="I266" s="12" t="s">
        <v>704</v>
      </c>
      <c r="J266" s="6" t="s">
        <v>1101</v>
      </c>
      <c r="K266" s="6">
        <f t="shared" si="13"/>
        <v>10</v>
      </c>
      <c r="L266" s="6" t="str">
        <f t="shared" si="14"/>
        <v>OCTUBRE</v>
      </c>
    </row>
    <row r="267" spans="1:12" x14ac:dyDescent="0.25">
      <c r="A267" s="5">
        <f t="shared" si="12"/>
        <v>2025</v>
      </c>
      <c r="B267" s="18" t="s">
        <v>1189</v>
      </c>
      <c r="C267" s="18" t="s">
        <v>595</v>
      </c>
      <c r="D267" s="12">
        <v>6294</v>
      </c>
      <c r="E267" s="17">
        <v>127760</v>
      </c>
      <c r="F267" s="12" t="s">
        <v>382</v>
      </c>
      <c r="G267" s="14">
        <v>1</v>
      </c>
      <c r="H267" s="24">
        <v>97000</v>
      </c>
      <c r="I267" s="12" t="s">
        <v>712</v>
      </c>
      <c r="J267" s="6" t="s">
        <v>608</v>
      </c>
      <c r="K267" s="6">
        <f t="shared" si="13"/>
        <v>10</v>
      </c>
      <c r="L267" s="6" t="str">
        <f t="shared" si="14"/>
        <v>OCTUBRE</v>
      </c>
    </row>
    <row r="268" spans="1:12" x14ac:dyDescent="0.25">
      <c r="A268" s="5">
        <f t="shared" si="12"/>
        <v>2025</v>
      </c>
      <c r="B268" s="18" t="s">
        <v>915</v>
      </c>
      <c r="C268" s="18" t="s">
        <v>595</v>
      </c>
      <c r="D268" s="12">
        <v>5833</v>
      </c>
      <c r="E268" s="17">
        <v>4303424</v>
      </c>
      <c r="F268" s="12" t="s">
        <v>135</v>
      </c>
      <c r="G268" s="14">
        <v>3</v>
      </c>
      <c r="H268" s="24">
        <v>57000</v>
      </c>
      <c r="I268" s="12" t="s">
        <v>546</v>
      </c>
      <c r="J268" s="6" t="s">
        <v>610</v>
      </c>
      <c r="K268" s="6">
        <f t="shared" si="13"/>
        <v>2</v>
      </c>
      <c r="L268" s="6" t="str">
        <f t="shared" si="14"/>
        <v>FEBRERO</v>
      </c>
    </row>
    <row r="269" spans="1:12" x14ac:dyDescent="0.25">
      <c r="A269" s="5">
        <f t="shared" si="12"/>
        <v>2025</v>
      </c>
      <c r="B269" s="18" t="s">
        <v>915</v>
      </c>
      <c r="C269" s="18" t="s">
        <v>595</v>
      </c>
      <c r="D269" s="12">
        <v>5833</v>
      </c>
      <c r="E269" s="17" t="s">
        <v>170</v>
      </c>
      <c r="F269" s="12" t="s">
        <v>171</v>
      </c>
      <c r="G269" s="14">
        <v>2</v>
      </c>
      <c r="H269" s="24">
        <v>3670000</v>
      </c>
      <c r="I269" s="12" t="s">
        <v>546</v>
      </c>
      <c r="J269" s="6" t="s">
        <v>610</v>
      </c>
      <c r="K269" s="6">
        <f t="shared" si="13"/>
        <v>2</v>
      </c>
      <c r="L269" s="6" t="str">
        <f t="shared" si="14"/>
        <v>FEBRERO</v>
      </c>
    </row>
    <row r="270" spans="1:12" x14ac:dyDescent="0.25">
      <c r="A270" s="5">
        <f t="shared" si="12"/>
        <v>2025</v>
      </c>
      <c r="B270" s="18" t="s">
        <v>915</v>
      </c>
      <c r="C270" s="18" t="s">
        <v>595</v>
      </c>
      <c r="D270" s="12">
        <v>5833</v>
      </c>
      <c r="E270" s="17">
        <v>4301254</v>
      </c>
      <c r="F270" s="12" t="s">
        <v>403</v>
      </c>
      <c r="G270" s="14">
        <v>2</v>
      </c>
      <c r="H270" s="24">
        <v>7000</v>
      </c>
      <c r="I270" s="12" t="s">
        <v>546</v>
      </c>
      <c r="J270" s="6" t="s">
        <v>610</v>
      </c>
      <c r="K270" s="6">
        <f t="shared" si="13"/>
        <v>2</v>
      </c>
      <c r="L270" s="6" t="str">
        <f t="shared" si="14"/>
        <v>FEBRERO</v>
      </c>
    </row>
    <row r="271" spans="1:12" x14ac:dyDescent="0.25">
      <c r="A271" s="5">
        <f t="shared" si="12"/>
        <v>2025</v>
      </c>
      <c r="B271" s="18" t="s">
        <v>1149</v>
      </c>
      <c r="C271" s="18" t="s">
        <v>595</v>
      </c>
      <c r="D271" s="12">
        <v>6232</v>
      </c>
      <c r="E271" s="17" t="s">
        <v>188</v>
      </c>
      <c r="F271" s="12" t="s">
        <v>189</v>
      </c>
      <c r="G271" s="14">
        <v>3</v>
      </c>
      <c r="H271" s="24">
        <v>105000</v>
      </c>
      <c r="I271" s="12" t="s">
        <v>546</v>
      </c>
      <c r="J271" s="6" t="s">
        <v>610</v>
      </c>
      <c r="K271" s="6">
        <f t="shared" si="13"/>
        <v>8</v>
      </c>
      <c r="L271" s="6" t="str">
        <f t="shared" si="14"/>
        <v>AGOSTO</v>
      </c>
    </row>
    <row r="272" spans="1:12" x14ac:dyDescent="0.25">
      <c r="A272" s="5">
        <f t="shared" si="12"/>
        <v>2025</v>
      </c>
      <c r="B272" s="18" t="s">
        <v>1149</v>
      </c>
      <c r="C272" s="18" t="s">
        <v>595</v>
      </c>
      <c r="D272" s="12">
        <v>6232</v>
      </c>
      <c r="E272" s="17" t="s">
        <v>37</v>
      </c>
      <c r="F272" s="12" t="s">
        <v>38</v>
      </c>
      <c r="G272" s="14">
        <v>2</v>
      </c>
      <c r="H272" s="24">
        <v>644810</v>
      </c>
      <c r="I272" s="12" t="s">
        <v>546</v>
      </c>
      <c r="J272" s="6" t="s">
        <v>610</v>
      </c>
      <c r="K272" s="6">
        <f t="shared" si="13"/>
        <v>8</v>
      </c>
      <c r="L272" s="6" t="str">
        <f t="shared" si="14"/>
        <v>AGOSTO</v>
      </c>
    </row>
    <row r="273" spans="1:12" x14ac:dyDescent="0.25">
      <c r="A273" s="5">
        <f t="shared" si="12"/>
        <v>2025</v>
      </c>
      <c r="B273" s="18" t="s">
        <v>1149</v>
      </c>
      <c r="C273" s="18" t="s">
        <v>595</v>
      </c>
      <c r="D273" s="12">
        <v>6232</v>
      </c>
      <c r="E273" s="17">
        <v>4301851</v>
      </c>
      <c r="F273" s="12" t="s">
        <v>185</v>
      </c>
      <c r="G273" s="14">
        <v>4</v>
      </c>
      <c r="H273" s="24">
        <v>440000</v>
      </c>
      <c r="I273" s="12" t="s">
        <v>546</v>
      </c>
      <c r="J273" s="6" t="s">
        <v>610</v>
      </c>
      <c r="K273" s="6">
        <f t="shared" si="13"/>
        <v>8</v>
      </c>
      <c r="L273" s="6" t="str">
        <f t="shared" si="14"/>
        <v>AGOSTO</v>
      </c>
    </row>
    <row r="274" spans="1:12" x14ac:dyDescent="0.25">
      <c r="A274" s="5">
        <f t="shared" si="12"/>
        <v>2025</v>
      </c>
      <c r="B274" s="18" t="s">
        <v>1282</v>
      </c>
      <c r="C274" s="18" t="s">
        <v>595</v>
      </c>
      <c r="D274" s="12">
        <v>6365</v>
      </c>
      <c r="E274" s="17" t="s">
        <v>894</v>
      </c>
      <c r="F274" s="12" t="s">
        <v>895</v>
      </c>
      <c r="G274" s="14">
        <v>20</v>
      </c>
      <c r="H274" s="24">
        <v>646000</v>
      </c>
      <c r="I274" s="12" t="s">
        <v>712</v>
      </c>
      <c r="J274" s="6" t="s">
        <v>608</v>
      </c>
      <c r="K274" s="6">
        <f t="shared" si="13"/>
        <v>11</v>
      </c>
      <c r="L274" s="6" t="str">
        <f t="shared" si="14"/>
        <v>NOVIEMBRE</v>
      </c>
    </row>
    <row r="275" spans="1:12" x14ac:dyDescent="0.25">
      <c r="A275" s="5">
        <f t="shared" si="12"/>
        <v>2025</v>
      </c>
      <c r="B275" s="18" t="s">
        <v>1282</v>
      </c>
      <c r="C275" s="18" t="s">
        <v>595</v>
      </c>
      <c r="D275" s="12">
        <v>6365</v>
      </c>
      <c r="E275" s="17" t="s">
        <v>889</v>
      </c>
      <c r="F275" s="12" t="s">
        <v>891</v>
      </c>
      <c r="G275" s="14">
        <v>14</v>
      </c>
      <c r="H275" s="24">
        <v>406000</v>
      </c>
      <c r="I275" s="12" t="s">
        <v>712</v>
      </c>
      <c r="J275" s="6" t="s">
        <v>608</v>
      </c>
      <c r="K275" s="6">
        <f t="shared" si="13"/>
        <v>11</v>
      </c>
      <c r="L275" s="6" t="str">
        <f t="shared" si="14"/>
        <v>NOVIEMBRE</v>
      </c>
    </row>
    <row r="276" spans="1:12" x14ac:dyDescent="0.25">
      <c r="A276" s="5">
        <f t="shared" si="12"/>
        <v>2025</v>
      </c>
      <c r="B276" s="18" t="s">
        <v>1282</v>
      </c>
      <c r="C276" s="18" t="s">
        <v>595</v>
      </c>
      <c r="D276" s="12">
        <v>6365</v>
      </c>
      <c r="E276" s="17" t="s">
        <v>1003</v>
      </c>
      <c r="F276" s="12" t="s">
        <v>1004</v>
      </c>
      <c r="G276" s="14">
        <v>16</v>
      </c>
      <c r="H276" s="24">
        <v>608032</v>
      </c>
      <c r="I276" s="12" t="s">
        <v>712</v>
      </c>
      <c r="J276" s="6" t="s">
        <v>608</v>
      </c>
      <c r="K276" s="6">
        <f t="shared" si="13"/>
        <v>11</v>
      </c>
      <c r="L276" s="6" t="str">
        <f t="shared" si="14"/>
        <v>NOVIEMBRE</v>
      </c>
    </row>
    <row r="277" spans="1:12" x14ac:dyDescent="0.25">
      <c r="A277" s="5">
        <f t="shared" si="12"/>
        <v>2025</v>
      </c>
      <c r="B277" s="18" t="s">
        <v>929</v>
      </c>
      <c r="C277" s="18" t="s">
        <v>595</v>
      </c>
      <c r="D277" s="12">
        <v>5887</v>
      </c>
      <c r="E277" s="17" t="s">
        <v>738</v>
      </c>
      <c r="F277" s="12" t="s">
        <v>739</v>
      </c>
      <c r="G277" s="14">
        <v>1</v>
      </c>
      <c r="H277" s="24">
        <v>319000</v>
      </c>
      <c r="I277" s="12" t="s">
        <v>712</v>
      </c>
      <c r="J277" s="6" t="s">
        <v>608</v>
      </c>
      <c r="K277" s="6">
        <f t="shared" si="13"/>
        <v>2</v>
      </c>
      <c r="L277" s="6" t="str">
        <f t="shared" si="14"/>
        <v>FEBRERO</v>
      </c>
    </row>
    <row r="278" spans="1:12" x14ac:dyDescent="0.25">
      <c r="A278" s="5">
        <f t="shared" si="12"/>
        <v>2025</v>
      </c>
      <c r="B278" s="18" t="s">
        <v>1189</v>
      </c>
      <c r="C278" s="18" t="s">
        <v>595</v>
      </c>
      <c r="D278" s="12">
        <v>6296</v>
      </c>
      <c r="E278" s="17">
        <v>7400850005</v>
      </c>
      <c r="F278" s="12" t="s">
        <v>874</v>
      </c>
      <c r="G278" s="14">
        <v>1</v>
      </c>
      <c r="H278" s="24">
        <v>106000</v>
      </c>
      <c r="I278" s="12" t="s">
        <v>712</v>
      </c>
      <c r="J278" s="6" t="s">
        <v>608</v>
      </c>
      <c r="K278" s="6">
        <f t="shared" si="13"/>
        <v>10</v>
      </c>
      <c r="L278" s="6" t="str">
        <f t="shared" si="14"/>
        <v>OCTUBRE</v>
      </c>
    </row>
    <row r="279" spans="1:12" x14ac:dyDescent="0.25">
      <c r="A279" s="5">
        <f t="shared" si="12"/>
        <v>2025</v>
      </c>
      <c r="B279" s="18" t="s">
        <v>1220</v>
      </c>
      <c r="C279" s="18" t="s">
        <v>595</v>
      </c>
      <c r="D279" s="12">
        <v>6332</v>
      </c>
      <c r="E279" s="17" t="s">
        <v>1226</v>
      </c>
      <c r="F279" s="12" t="s">
        <v>1227</v>
      </c>
      <c r="G279" s="14">
        <v>1</v>
      </c>
      <c r="H279" s="24">
        <v>2631500</v>
      </c>
      <c r="I279" s="12" t="s">
        <v>633</v>
      </c>
      <c r="J279" s="6" t="s">
        <v>892</v>
      </c>
      <c r="K279" s="6">
        <f t="shared" si="13"/>
        <v>10</v>
      </c>
      <c r="L279" s="6" t="str">
        <f t="shared" si="14"/>
        <v>OCTUBRE</v>
      </c>
    </row>
    <row r="280" spans="1:12" x14ac:dyDescent="0.25">
      <c r="A280" s="5">
        <f t="shared" si="12"/>
        <v>2025</v>
      </c>
      <c r="B280" s="18" t="s">
        <v>1220</v>
      </c>
      <c r="C280" s="18" t="s">
        <v>595</v>
      </c>
      <c r="D280" s="12">
        <v>6332</v>
      </c>
      <c r="E280" s="17">
        <v>127740</v>
      </c>
      <c r="F280" s="12" t="s">
        <v>1225</v>
      </c>
      <c r="G280" s="14">
        <v>1</v>
      </c>
      <c r="H280" s="24">
        <v>95000</v>
      </c>
      <c r="I280" s="12" t="s">
        <v>633</v>
      </c>
      <c r="J280" s="6" t="s">
        <v>892</v>
      </c>
      <c r="K280" s="6">
        <f t="shared" si="13"/>
        <v>10</v>
      </c>
      <c r="L280" s="6" t="str">
        <f t="shared" si="14"/>
        <v>OCTUBRE</v>
      </c>
    </row>
    <row r="281" spans="1:12" x14ac:dyDescent="0.25">
      <c r="A281" s="5">
        <f t="shared" si="12"/>
        <v>2025</v>
      </c>
      <c r="B281" s="18" t="s">
        <v>1220</v>
      </c>
      <c r="C281" s="18" t="s">
        <v>595</v>
      </c>
      <c r="D281" s="12">
        <v>6332</v>
      </c>
      <c r="E281" s="17">
        <v>127760</v>
      </c>
      <c r="F281" s="12" t="s">
        <v>382</v>
      </c>
      <c r="G281" s="14">
        <v>1</v>
      </c>
      <c r="H281" s="24">
        <v>90250</v>
      </c>
      <c r="I281" s="12" t="s">
        <v>633</v>
      </c>
      <c r="J281" s="6" t="s">
        <v>892</v>
      </c>
      <c r="K281" s="6">
        <f t="shared" si="13"/>
        <v>10</v>
      </c>
      <c r="L281" s="6" t="str">
        <f t="shared" si="14"/>
        <v>OCTUBRE</v>
      </c>
    </row>
    <row r="282" spans="1:12" x14ac:dyDescent="0.25">
      <c r="A282" s="5">
        <f t="shared" si="12"/>
        <v>2025</v>
      </c>
      <c r="B282" s="18" t="s">
        <v>1220</v>
      </c>
      <c r="C282" s="18" t="s">
        <v>595</v>
      </c>
      <c r="D282" s="12">
        <v>6332</v>
      </c>
      <c r="E282" s="17" t="s">
        <v>1223</v>
      </c>
      <c r="F282" s="12" t="s">
        <v>1224</v>
      </c>
      <c r="G282" s="14">
        <v>1</v>
      </c>
      <c r="H282" s="24">
        <v>1923750</v>
      </c>
      <c r="I282" s="12" t="s">
        <v>633</v>
      </c>
      <c r="J282" s="6" t="s">
        <v>892</v>
      </c>
      <c r="K282" s="6">
        <f t="shared" si="13"/>
        <v>10</v>
      </c>
      <c r="L282" s="6" t="str">
        <f t="shared" si="14"/>
        <v>OCTUBRE</v>
      </c>
    </row>
    <row r="283" spans="1:12" x14ac:dyDescent="0.25">
      <c r="A283" s="5">
        <f t="shared" si="12"/>
        <v>2025</v>
      </c>
      <c r="B283" s="18" t="s">
        <v>1186</v>
      </c>
      <c r="C283" s="18" t="s">
        <v>595</v>
      </c>
      <c r="D283" s="12">
        <v>6286</v>
      </c>
      <c r="E283" s="17" t="s">
        <v>1034</v>
      </c>
      <c r="F283" s="12" t="s">
        <v>1040</v>
      </c>
      <c r="G283" s="14">
        <v>1</v>
      </c>
      <c r="H283" s="24">
        <v>59000</v>
      </c>
      <c r="I283" s="12" t="s">
        <v>546</v>
      </c>
      <c r="J283" s="6" t="s">
        <v>610</v>
      </c>
      <c r="K283" s="6">
        <f t="shared" si="13"/>
        <v>10</v>
      </c>
      <c r="L283" s="6" t="str">
        <f t="shared" si="14"/>
        <v>OCTUBRE</v>
      </c>
    </row>
    <row r="284" spans="1:12" x14ac:dyDescent="0.25">
      <c r="A284" s="5">
        <f t="shared" si="12"/>
        <v>2025</v>
      </c>
      <c r="B284" s="18" t="s">
        <v>961</v>
      </c>
      <c r="C284" s="18" t="s">
        <v>595</v>
      </c>
      <c r="D284" s="12">
        <v>5973</v>
      </c>
      <c r="E284" s="17">
        <v>4302082</v>
      </c>
      <c r="F284" s="12" t="s">
        <v>83</v>
      </c>
      <c r="G284" s="14">
        <v>2</v>
      </c>
      <c r="H284" s="24">
        <v>4400</v>
      </c>
      <c r="I284" s="12" t="s">
        <v>712</v>
      </c>
      <c r="J284" s="6" t="s">
        <v>608</v>
      </c>
      <c r="K284" s="6">
        <f t="shared" si="13"/>
        <v>4</v>
      </c>
      <c r="L284" s="6" t="str">
        <f t="shared" si="14"/>
        <v>ABRIL</v>
      </c>
    </row>
    <row r="285" spans="1:12" x14ac:dyDescent="0.25">
      <c r="A285" s="5">
        <f t="shared" si="12"/>
        <v>2025</v>
      </c>
      <c r="B285" s="18" t="s">
        <v>996</v>
      </c>
      <c r="C285" s="18" t="s">
        <v>595</v>
      </c>
      <c r="D285" s="12">
        <v>6033</v>
      </c>
      <c r="E285" s="17" t="s">
        <v>158</v>
      </c>
      <c r="F285" s="12" t="s">
        <v>159</v>
      </c>
      <c r="G285" s="14">
        <v>5</v>
      </c>
      <c r="H285" s="24">
        <v>473915</v>
      </c>
      <c r="I285" s="12" t="s">
        <v>704</v>
      </c>
      <c r="J285" s="6" t="s">
        <v>706</v>
      </c>
      <c r="K285" s="6">
        <f t="shared" si="13"/>
        <v>4</v>
      </c>
      <c r="L285" s="6" t="str">
        <f t="shared" si="14"/>
        <v>ABRIL</v>
      </c>
    </row>
    <row r="286" spans="1:12" x14ac:dyDescent="0.25">
      <c r="A286" s="5">
        <f t="shared" si="12"/>
        <v>2025</v>
      </c>
      <c r="B286" s="18" t="s">
        <v>996</v>
      </c>
      <c r="C286" s="18" t="s">
        <v>595</v>
      </c>
      <c r="D286" s="12">
        <v>6033</v>
      </c>
      <c r="E286" s="17" t="s">
        <v>620</v>
      </c>
      <c r="F286" s="12" t="s">
        <v>157</v>
      </c>
      <c r="G286" s="14">
        <v>1</v>
      </c>
      <c r="H286" s="24">
        <v>434800</v>
      </c>
      <c r="I286" s="12" t="s">
        <v>704</v>
      </c>
      <c r="J286" s="6" t="s">
        <v>706</v>
      </c>
      <c r="K286" s="6">
        <f t="shared" si="13"/>
        <v>4</v>
      </c>
      <c r="L286" s="6" t="str">
        <f t="shared" si="14"/>
        <v>ABRIL</v>
      </c>
    </row>
    <row r="287" spans="1:12" x14ac:dyDescent="0.25">
      <c r="A287" s="5">
        <f t="shared" si="12"/>
        <v>2025</v>
      </c>
      <c r="B287" s="18" t="s">
        <v>961</v>
      </c>
      <c r="C287" s="18" t="s">
        <v>595</v>
      </c>
      <c r="D287" s="12">
        <v>5973</v>
      </c>
      <c r="E287" s="17" t="s">
        <v>977</v>
      </c>
      <c r="F287" s="12" t="s">
        <v>108</v>
      </c>
      <c r="G287" s="14">
        <v>1</v>
      </c>
      <c r="H287" s="24">
        <v>75000</v>
      </c>
      <c r="I287" s="12" t="s">
        <v>712</v>
      </c>
      <c r="J287" s="6" t="s">
        <v>608</v>
      </c>
      <c r="K287" s="6">
        <f t="shared" si="13"/>
        <v>4</v>
      </c>
      <c r="L287" s="6" t="str">
        <f t="shared" si="14"/>
        <v>ABRIL</v>
      </c>
    </row>
    <row r="288" spans="1:12" x14ac:dyDescent="0.25">
      <c r="A288" s="5">
        <f t="shared" si="12"/>
        <v>2025</v>
      </c>
      <c r="B288" s="18" t="s">
        <v>1175</v>
      </c>
      <c r="C288" s="18" t="s">
        <v>595</v>
      </c>
      <c r="D288" s="12">
        <v>6261</v>
      </c>
      <c r="E288" s="17" t="s">
        <v>672</v>
      </c>
      <c r="F288" s="12" t="s">
        <v>687</v>
      </c>
      <c r="G288" s="14">
        <v>1</v>
      </c>
      <c r="H288" s="24">
        <v>834609</v>
      </c>
      <c r="I288" s="12" t="s">
        <v>704</v>
      </c>
      <c r="J288" s="6" t="s">
        <v>1101</v>
      </c>
      <c r="K288" s="6">
        <f t="shared" si="13"/>
        <v>9</v>
      </c>
      <c r="L288" s="6" t="str">
        <f t="shared" si="14"/>
        <v>SEPTIEMBRE</v>
      </c>
    </row>
    <row r="289" spans="1:12" x14ac:dyDescent="0.25">
      <c r="A289" s="5">
        <f t="shared" si="12"/>
        <v>2025</v>
      </c>
      <c r="B289" s="18" t="s">
        <v>1175</v>
      </c>
      <c r="C289" s="18" t="s">
        <v>595</v>
      </c>
      <c r="D289" s="12">
        <v>6261</v>
      </c>
      <c r="E289" s="17" t="s">
        <v>686</v>
      </c>
      <c r="F289" s="12" t="s">
        <v>703</v>
      </c>
      <c r="G289" s="14">
        <v>1</v>
      </c>
      <c r="H289" s="24">
        <v>1076000</v>
      </c>
      <c r="I289" s="12" t="s">
        <v>704</v>
      </c>
      <c r="J289" s="6" t="s">
        <v>1101</v>
      </c>
      <c r="K289" s="6">
        <f t="shared" si="13"/>
        <v>9</v>
      </c>
      <c r="L289" s="6" t="str">
        <f t="shared" si="14"/>
        <v>SEPTIEMBRE</v>
      </c>
    </row>
    <row r="290" spans="1:12" x14ac:dyDescent="0.25">
      <c r="A290" s="5">
        <f t="shared" si="12"/>
        <v>2025</v>
      </c>
      <c r="B290" s="18" t="s">
        <v>1175</v>
      </c>
      <c r="C290" s="18" t="s">
        <v>595</v>
      </c>
      <c r="D290" s="12">
        <v>6261</v>
      </c>
      <c r="E290" s="17" t="s">
        <v>660</v>
      </c>
      <c r="F290" s="12" t="s">
        <v>663</v>
      </c>
      <c r="G290" s="14">
        <v>1</v>
      </c>
      <c r="H290" s="24">
        <v>875027</v>
      </c>
      <c r="I290" s="12" t="s">
        <v>704</v>
      </c>
      <c r="J290" s="6" t="s">
        <v>1101</v>
      </c>
      <c r="K290" s="6">
        <f t="shared" si="13"/>
        <v>9</v>
      </c>
      <c r="L290" s="6" t="str">
        <f t="shared" si="14"/>
        <v>SEPTIEMBRE</v>
      </c>
    </row>
    <row r="291" spans="1:12" x14ac:dyDescent="0.25">
      <c r="A291" s="5">
        <f t="shared" si="12"/>
        <v>2025</v>
      </c>
      <c r="B291" s="18" t="s">
        <v>1137</v>
      </c>
      <c r="C291" s="18" t="s">
        <v>595</v>
      </c>
      <c r="D291" s="12">
        <v>6220</v>
      </c>
      <c r="E291" s="17" t="s">
        <v>678</v>
      </c>
      <c r="F291" s="12" t="s">
        <v>695</v>
      </c>
      <c r="G291" s="14">
        <v>1</v>
      </c>
      <c r="H291" s="24">
        <v>75758</v>
      </c>
      <c r="I291" s="12" t="s">
        <v>704</v>
      </c>
      <c r="J291" s="6" t="s">
        <v>1101</v>
      </c>
      <c r="K291" s="6">
        <f t="shared" si="13"/>
        <v>8</v>
      </c>
      <c r="L291" s="6" t="str">
        <f t="shared" si="14"/>
        <v>AGOSTO</v>
      </c>
    </row>
    <row r="292" spans="1:12" x14ac:dyDescent="0.25">
      <c r="A292" s="5">
        <f t="shared" si="12"/>
        <v>2025</v>
      </c>
      <c r="B292" s="18" t="s">
        <v>1253</v>
      </c>
      <c r="C292" s="18" t="s">
        <v>595</v>
      </c>
      <c r="D292" s="12">
        <v>6336</v>
      </c>
      <c r="E292" s="17" t="s">
        <v>642</v>
      </c>
      <c r="F292" s="12" t="s">
        <v>643</v>
      </c>
      <c r="G292" s="14">
        <v>1</v>
      </c>
      <c r="H292" s="24">
        <v>295000</v>
      </c>
      <c r="I292" s="12" t="s">
        <v>634</v>
      </c>
      <c r="J292" s="6" t="s">
        <v>614</v>
      </c>
      <c r="K292" s="6">
        <f t="shared" si="13"/>
        <v>10</v>
      </c>
      <c r="L292" s="6" t="str">
        <f t="shared" si="14"/>
        <v>OCTUBRE</v>
      </c>
    </row>
    <row r="293" spans="1:12" x14ac:dyDescent="0.25">
      <c r="A293" s="5">
        <f t="shared" si="12"/>
        <v>2025</v>
      </c>
      <c r="B293" s="18" t="s">
        <v>1253</v>
      </c>
      <c r="C293" s="18" t="s">
        <v>595</v>
      </c>
      <c r="D293" s="12">
        <v>6336</v>
      </c>
      <c r="E293" s="17" t="s">
        <v>717</v>
      </c>
      <c r="F293" s="12" t="s">
        <v>722</v>
      </c>
      <c r="G293" s="14">
        <v>8</v>
      </c>
      <c r="H293" s="24">
        <v>4160000</v>
      </c>
      <c r="I293" s="12" t="s">
        <v>634</v>
      </c>
      <c r="J293" s="6" t="s">
        <v>614</v>
      </c>
      <c r="K293" s="6">
        <f t="shared" si="13"/>
        <v>10</v>
      </c>
      <c r="L293" s="6" t="str">
        <f t="shared" si="14"/>
        <v>OCTUBRE</v>
      </c>
    </row>
    <row r="294" spans="1:12" x14ac:dyDescent="0.25">
      <c r="A294" s="5">
        <f t="shared" si="12"/>
        <v>2025</v>
      </c>
      <c r="B294" s="18" t="s">
        <v>1175</v>
      </c>
      <c r="C294" s="18" t="s">
        <v>595</v>
      </c>
      <c r="D294" s="12">
        <v>6261</v>
      </c>
      <c r="E294" s="17" t="s">
        <v>395</v>
      </c>
      <c r="F294" s="12" t="s">
        <v>396</v>
      </c>
      <c r="G294" s="14">
        <v>2</v>
      </c>
      <c r="H294" s="24">
        <v>353282</v>
      </c>
      <c r="I294" s="12" t="s">
        <v>704</v>
      </c>
      <c r="J294" s="6" t="s">
        <v>1101</v>
      </c>
      <c r="K294" s="6">
        <f t="shared" si="13"/>
        <v>9</v>
      </c>
      <c r="L294" s="6" t="str">
        <f t="shared" si="14"/>
        <v>SEPTIEMBRE</v>
      </c>
    </row>
    <row r="295" spans="1:12" x14ac:dyDescent="0.25">
      <c r="A295" s="5">
        <f t="shared" si="12"/>
        <v>2025</v>
      </c>
      <c r="B295" s="18" t="s">
        <v>1175</v>
      </c>
      <c r="C295" s="18" t="s">
        <v>595</v>
      </c>
      <c r="D295" s="12">
        <v>6263</v>
      </c>
      <c r="E295" s="17" t="s">
        <v>685</v>
      </c>
      <c r="F295" s="12" t="s">
        <v>702</v>
      </c>
      <c r="G295" s="14">
        <v>5</v>
      </c>
      <c r="H295" s="24">
        <v>1514690</v>
      </c>
      <c r="I295" s="12" t="s">
        <v>704</v>
      </c>
      <c r="J295" s="6" t="s">
        <v>1101</v>
      </c>
      <c r="K295" s="6">
        <f t="shared" si="13"/>
        <v>9</v>
      </c>
      <c r="L295" s="6" t="str">
        <f t="shared" si="14"/>
        <v>SEPTIEMBRE</v>
      </c>
    </row>
    <row r="296" spans="1:12" x14ac:dyDescent="0.25">
      <c r="A296" s="5">
        <f t="shared" si="12"/>
        <v>2025</v>
      </c>
      <c r="B296" s="18" t="s">
        <v>916</v>
      </c>
      <c r="C296" s="18" t="s">
        <v>595</v>
      </c>
      <c r="D296" s="12">
        <v>5821</v>
      </c>
      <c r="E296" s="17" t="s">
        <v>222</v>
      </c>
      <c r="F296" s="12" t="s">
        <v>223</v>
      </c>
      <c r="G296" s="14">
        <v>1</v>
      </c>
      <c r="H296" s="24">
        <v>222000</v>
      </c>
      <c r="I296" s="12" t="s">
        <v>712</v>
      </c>
      <c r="J296" s="6" t="s">
        <v>608</v>
      </c>
      <c r="K296" s="6">
        <f t="shared" si="13"/>
        <v>2</v>
      </c>
      <c r="L296" s="6" t="str">
        <f t="shared" si="14"/>
        <v>FEBRERO</v>
      </c>
    </row>
    <row r="297" spans="1:12" x14ac:dyDescent="0.25">
      <c r="A297" s="5">
        <f t="shared" si="12"/>
        <v>2025</v>
      </c>
      <c r="B297" s="18" t="s">
        <v>1028</v>
      </c>
      <c r="C297" s="18" t="s">
        <v>595</v>
      </c>
      <c r="D297" s="12">
        <v>6092</v>
      </c>
      <c r="E297" s="17" t="s">
        <v>514</v>
      </c>
      <c r="F297" s="12" t="s">
        <v>515</v>
      </c>
      <c r="G297" s="14">
        <v>5</v>
      </c>
      <c r="H297" s="24">
        <v>1200000</v>
      </c>
      <c r="I297" s="12" t="s">
        <v>634</v>
      </c>
      <c r="J297" s="6" t="s">
        <v>614</v>
      </c>
      <c r="K297" s="6">
        <f t="shared" si="13"/>
        <v>6</v>
      </c>
      <c r="L297" s="6" t="str">
        <f t="shared" si="14"/>
        <v>JUNIO</v>
      </c>
    </row>
    <row r="298" spans="1:12" x14ac:dyDescent="0.25">
      <c r="A298" s="5">
        <f t="shared" si="12"/>
        <v>2025</v>
      </c>
      <c r="B298" s="18" t="s">
        <v>1261</v>
      </c>
      <c r="C298" s="18" t="s">
        <v>595</v>
      </c>
      <c r="D298" s="12">
        <v>6347</v>
      </c>
      <c r="E298" s="17">
        <v>85003</v>
      </c>
      <c r="F298" s="12" t="s">
        <v>449</v>
      </c>
      <c r="G298" s="14">
        <v>6</v>
      </c>
      <c r="H298" s="24">
        <v>126000</v>
      </c>
      <c r="I298" s="12" t="s">
        <v>712</v>
      </c>
      <c r="J298" s="6" t="s">
        <v>608</v>
      </c>
      <c r="K298" s="6">
        <f t="shared" si="13"/>
        <v>11</v>
      </c>
      <c r="L298" s="6" t="str">
        <f t="shared" si="14"/>
        <v>NOVIEMBRE</v>
      </c>
    </row>
    <row r="299" spans="1:12" x14ac:dyDescent="0.25">
      <c r="A299" s="5">
        <f t="shared" si="12"/>
        <v>2025</v>
      </c>
      <c r="B299" s="18" t="s">
        <v>1261</v>
      </c>
      <c r="C299" s="18" t="s">
        <v>595</v>
      </c>
      <c r="D299" s="12">
        <v>6347</v>
      </c>
      <c r="E299" s="17" t="s">
        <v>307</v>
      </c>
      <c r="F299" s="12" t="s">
        <v>308</v>
      </c>
      <c r="G299" s="14">
        <v>1</v>
      </c>
      <c r="H299" s="24">
        <v>395000</v>
      </c>
      <c r="I299" s="12" t="s">
        <v>712</v>
      </c>
      <c r="J299" s="6" t="s">
        <v>608</v>
      </c>
      <c r="K299" s="6">
        <f t="shared" si="13"/>
        <v>11</v>
      </c>
      <c r="L299" s="6" t="str">
        <f t="shared" si="14"/>
        <v>NOVIEMBRE</v>
      </c>
    </row>
    <row r="300" spans="1:12" x14ac:dyDescent="0.25">
      <c r="A300" s="5">
        <f t="shared" si="12"/>
        <v>2025</v>
      </c>
      <c r="B300" s="18" t="s">
        <v>1169</v>
      </c>
      <c r="C300" s="18" t="s">
        <v>595</v>
      </c>
      <c r="D300" s="12">
        <v>6246</v>
      </c>
      <c r="E300" s="17" t="s">
        <v>202</v>
      </c>
      <c r="F300" s="12" t="s">
        <v>203</v>
      </c>
      <c r="G300" s="14">
        <v>1</v>
      </c>
      <c r="H300" s="24">
        <v>145000</v>
      </c>
      <c r="I300" s="12" t="s">
        <v>634</v>
      </c>
      <c r="J300" s="6" t="s">
        <v>614</v>
      </c>
      <c r="K300" s="6">
        <f t="shared" si="13"/>
        <v>9</v>
      </c>
      <c r="L300" s="6" t="str">
        <f t="shared" si="14"/>
        <v>SEPTIEMBRE</v>
      </c>
    </row>
    <row r="301" spans="1:12" x14ac:dyDescent="0.25">
      <c r="A301" s="5">
        <f t="shared" si="12"/>
        <v>2025</v>
      </c>
      <c r="B301" s="18" t="s">
        <v>949</v>
      </c>
      <c r="C301" s="18" t="s">
        <v>595</v>
      </c>
      <c r="D301" s="12">
        <v>5936</v>
      </c>
      <c r="E301" s="17" t="s">
        <v>957</v>
      </c>
      <c r="F301" s="12" t="s">
        <v>958</v>
      </c>
      <c r="G301" s="14">
        <v>1</v>
      </c>
      <c r="H301" s="24">
        <v>3604300</v>
      </c>
      <c r="I301" s="12" t="s">
        <v>633</v>
      </c>
      <c r="J301" s="6" t="s">
        <v>892</v>
      </c>
      <c r="K301" s="6">
        <f t="shared" si="13"/>
        <v>3</v>
      </c>
      <c r="L301" s="6" t="str">
        <f t="shared" si="14"/>
        <v>MARZO</v>
      </c>
    </row>
    <row r="302" spans="1:12" x14ac:dyDescent="0.25">
      <c r="A302" s="5">
        <f t="shared" si="12"/>
        <v>2025</v>
      </c>
      <c r="B302" s="18" t="s">
        <v>924</v>
      </c>
      <c r="C302" s="18" t="s">
        <v>595</v>
      </c>
      <c r="D302" s="12">
        <v>5879</v>
      </c>
      <c r="E302" s="17">
        <v>18025</v>
      </c>
      <c r="F302" s="12" t="s">
        <v>926</v>
      </c>
      <c r="G302" s="14">
        <v>12</v>
      </c>
      <c r="H302" s="24">
        <v>9840000</v>
      </c>
      <c r="I302" s="12" t="s">
        <v>546</v>
      </c>
      <c r="J302" s="6" t="s">
        <v>610</v>
      </c>
      <c r="K302" s="6">
        <f t="shared" si="13"/>
        <v>2</v>
      </c>
      <c r="L302" s="6" t="str">
        <f t="shared" si="14"/>
        <v>FEBRERO</v>
      </c>
    </row>
    <row r="303" spans="1:12" x14ac:dyDescent="0.25">
      <c r="A303" s="5">
        <f t="shared" si="12"/>
        <v>2025</v>
      </c>
      <c r="B303" s="18" t="s">
        <v>1261</v>
      </c>
      <c r="C303" s="18" t="s">
        <v>595</v>
      </c>
      <c r="D303" s="12">
        <v>6349</v>
      </c>
      <c r="E303" s="17" t="s">
        <v>305</v>
      </c>
      <c r="F303" s="12" t="s">
        <v>306</v>
      </c>
      <c r="G303" s="14">
        <v>1</v>
      </c>
      <c r="H303" s="24">
        <v>309000</v>
      </c>
      <c r="I303" s="12" t="s">
        <v>634</v>
      </c>
      <c r="J303" s="6" t="s">
        <v>614</v>
      </c>
      <c r="K303" s="6">
        <f t="shared" si="13"/>
        <v>11</v>
      </c>
      <c r="L303" s="6" t="str">
        <f t="shared" si="14"/>
        <v>NOVIEMBRE</v>
      </c>
    </row>
    <row r="304" spans="1:12" x14ac:dyDescent="0.25">
      <c r="A304" s="5">
        <f t="shared" si="12"/>
        <v>2025</v>
      </c>
      <c r="B304" s="18" t="s">
        <v>1008</v>
      </c>
      <c r="C304" s="18" t="s">
        <v>595</v>
      </c>
      <c r="D304" s="12">
        <v>6054</v>
      </c>
      <c r="E304" s="17" t="s">
        <v>463</v>
      </c>
      <c r="F304" s="12" t="s">
        <v>464</v>
      </c>
      <c r="G304" s="14">
        <v>1</v>
      </c>
      <c r="H304" s="24">
        <v>375000</v>
      </c>
      <c r="I304" s="12" t="s">
        <v>546</v>
      </c>
      <c r="J304" s="6" t="s">
        <v>610</v>
      </c>
      <c r="K304" s="6">
        <f t="shared" si="13"/>
        <v>5</v>
      </c>
      <c r="L304" s="6" t="str">
        <f t="shared" si="14"/>
        <v>MAYO</v>
      </c>
    </row>
    <row r="305" spans="1:12" x14ac:dyDescent="0.25">
      <c r="A305" s="5">
        <f t="shared" si="12"/>
        <v>2025</v>
      </c>
      <c r="B305" s="18" t="s">
        <v>1008</v>
      </c>
      <c r="C305" s="18" t="s">
        <v>595</v>
      </c>
      <c r="D305" s="12">
        <v>6054</v>
      </c>
      <c r="E305" s="17" t="s">
        <v>307</v>
      </c>
      <c r="F305" s="12" t="s">
        <v>308</v>
      </c>
      <c r="G305" s="14">
        <v>1</v>
      </c>
      <c r="H305" s="24">
        <v>364000</v>
      </c>
      <c r="I305" s="12" t="s">
        <v>546</v>
      </c>
      <c r="J305" s="6" t="s">
        <v>610</v>
      </c>
      <c r="K305" s="6">
        <f t="shared" si="13"/>
        <v>5</v>
      </c>
      <c r="L305" s="6" t="str">
        <f t="shared" si="14"/>
        <v>MAYO</v>
      </c>
    </row>
    <row r="306" spans="1:12" x14ac:dyDescent="0.25">
      <c r="A306" s="5">
        <f t="shared" si="12"/>
        <v>2025</v>
      </c>
      <c r="B306" s="18" t="s">
        <v>1008</v>
      </c>
      <c r="C306" s="18" t="s">
        <v>595</v>
      </c>
      <c r="D306" s="12">
        <v>6054</v>
      </c>
      <c r="E306" s="17" t="s">
        <v>340</v>
      </c>
      <c r="F306" s="12" t="s">
        <v>341</v>
      </c>
      <c r="G306" s="14">
        <v>1</v>
      </c>
      <c r="H306" s="24">
        <v>35000</v>
      </c>
      <c r="I306" s="12" t="s">
        <v>546</v>
      </c>
      <c r="J306" s="6" t="s">
        <v>610</v>
      </c>
      <c r="K306" s="6">
        <f t="shared" si="13"/>
        <v>5</v>
      </c>
      <c r="L306" s="6" t="str">
        <f t="shared" si="14"/>
        <v>MAYO</v>
      </c>
    </row>
    <row r="307" spans="1:12" x14ac:dyDescent="0.25">
      <c r="A307" s="5">
        <f t="shared" si="12"/>
        <v>2025</v>
      </c>
      <c r="B307" s="18" t="s">
        <v>1209</v>
      </c>
      <c r="C307" s="18" t="s">
        <v>595</v>
      </c>
      <c r="D307" s="12">
        <v>6310</v>
      </c>
      <c r="E307" s="17" t="s">
        <v>218</v>
      </c>
      <c r="F307" s="12" t="s">
        <v>219</v>
      </c>
      <c r="G307" s="14">
        <v>10</v>
      </c>
      <c r="H307" s="24">
        <v>300000</v>
      </c>
      <c r="I307" s="12" t="s">
        <v>631</v>
      </c>
      <c r="J307" s="6" t="s">
        <v>609</v>
      </c>
      <c r="K307" s="6">
        <f t="shared" si="13"/>
        <v>10</v>
      </c>
      <c r="L307" s="6" t="str">
        <f t="shared" si="14"/>
        <v>OCTUBRE</v>
      </c>
    </row>
    <row r="308" spans="1:12" x14ac:dyDescent="0.25">
      <c r="A308" s="5">
        <f t="shared" si="12"/>
        <v>2025</v>
      </c>
      <c r="B308" s="18" t="s">
        <v>1209</v>
      </c>
      <c r="C308" s="18" t="s">
        <v>595</v>
      </c>
      <c r="D308" s="12">
        <v>6310</v>
      </c>
      <c r="E308" s="17">
        <v>7116</v>
      </c>
      <c r="F308" s="12" t="s">
        <v>516</v>
      </c>
      <c r="G308" s="14">
        <v>5</v>
      </c>
      <c r="H308" s="24">
        <v>1350000</v>
      </c>
      <c r="I308" s="12" t="s">
        <v>631</v>
      </c>
      <c r="J308" s="6" t="s">
        <v>609</v>
      </c>
      <c r="K308" s="6">
        <f t="shared" si="13"/>
        <v>10</v>
      </c>
      <c r="L308" s="6" t="str">
        <f t="shared" si="14"/>
        <v>OCTUBRE</v>
      </c>
    </row>
    <row r="309" spans="1:12" x14ac:dyDescent="0.25">
      <c r="A309" s="5">
        <f t="shared" ref="A309:A372" si="15">+YEAR(B309)</f>
        <v>2025</v>
      </c>
      <c r="B309" s="18" t="s">
        <v>1209</v>
      </c>
      <c r="C309" s="18" t="s">
        <v>595</v>
      </c>
      <c r="D309" s="12">
        <v>6310</v>
      </c>
      <c r="E309" s="17" t="s">
        <v>423</v>
      </c>
      <c r="F309" s="12" t="s">
        <v>424</v>
      </c>
      <c r="G309" s="14">
        <v>5</v>
      </c>
      <c r="H309" s="24">
        <v>500000</v>
      </c>
      <c r="I309" s="12" t="s">
        <v>631</v>
      </c>
      <c r="J309" s="6" t="s">
        <v>609</v>
      </c>
      <c r="K309" s="6">
        <f t="shared" ref="K309:K372" si="16">+MONTH(B309)</f>
        <v>10</v>
      </c>
      <c r="L309" s="6" t="str">
        <f t="shared" si="14"/>
        <v>OCTUBRE</v>
      </c>
    </row>
    <row r="310" spans="1:12" x14ac:dyDescent="0.25">
      <c r="A310" s="5">
        <f t="shared" si="15"/>
        <v>2025</v>
      </c>
      <c r="B310" s="18" t="s">
        <v>1209</v>
      </c>
      <c r="C310" s="18" t="s">
        <v>595</v>
      </c>
      <c r="D310" s="12">
        <v>6310</v>
      </c>
      <c r="E310" s="17" t="s">
        <v>204</v>
      </c>
      <c r="F310" s="12" t="s">
        <v>205</v>
      </c>
      <c r="G310" s="14">
        <v>5</v>
      </c>
      <c r="H310" s="24">
        <v>250000</v>
      </c>
      <c r="I310" s="12" t="s">
        <v>631</v>
      </c>
      <c r="J310" s="6" t="s">
        <v>609</v>
      </c>
      <c r="K310" s="6">
        <f t="shared" si="16"/>
        <v>10</v>
      </c>
      <c r="L310" s="6" t="str">
        <f t="shared" si="14"/>
        <v>OCTUBRE</v>
      </c>
    </row>
    <row r="311" spans="1:12" x14ac:dyDescent="0.25">
      <c r="A311" s="5">
        <f t="shared" si="15"/>
        <v>2025</v>
      </c>
      <c r="B311" s="18" t="s">
        <v>1209</v>
      </c>
      <c r="C311" s="18" t="s">
        <v>595</v>
      </c>
      <c r="D311" s="12">
        <v>6310</v>
      </c>
      <c r="E311" s="17" t="s">
        <v>1213</v>
      </c>
      <c r="F311" s="12" t="s">
        <v>536</v>
      </c>
      <c r="G311" s="14">
        <v>3</v>
      </c>
      <c r="H311" s="24">
        <v>360000</v>
      </c>
      <c r="I311" s="12" t="s">
        <v>631</v>
      </c>
      <c r="J311" s="6" t="s">
        <v>609</v>
      </c>
      <c r="K311" s="6">
        <f t="shared" si="16"/>
        <v>10</v>
      </c>
      <c r="L311" s="6" t="str">
        <f t="shared" si="14"/>
        <v>OCTUBRE</v>
      </c>
    </row>
    <row r="312" spans="1:12" x14ac:dyDescent="0.25">
      <c r="A312" s="5">
        <f t="shared" si="15"/>
        <v>2025</v>
      </c>
      <c r="B312" s="18" t="s">
        <v>1209</v>
      </c>
      <c r="C312" s="18" t="s">
        <v>595</v>
      </c>
      <c r="D312" s="12">
        <v>6310</v>
      </c>
      <c r="E312" s="17" t="s">
        <v>45</v>
      </c>
      <c r="F312" s="12" t="s">
        <v>46</v>
      </c>
      <c r="G312" s="14">
        <v>3</v>
      </c>
      <c r="H312" s="24">
        <v>540000</v>
      </c>
      <c r="I312" s="12" t="s">
        <v>631</v>
      </c>
      <c r="J312" s="6" t="s">
        <v>609</v>
      </c>
      <c r="K312" s="6">
        <f t="shared" si="16"/>
        <v>10</v>
      </c>
      <c r="L312" s="6" t="str">
        <f t="shared" si="14"/>
        <v>OCTUBRE</v>
      </c>
    </row>
    <row r="313" spans="1:12" x14ac:dyDescent="0.25">
      <c r="A313" s="5">
        <f t="shared" si="15"/>
        <v>2025</v>
      </c>
      <c r="B313" s="18" t="s">
        <v>1209</v>
      </c>
      <c r="C313" s="18" t="s">
        <v>595</v>
      </c>
      <c r="D313" s="12">
        <v>6310</v>
      </c>
      <c r="E313" s="17">
        <v>22940</v>
      </c>
      <c r="F313" s="12" t="s">
        <v>169</v>
      </c>
      <c r="G313" s="14">
        <v>5</v>
      </c>
      <c r="H313" s="24">
        <v>260000</v>
      </c>
      <c r="I313" s="12" t="s">
        <v>631</v>
      </c>
      <c r="J313" s="6" t="s">
        <v>609</v>
      </c>
      <c r="K313" s="6">
        <f t="shared" si="16"/>
        <v>10</v>
      </c>
      <c r="L313" s="6" t="str">
        <f t="shared" si="14"/>
        <v>OCTUBRE</v>
      </c>
    </row>
    <row r="314" spans="1:12" x14ac:dyDescent="0.25">
      <c r="A314" s="5">
        <f t="shared" si="15"/>
        <v>2025</v>
      </c>
      <c r="B314" s="18" t="s">
        <v>1076</v>
      </c>
      <c r="C314" s="18" t="s">
        <v>595</v>
      </c>
      <c r="D314" s="12">
        <v>6166</v>
      </c>
      <c r="E314" s="17" t="s">
        <v>363</v>
      </c>
      <c r="F314" s="12" t="s">
        <v>364</v>
      </c>
      <c r="G314" s="14">
        <v>2</v>
      </c>
      <c r="H314" s="24">
        <v>132000</v>
      </c>
      <c r="I314" s="12" t="s">
        <v>712</v>
      </c>
      <c r="J314" s="6" t="s">
        <v>608</v>
      </c>
      <c r="K314" s="6">
        <f t="shared" si="16"/>
        <v>7</v>
      </c>
      <c r="L314" s="6" t="str">
        <f t="shared" si="14"/>
        <v>JULIO</v>
      </c>
    </row>
    <row r="315" spans="1:12" x14ac:dyDescent="0.25">
      <c r="A315" s="5">
        <f t="shared" si="15"/>
        <v>2025</v>
      </c>
      <c r="B315" s="18" t="s">
        <v>962</v>
      </c>
      <c r="C315" s="18" t="s">
        <v>595</v>
      </c>
      <c r="D315" s="12">
        <v>5986</v>
      </c>
      <c r="E315" s="17" t="s">
        <v>592</v>
      </c>
      <c r="F315" s="12" t="s">
        <v>394</v>
      </c>
      <c r="G315" s="14">
        <v>2</v>
      </c>
      <c r="H315" s="24">
        <v>1622880</v>
      </c>
      <c r="I315" s="12" t="s">
        <v>634</v>
      </c>
      <c r="J315" s="6" t="s">
        <v>614</v>
      </c>
      <c r="K315" s="6">
        <f t="shared" si="16"/>
        <v>4</v>
      </c>
      <c r="L315" s="6" t="str">
        <f t="shared" si="14"/>
        <v>ABRIL</v>
      </c>
    </row>
    <row r="316" spans="1:12" x14ac:dyDescent="0.25">
      <c r="A316" s="5">
        <f t="shared" si="15"/>
        <v>2025</v>
      </c>
      <c r="B316" s="18" t="s">
        <v>1078</v>
      </c>
      <c r="C316" s="18" t="s">
        <v>595</v>
      </c>
      <c r="D316" s="12">
        <v>6159</v>
      </c>
      <c r="E316" s="17" t="s">
        <v>299</v>
      </c>
      <c r="F316" s="12" t="s">
        <v>300</v>
      </c>
      <c r="G316" s="14">
        <v>2</v>
      </c>
      <c r="H316" s="24">
        <v>120678</v>
      </c>
      <c r="I316" s="12" t="s">
        <v>634</v>
      </c>
      <c r="J316" s="6" t="s">
        <v>614</v>
      </c>
      <c r="K316" s="6">
        <f t="shared" si="16"/>
        <v>7</v>
      </c>
      <c r="L316" s="6" t="str">
        <f t="shared" si="14"/>
        <v>JULIO</v>
      </c>
    </row>
    <row r="317" spans="1:12" x14ac:dyDescent="0.25">
      <c r="A317" s="5">
        <f t="shared" si="15"/>
        <v>2025</v>
      </c>
      <c r="B317" s="18" t="s">
        <v>1192</v>
      </c>
      <c r="C317" s="18" t="s">
        <v>595</v>
      </c>
      <c r="D317" s="12">
        <v>6289</v>
      </c>
      <c r="E317" s="17" t="s">
        <v>562</v>
      </c>
      <c r="F317" s="12" t="s">
        <v>577</v>
      </c>
      <c r="G317" s="14">
        <v>1</v>
      </c>
      <c r="H317" s="24">
        <v>3000000</v>
      </c>
      <c r="I317" s="12" t="s">
        <v>631</v>
      </c>
      <c r="J317" s="6" t="s">
        <v>609</v>
      </c>
      <c r="K317" s="6">
        <f t="shared" si="16"/>
        <v>10</v>
      </c>
      <c r="L317" s="6" t="str">
        <f t="shared" si="14"/>
        <v>OCTUBRE</v>
      </c>
    </row>
    <row r="318" spans="1:12" x14ac:dyDescent="0.25">
      <c r="A318" s="5">
        <f t="shared" si="15"/>
        <v>2025</v>
      </c>
      <c r="B318" s="18" t="s">
        <v>1192</v>
      </c>
      <c r="C318" s="18" t="s">
        <v>595</v>
      </c>
      <c r="D318" s="12">
        <v>6289</v>
      </c>
      <c r="E318" s="17">
        <v>994346</v>
      </c>
      <c r="F318" s="12" t="s">
        <v>408</v>
      </c>
      <c r="G318" s="14">
        <v>1</v>
      </c>
      <c r="H318" s="24">
        <v>480000</v>
      </c>
      <c r="I318" s="12" t="s">
        <v>631</v>
      </c>
      <c r="J318" s="6" t="s">
        <v>609</v>
      </c>
      <c r="K318" s="6">
        <f t="shared" si="16"/>
        <v>10</v>
      </c>
      <c r="L318" s="6" t="str">
        <f t="shared" si="14"/>
        <v>OCTUBRE</v>
      </c>
    </row>
    <row r="319" spans="1:12" x14ac:dyDescent="0.25">
      <c r="A319" s="5">
        <f t="shared" si="15"/>
        <v>2025</v>
      </c>
      <c r="B319" s="18" t="s">
        <v>1256</v>
      </c>
      <c r="C319" s="18" t="s">
        <v>595</v>
      </c>
      <c r="D319" s="12">
        <v>6342</v>
      </c>
      <c r="E319" s="17" t="s">
        <v>445</v>
      </c>
      <c r="F319" s="12" t="s">
        <v>446</v>
      </c>
      <c r="G319" s="14">
        <v>3</v>
      </c>
      <c r="H319" s="24">
        <v>45000</v>
      </c>
      <c r="I319" s="12" t="s">
        <v>712</v>
      </c>
      <c r="J319" s="6" t="s">
        <v>608</v>
      </c>
      <c r="K319" s="6">
        <f t="shared" si="16"/>
        <v>10</v>
      </c>
      <c r="L319" s="6" t="str">
        <f t="shared" si="14"/>
        <v>OCTUBRE</v>
      </c>
    </row>
    <row r="320" spans="1:12" x14ac:dyDescent="0.25">
      <c r="A320" s="5">
        <f t="shared" si="15"/>
        <v>2025</v>
      </c>
      <c r="B320" s="18" t="s">
        <v>1256</v>
      </c>
      <c r="C320" s="18" t="s">
        <v>595</v>
      </c>
      <c r="D320" s="12">
        <v>6342</v>
      </c>
      <c r="E320" s="17" t="s">
        <v>383</v>
      </c>
      <c r="F320" s="12" t="s">
        <v>384</v>
      </c>
      <c r="G320" s="14">
        <v>3</v>
      </c>
      <c r="H320" s="24">
        <v>72000</v>
      </c>
      <c r="I320" s="12" t="s">
        <v>712</v>
      </c>
      <c r="J320" s="6" t="s">
        <v>608</v>
      </c>
      <c r="K320" s="6">
        <f t="shared" si="16"/>
        <v>10</v>
      </c>
      <c r="L320" s="6" t="str">
        <f t="shared" si="14"/>
        <v>OCTUBRE</v>
      </c>
    </row>
    <row r="321" spans="1:12" x14ac:dyDescent="0.25">
      <c r="A321" s="5">
        <f t="shared" si="15"/>
        <v>2025</v>
      </c>
      <c r="B321" s="18" t="s">
        <v>913</v>
      </c>
      <c r="C321" s="18" t="s">
        <v>595</v>
      </c>
      <c r="D321" s="12">
        <v>5846</v>
      </c>
      <c r="E321" s="17" t="s">
        <v>371</v>
      </c>
      <c r="F321" s="12" t="s">
        <v>372</v>
      </c>
      <c r="G321" s="14">
        <v>3</v>
      </c>
      <c r="H321" s="24">
        <v>573000</v>
      </c>
      <c r="I321" s="12" t="s">
        <v>634</v>
      </c>
      <c r="J321" s="6" t="s">
        <v>614</v>
      </c>
      <c r="K321" s="6">
        <f t="shared" si="16"/>
        <v>2</v>
      </c>
      <c r="L321" s="6" t="str">
        <f t="shared" si="14"/>
        <v>FEBRERO</v>
      </c>
    </row>
    <row r="322" spans="1:12" x14ac:dyDescent="0.25">
      <c r="A322" s="5">
        <f t="shared" si="15"/>
        <v>2025</v>
      </c>
      <c r="B322" s="18" t="s">
        <v>1174</v>
      </c>
      <c r="C322" s="18" t="s">
        <v>595</v>
      </c>
      <c r="D322" s="12">
        <v>6257</v>
      </c>
      <c r="E322" s="17" t="s">
        <v>299</v>
      </c>
      <c r="F322" s="12" t="s">
        <v>300</v>
      </c>
      <c r="G322" s="14">
        <v>2</v>
      </c>
      <c r="H322" s="24">
        <v>120678</v>
      </c>
      <c r="I322" s="12" t="s">
        <v>634</v>
      </c>
      <c r="J322" s="6" t="s">
        <v>614</v>
      </c>
      <c r="K322" s="6">
        <f t="shared" si="16"/>
        <v>9</v>
      </c>
      <c r="L322" s="6" t="str">
        <f t="shared" si="14"/>
        <v>SEPTIEMBRE</v>
      </c>
    </row>
    <row r="323" spans="1:12" x14ac:dyDescent="0.25">
      <c r="A323" s="5">
        <f t="shared" si="15"/>
        <v>2025</v>
      </c>
      <c r="B323" s="18" t="s">
        <v>943</v>
      </c>
      <c r="C323" s="18" t="s">
        <v>595</v>
      </c>
      <c r="D323" s="12">
        <v>5925</v>
      </c>
      <c r="E323" s="17" t="s">
        <v>371</v>
      </c>
      <c r="F323" s="12" t="s">
        <v>372</v>
      </c>
      <c r="G323" s="14">
        <v>3</v>
      </c>
      <c r="H323" s="24">
        <v>573000</v>
      </c>
      <c r="I323" s="12" t="s">
        <v>634</v>
      </c>
      <c r="J323" s="6" t="s">
        <v>614</v>
      </c>
      <c r="K323" s="6">
        <f t="shared" si="16"/>
        <v>3</v>
      </c>
      <c r="L323" s="6" t="str">
        <f t="shared" ref="L323:L386" si="17">VLOOKUP(K323,N:O,2,0)</f>
        <v>MARZO</v>
      </c>
    </row>
    <row r="324" spans="1:12" x14ac:dyDescent="0.25">
      <c r="A324" s="5">
        <f t="shared" si="15"/>
        <v>2025</v>
      </c>
      <c r="B324" s="18" t="s">
        <v>969</v>
      </c>
      <c r="C324" s="18" t="s">
        <v>595</v>
      </c>
      <c r="D324" s="12">
        <v>5997</v>
      </c>
      <c r="E324" s="17" t="s">
        <v>675</v>
      </c>
      <c r="F324" s="12" t="s">
        <v>690</v>
      </c>
      <c r="G324" s="14">
        <v>1</v>
      </c>
      <c r="H324" s="24">
        <v>910000</v>
      </c>
      <c r="I324" s="12" t="s">
        <v>712</v>
      </c>
      <c r="J324" s="6" t="s">
        <v>608</v>
      </c>
      <c r="K324" s="6">
        <f t="shared" si="16"/>
        <v>4</v>
      </c>
      <c r="L324" s="6" t="str">
        <f t="shared" si="17"/>
        <v>ABRIL</v>
      </c>
    </row>
    <row r="325" spans="1:12" x14ac:dyDescent="0.25">
      <c r="A325" s="5">
        <f t="shared" si="15"/>
        <v>2025</v>
      </c>
      <c r="B325" s="18" t="s">
        <v>967</v>
      </c>
      <c r="C325" s="18" t="s">
        <v>595</v>
      </c>
      <c r="D325" s="12">
        <v>5974</v>
      </c>
      <c r="E325" s="17" t="s">
        <v>218</v>
      </c>
      <c r="F325" s="12" t="s">
        <v>219</v>
      </c>
      <c r="G325" s="14">
        <v>4</v>
      </c>
      <c r="H325" s="24">
        <v>120000</v>
      </c>
      <c r="I325" s="12" t="s">
        <v>631</v>
      </c>
      <c r="J325" s="6" t="s">
        <v>609</v>
      </c>
      <c r="K325" s="6">
        <f t="shared" si="16"/>
        <v>4</v>
      </c>
      <c r="L325" s="6" t="str">
        <f t="shared" si="17"/>
        <v>ABRIL</v>
      </c>
    </row>
    <row r="326" spans="1:12" x14ac:dyDescent="0.25">
      <c r="A326" s="5">
        <f t="shared" si="15"/>
        <v>2025</v>
      </c>
      <c r="B326" s="18" t="s">
        <v>967</v>
      </c>
      <c r="C326" s="18" t="s">
        <v>595</v>
      </c>
      <c r="D326" s="12">
        <v>5974</v>
      </c>
      <c r="E326" s="17" t="s">
        <v>373</v>
      </c>
      <c r="F326" s="12" t="s">
        <v>374</v>
      </c>
      <c r="G326" s="14">
        <v>4</v>
      </c>
      <c r="H326" s="24">
        <v>1680000</v>
      </c>
      <c r="I326" s="12" t="s">
        <v>631</v>
      </c>
      <c r="J326" s="6" t="s">
        <v>609</v>
      </c>
      <c r="K326" s="6">
        <f t="shared" si="16"/>
        <v>4</v>
      </c>
      <c r="L326" s="6" t="str">
        <f t="shared" si="17"/>
        <v>ABRIL</v>
      </c>
    </row>
    <row r="327" spans="1:12" x14ac:dyDescent="0.25">
      <c r="A327" s="5">
        <f t="shared" si="15"/>
        <v>2025</v>
      </c>
      <c r="B327" s="18" t="s">
        <v>967</v>
      </c>
      <c r="C327" s="18" t="s">
        <v>595</v>
      </c>
      <c r="D327" s="12">
        <v>5974</v>
      </c>
      <c r="E327" s="17" t="s">
        <v>237</v>
      </c>
      <c r="F327" s="12" t="s">
        <v>238</v>
      </c>
      <c r="G327" s="14">
        <v>1</v>
      </c>
      <c r="H327" s="24">
        <v>480000</v>
      </c>
      <c r="I327" s="12" t="s">
        <v>631</v>
      </c>
      <c r="J327" s="6" t="s">
        <v>609</v>
      </c>
      <c r="K327" s="6">
        <f t="shared" si="16"/>
        <v>4</v>
      </c>
      <c r="L327" s="6" t="str">
        <f t="shared" si="17"/>
        <v>ABRIL</v>
      </c>
    </row>
    <row r="328" spans="1:12" x14ac:dyDescent="0.25">
      <c r="A328" s="5">
        <f t="shared" si="15"/>
        <v>2025</v>
      </c>
      <c r="B328" s="18" t="s">
        <v>1192</v>
      </c>
      <c r="C328" s="18" t="s">
        <v>595</v>
      </c>
      <c r="D328" s="12">
        <v>6291</v>
      </c>
      <c r="E328" s="17" t="s">
        <v>1202</v>
      </c>
      <c r="F328" s="12" t="s">
        <v>1203</v>
      </c>
      <c r="G328" s="14">
        <v>6</v>
      </c>
      <c r="H328" s="24">
        <v>689996.4</v>
      </c>
      <c r="I328" s="12" t="s">
        <v>633</v>
      </c>
      <c r="J328" s="6" t="s">
        <v>892</v>
      </c>
      <c r="K328" s="6">
        <f t="shared" si="16"/>
        <v>10</v>
      </c>
      <c r="L328" s="6" t="str">
        <f t="shared" si="17"/>
        <v>OCTUBRE</v>
      </c>
    </row>
    <row r="329" spans="1:12" x14ac:dyDescent="0.25">
      <c r="A329" s="5">
        <f t="shared" si="15"/>
        <v>2025</v>
      </c>
      <c r="B329" s="18" t="s">
        <v>1192</v>
      </c>
      <c r="C329" s="18" t="s">
        <v>595</v>
      </c>
      <c r="D329" s="12">
        <v>6291</v>
      </c>
      <c r="E329" s="17" t="s">
        <v>1204</v>
      </c>
      <c r="F329" s="12" t="s">
        <v>1205</v>
      </c>
      <c r="G329" s="14">
        <v>2</v>
      </c>
      <c r="H329" s="24">
        <v>278920</v>
      </c>
      <c r="I329" s="12" t="s">
        <v>633</v>
      </c>
      <c r="J329" s="6" t="s">
        <v>892</v>
      </c>
      <c r="K329" s="6">
        <f t="shared" si="16"/>
        <v>10</v>
      </c>
      <c r="L329" s="6" t="str">
        <f t="shared" si="17"/>
        <v>OCTUBRE</v>
      </c>
    </row>
    <row r="330" spans="1:12" x14ac:dyDescent="0.25">
      <c r="A330" s="5">
        <f t="shared" si="15"/>
        <v>2025</v>
      </c>
      <c r="B330" s="18" t="s">
        <v>1027</v>
      </c>
      <c r="C330" s="18" t="s">
        <v>595</v>
      </c>
      <c r="D330" s="12">
        <v>6082</v>
      </c>
      <c r="E330" s="17" t="s">
        <v>297</v>
      </c>
      <c r="F330" s="12" t="s">
        <v>298</v>
      </c>
      <c r="G330" s="14">
        <v>1</v>
      </c>
      <c r="H330" s="24">
        <v>139142</v>
      </c>
      <c r="I330" s="12" t="s">
        <v>712</v>
      </c>
      <c r="J330" s="6" t="s">
        <v>608</v>
      </c>
      <c r="K330" s="6">
        <f t="shared" si="16"/>
        <v>5</v>
      </c>
      <c r="L330" s="6" t="str">
        <f t="shared" si="17"/>
        <v>MAYO</v>
      </c>
    </row>
    <row r="331" spans="1:12" x14ac:dyDescent="0.25">
      <c r="A331" s="5">
        <f t="shared" si="15"/>
        <v>2025</v>
      </c>
      <c r="B331" s="18" t="s">
        <v>1060</v>
      </c>
      <c r="C331" s="18" t="s">
        <v>595</v>
      </c>
      <c r="D331" s="12">
        <v>6126</v>
      </c>
      <c r="E331" s="17" t="s">
        <v>264</v>
      </c>
      <c r="F331" s="12" t="s">
        <v>265</v>
      </c>
      <c r="G331" s="14">
        <v>1</v>
      </c>
      <c r="H331" s="24">
        <v>27800</v>
      </c>
      <c r="I331" s="12" t="s">
        <v>712</v>
      </c>
      <c r="J331" s="6" t="s">
        <v>608</v>
      </c>
      <c r="K331" s="6">
        <f t="shared" si="16"/>
        <v>6</v>
      </c>
      <c r="L331" s="6" t="str">
        <f t="shared" si="17"/>
        <v>JUNIO</v>
      </c>
    </row>
    <row r="332" spans="1:12" x14ac:dyDescent="0.25">
      <c r="A332" s="5">
        <f t="shared" si="15"/>
        <v>2025</v>
      </c>
      <c r="B332" s="18" t="s">
        <v>1060</v>
      </c>
      <c r="C332" s="18" t="s">
        <v>595</v>
      </c>
      <c r="D332" s="12">
        <v>6126</v>
      </c>
      <c r="E332" s="17" t="s">
        <v>348</v>
      </c>
      <c r="F332" s="12" t="s">
        <v>349</v>
      </c>
      <c r="G332" s="14">
        <v>2</v>
      </c>
      <c r="H332" s="24">
        <v>2400</v>
      </c>
      <c r="I332" s="12" t="s">
        <v>712</v>
      </c>
      <c r="J332" s="6" t="s">
        <v>608</v>
      </c>
      <c r="K332" s="6">
        <f t="shared" si="16"/>
        <v>6</v>
      </c>
      <c r="L332" s="6" t="str">
        <f t="shared" si="17"/>
        <v>JUNIO</v>
      </c>
    </row>
    <row r="333" spans="1:12" x14ac:dyDescent="0.25">
      <c r="A333" s="5">
        <f t="shared" si="15"/>
        <v>2025</v>
      </c>
      <c r="B333" s="18" t="s">
        <v>1060</v>
      </c>
      <c r="C333" s="18" t="s">
        <v>595</v>
      </c>
      <c r="D333" s="12">
        <v>6126</v>
      </c>
      <c r="E333" s="17" t="s">
        <v>455</v>
      </c>
      <c r="F333" s="12" t="s">
        <v>456</v>
      </c>
      <c r="G333" s="14">
        <v>1</v>
      </c>
      <c r="H333" s="24">
        <v>185000</v>
      </c>
      <c r="I333" s="12" t="s">
        <v>712</v>
      </c>
      <c r="J333" s="6" t="s">
        <v>608</v>
      </c>
      <c r="K333" s="6">
        <f t="shared" si="16"/>
        <v>6</v>
      </c>
      <c r="L333" s="6" t="str">
        <f t="shared" si="17"/>
        <v>JUNIO</v>
      </c>
    </row>
    <row r="334" spans="1:12" x14ac:dyDescent="0.25">
      <c r="A334" s="5">
        <f t="shared" si="15"/>
        <v>2025</v>
      </c>
      <c r="B334" s="18" t="s">
        <v>1060</v>
      </c>
      <c r="C334" s="18" t="s">
        <v>595</v>
      </c>
      <c r="D334" s="12">
        <v>6126</v>
      </c>
      <c r="E334" s="17" t="s">
        <v>653</v>
      </c>
      <c r="F334" s="12" t="s">
        <v>654</v>
      </c>
      <c r="G334" s="14">
        <v>1</v>
      </c>
      <c r="H334" s="24">
        <v>440000</v>
      </c>
      <c r="I334" s="12" t="s">
        <v>712</v>
      </c>
      <c r="J334" s="6" t="s">
        <v>608</v>
      </c>
      <c r="K334" s="6">
        <f t="shared" si="16"/>
        <v>6</v>
      </c>
      <c r="L334" s="6" t="str">
        <f t="shared" si="17"/>
        <v>JUNIO</v>
      </c>
    </row>
    <row r="335" spans="1:12" x14ac:dyDescent="0.25">
      <c r="A335" s="5">
        <f t="shared" si="15"/>
        <v>2025</v>
      </c>
      <c r="B335" s="18" t="s">
        <v>1140</v>
      </c>
      <c r="C335" s="18" t="s">
        <v>595</v>
      </c>
      <c r="D335" s="12">
        <v>6218</v>
      </c>
      <c r="E335" s="17" t="s">
        <v>971</v>
      </c>
      <c r="F335" s="12" t="s">
        <v>972</v>
      </c>
      <c r="G335" s="14">
        <v>1</v>
      </c>
      <c r="H335" s="24">
        <v>34800</v>
      </c>
      <c r="I335" s="12" t="s">
        <v>546</v>
      </c>
      <c r="J335" s="6" t="s">
        <v>610</v>
      </c>
      <c r="K335" s="6">
        <f t="shared" si="16"/>
        <v>8</v>
      </c>
      <c r="L335" s="6" t="str">
        <f t="shared" si="17"/>
        <v>AGOSTO</v>
      </c>
    </row>
    <row r="336" spans="1:12" x14ac:dyDescent="0.25">
      <c r="A336" s="5">
        <f t="shared" si="15"/>
        <v>2025</v>
      </c>
      <c r="B336" s="18" t="s">
        <v>1190</v>
      </c>
      <c r="C336" s="18" t="s">
        <v>595</v>
      </c>
      <c r="D336" s="12">
        <v>6304</v>
      </c>
      <c r="E336" s="17">
        <v>4303336</v>
      </c>
      <c r="F336" s="12" t="s">
        <v>261</v>
      </c>
      <c r="G336" s="14">
        <v>2</v>
      </c>
      <c r="H336" s="24">
        <v>14000</v>
      </c>
      <c r="I336" s="12" t="s">
        <v>712</v>
      </c>
      <c r="J336" s="6" t="s">
        <v>608</v>
      </c>
      <c r="K336" s="6">
        <f t="shared" si="16"/>
        <v>10</v>
      </c>
      <c r="L336" s="6" t="str">
        <f t="shared" si="17"/>
        <v>OCTUBRE</v>
      </c>
    </row>
    <row r="337" spans="1:12" x14ac:dyDescent="0.25">
      <c r="A337" s="5">
        <f t="shared" si="15"/>
        <v>2025</v>
      </c>
      <c r="B337" s="18" t="s">
        <v>1190</v>
      </c>
      <c r="C337" s="18" t="s">
        <v>595</v>
      </c>
      <c r="D337" s="12">
        <v>6304</v>
      </c>
      <c r="E337" s="17" t="s">
        <v>472</v>
      </c>
      <c r="F337" s="12" t="s">
        <v>473</v>
      </c>
      <c r="G337" s="14">
        <v>1</v>
      </c>
      <c r="H337" s="24">
        <v>49000</v>
      </c>
      <c r="I337" s="12" t="s">
        <v>712</v>
      </c>
      <c r="J337" s="6" t="s">
        <v>608</v>
      </c>
      <c r="K337" s="6">
        <f t="shared" si="16"/>
        <v>10</v>
      </c>
      <c r="L337" s="6" t="str">
        <f t="shared" si="17"/>
        <v>OCTUBRE</v>
      </c>
    </row>
    <row r="338" spans="1:12" x14ac:dyDescent="0.25">
      <c r="A338" s="5">
        <f t="shared" si="15"/>
        <v>2025</v>
      </c>
      <c r="B338" s="18" t="s">
        <v>1190</v>
      </c>
      <c r="C338" s="18" t="s">
        <v>595</v>
      </c>
      <c r="D338" s="12">
        <v>6309</v>
      </c>
      <c r="E338" s="17" t="s">
        <v>1182</v>
      </c>
      <c r="F338" s="12" t="s">
        <v>205</v>
      </c>
      <c r="G338" s="14">
        <v>3</v>
      </c>
      <c r="H338" s="24">
        <v>127500</v>
      </c>
      <c r="I338" s="12" t="s">
        <v>634</v>
      </c>
      <c r="J338" s="6" t="s">
        <v>614</v>
      </c>
      <c r="K338" s="6">
        <f t="shared" si="16"/>
        <v>10</v>
      </c>
      <c r="L338" s="6" t="str">
        <f t="shared" si="17"/>
        <v>OCTUBRE</v>
      </c>
    </row>
    <row r="339" spans="1:12" x14ac:dyDescent="0.25">
      <c r="A339" s="5">
        <f t="shared" si="15"/>
        <v>2025</v>
      </c>
      <c r="B339" s="18" t="s">
        <v>1271</v>
      </c>
      <c r="C339" s="18" t="s">
        <v>595</v>
      </c>
      <c r="D339" s="12">
        <v>6362</v>
      </c>
      <c r="E339" s="17" t="s">
        <v>971</v>
      </c>
      <c r="F339" s="12" t="s">
        <v>972</v>
      </c>
      <c r="G339" s="14">
        <v>2</v>
      </c>
      <c r="H339" s="24">
        <v>69600</v>
      </c>
      <c r="I339" s="12" t="s">
        <v>546</v>
      </c>
      <c r="J339" s="6" t="s">
        <v>610</v>
      </c>
      <c r="K339" s="6">
        <f t="shared" si="16"/>
        <v>11</v>
      </c>
      <c r="L339" s="6" t="str">
        <f t="shared" si="17"/>
        <v>NOVIEMBRE</v>
      </c>
    </row>
    <row r="340" spans="1:12" x14ac:dyDescent="0.25">
      <c r="A340" s="5">
        <f t="shared" si="15"/>
        <v>2025</v>
      </c>
      <c r="B340" s="18" t="s">
        <v>1368</v>
      </c>
      <c r="C340" s="18" t="s">
        <v>595</v>
      </c>
      <c r="D340" s="12">
        <v>6409</v>
      </c>
      <c r="E340" s="17" t="s">
        <v>245</v>
      </c>
      <c r="F340" s="12" t="s">
        <v>246</v>
      </c>
      <c r="G340" s="14">
        <v>20</v>
      </c>
      <c r="H340" s="24">
        <v>130000</v>
      </c>
      <c r="I340" s="12" t="s">
        <v>634</v>
      </c>
      <c r="J340" s="6" t="s">
        <v>614</v>
      </c>
      <c r="K340" s="6">
        <f t="shared" si="16"/>
        <v>12</v>
      </c>
      <c r="L340" s="6" t="str">
        <f t="shared" si="17"/>
        <v>DICIEMBRE</v>
      </c>
    </row>
    <row r="341" spans="1:12" x14ac:dyDescent="0.25">
      <c r="A341" s="5">
        <f t="shared" si="15"/>
        <v>2025</v>
      </c>
      <c r="B341" s="18" t="s">
        <v>1263</v>
      </c>
      <c r="C341" s="18" t="s">
        <v>595</v>
      </c>
      <c r="D341" s="12">
        <v>6355</v>
      </c>
      <c r="E341" s="17" t="s">
        <v>1016</v>
      </c>
      <c r="F341" s="12" t="s">
        <v>1017</v>
      </c>
      <c r="G341" s="14">
        <v>1</v>
      </c>
      <c r="H341" s="24">
        <v>440000</v>
      </c>
      <c r="I341" s="12" t="s">
        <v>712</v>
      </c>
      <c r="J341" s="6" t="s">
        <v>608</v>
      </c>
      <c r="K341" s="6">
        <f t="shared" si="16"/>
        <v>11</v>
      </c>
      <c r="L341" s="6" t="str">
        <f t="shared" si="17"/>
        <v>NOVIEMBRE</v>
      </c>
    </row>
    <row r="342" spans="1:12" x14ac:dyDescent="0.25">
      <c r="A342" s="5">
        <f t="shared" si="15"/>
        <v>2025</v>
      </c>
      <c r="B342" s="18" t="s">
        <v>939</v>
      </c>
      <c r="C342" s="18" t="s">
        <v>595</v>
      </c>
      <c r="D342" s="12">
        <v>5899</v>
      </c>
      <c r="E342" s="17" t="s">
        <v>392</v>
      </c>
      <c r="F342" s="12" t="s">
        <v>393</v>
      </c>
      <c r="G342" s="14">
        <v>2</v>
      </c>
      <c r="H342" s="24">
        <v>106000</v>
      </c>
      <c r="I342" s="12" t="s">
        <v>712</v>
      </c>
      <c r="J342" s="6" t="s">
        <v>608</v>
      </c>
      <c r="K342" s="6">
        <f t="shared" si="16"/>
        <v>3</v>
      </c>
      <c r="L342" s="6" t="str">
        <f t="shared" si="17"/>
        <v>MARZO</v>
      </c>
    </row>
    <row r="343" spans="1:12" x14ac:dyDescent="0.25">
      <c r="A343" s="5">
        <f t="shared" si="15"/>
        <v>2025</v>
      </c>
      <c r="B343" s="18" t="s">
        <v>1209</v>
      </c>
      <c r="C343" s="18" t="s">
        <v>595</v>
      </c>
      <c r="D343" s="12">
        <v>6311</v>
      </c>
      <c r="E343" s="17">
        <v>127760</v>
      </c>
      <c r="F343" s="12" t="s">
        <v>382</v>
      </c>
      <c r="G343" s="14">
        <v>1</v>
      </c>
      <c r="H343" s="24">
        <v>97000</v>
      </c>
      <c r="I343" s="12" t="s">
        <v>712</v>
      </c>
      <c r="J343" s="6" t="s">
        <v>608</v>
      </c>
      <c r="K343" s="6">
        <f t="shared" si="16"/>
        <v>10</v>
      </c>
      <c r="L343" s="6" t="str">
        <f t="shared" si="17"/>
        <v>OCTUBRE</v>
      </c>
    </row>
    <row r="344" spans="1:12" x14ac:dyDescent="0.25">
      <c r="A344" s="5">
        <f t="shared" si="15"/>
        <v>2025</v>
      </c>
      <c r="B344" s="18" t="s">
        <v>1027</v>
      </c>
      <c r="C344" s="18" t="s">
        <v>595</v>
      </c>
      <c r="D344" s="12">
        <v>6083</v>
      </c>
      <c r="E344" s="17" t="s">
        <v>517</v>
      </c>
      <c r="F344" s="12" t="s">
        <v>518</v>
      </c>
      <c r="G344" s="14">
        <v>1</v>
      </c>
      <c r="H344" s="24">
        <v>326000</v>
      </c>
      <c r="I344" s="12" t="s">
        <v>712</v>
      </c>
      <c r="J344" s="6" t="s">
        <v>608</v>
      </c>
      <c r="K344" s="6">
        <f t="shared" si="16"/>
        <v>5</v>
      </c>
      <c r="L344" s="6" t="str">
        <f t="shared" si="17"/>
        <v>MAYO</v>
      </c>
    </row>
    <row r="345" spans="1:12" x14ac:dyDescent="0.25">
      <c r="A345" s="5">
        <f t="shared" si="15"/>
        <v>2025</v>
      </c>
      <c r="B345" s="18" t="s">
        <v>998</v>
      </c>
      <c r="C345" s="18" t="s">
        <v>595</v>
      </c>
      <c r="D345" s="12">
        <v>6028</v>
      </c>
      <c r="E345" s="17" t="s">
        <v>496</v>
      </c>
      <c r="F345" s="12" t="s">
        <v>497</v>
      </c>
      <c r="G345" s="14">
        <v>1</v>
      </c>
      <c r="H345" s="24">
        <v>295000</v>
      </c>
      <c r="I345" s="12" t="s">
        <v>712</v>
      </c>
      <c r="J345" s="6" t="s">
        <v>608</v>
      </c>
      <c r="K345" s="6">
        <f t="shared" si="16"/>
        <v>4</v>
      </c>
      <c r="L345" s="6" t="str">
        <f t="shared" si="17"/>
        <v>ABRIL</v>
      </c>
    </row>
    <row r="346" spans="1:12" x14ac:dyDescent="0.25">
      <c r="A346" s="5">
        <f t="shared" si="15"/>
        <v>2025</v>
      </c>
      <c r="B346" s="18" t="s">
        <v>1082</v>
      </c>
      <c r="C346" s="18" t="s">
        <v>595</v>
      </c>
      <c r="D346" s="12">
        <v>6156</v>
      </c>
      <c r="E346" s="17" t="s">
        <v>600</v>
      </c>
      <c r="F346" s="12" t="s">
        <v>604</v>
      </c>
      <c r="G346" s="14">
        <v>2</v>
      </c>
      <c r="H346" s="24">
        <v>151800</v>
      </c>
      <c r="I346" s="12" t="s">
        <v>712</v>
      </c>
      <c r="J346" s="6" t="s">
        <v>608</v>
      </c>
      <c r="K346" s="6">
        <f t="shared" si="16"/>
        <v>7</v>
      </c>
      <c r="L346" s="6" t="str">
        <f t="shared" si="17"/>
        <v>JULIO</v>
      </c>
    </row>
    <row r="347" spans="1:12" x14ac:dyDescent="0.25">
      <c r="A347" s="5">
        <f t="shared" si="15"/>
        <v>2025</v>
      </c>
      <c r="B347" s="18" t="s">
        <v>998</v>
      </c>
      <c r="C347" s="18" t="s">
        <v>595</v>
      </c>
      <c r="D347" s="12">
        <v>6028</v>
      </c>
      <c r="E347" s="17">
        <v>23519651</v>
      </c>
      <c r="F347" s="12" t="s">
        <v>667</v>
      </c>
      <c r="G347" s="14">
        <v>1</v>
      </c>
      <c r="H347" s="24">
        <v>240000</v>
      </c>
      <c r="I347" s="12" t="s">
        <v>712</v>
      </c>
      <c r="J347" s="6" t="s">
        <v>608</v>
      </c>
      <c r="K347" s="6">
        <f t="shared" si="16"/>
        <v>4</v>
      </c>
      <c r="L347" s="6" t="str">
        <f t="shared" si="17"/>
        <v>ABRIL</v>
      </c>
    </row>
    <row r="348" spans="1:12" x14ac:dyDescent="0.25">
      <c r="A348" s="5">
        <f t="shared" si="15"/>
        <v>2025</v>
      </c>
      <c r="B348" s="18" t="s">
        <v>1025</v>
      </c>
      <c r="C348" s="18" t="s">
        <v>595</v>
      </c>
      <c r="D348" s="12">
        <v>6073</v>
      </c>
      <c r="E348" s="17" t="s">
        <v>517</v>
      </c>
      <c r="F348" s="12" t="s">
        <v>518</v>
      </c>
      <c r="G348" s="14">
        <v>1</v>
      </c>
      <c r="H348" s="24">
        <v>326000</v>
      </c>
      <c r="I348" s="12" t="s">
        <v>712</v>
      </c>
      <c r="J348" s="6" t="s">
        <v>608</v>
      </c>
      <c r="K348" s="6">
        <f t="shared" si="16"/>
        <v>5</v>
      </c>
      <c r="L348" s="6" t="str">
        <f t="shared" si="17"/>
        <v>MAYO</v>
      </c>
    </row>
    <row r="349" spans="1:12" x14ac:dyDescent="0.25">
      <c r="A349" s="5">
        <f t="shared" si="15"/>
        <v>2025</v>
      </c>
      <c r="B349" s="18" t="s">
        <v>1000</v>
      </c>
      <c r="C349" s="18" t="s">
        <v>595</v>
      </c>
      <c r="D349" s="12">
        <v>6037</v>
      </c>
      <c r="E349" s="17" t="s">
        <v>76</v>
      </c>
      <c r="F349" s="12" t="s">
        <v>77</v>
      </c>
      <c r="G349" s="14">
        <v>1</v>
      </c>
      <c r="H349" s="24">
        <v>1407</v>
      </c>
      <c r="I349" s="12" t="s">
        <v>712</v>
      </c>
      <c r="J349" s="6" t="s">
        <v>608</v>
      </c>
      <c r="K349" s="6">
        <f t="shared" si="16"/>
        <v>5</v>
      </c>
      <c r="L349" s="6" t="str">
        <f t="shared" si="17"/>
        <v>MAYO</v>
      </c>
    </row>
    <row r="350" spans="1:12" x14ac:dyDescent="0.25">
      <c r="A350" s="5">
        <f t="shared" si="15"/>
        <v>2025</v>
      </c>
      <c r="B350" s="18" t="s">
        <v>1000</v>
      </c>
      <c r="C350" s="18" t="s">
        <v>595</v>
      </c>
      <c r="D350" s="12">
        <v>6037</v>
      </c>
      <c r="E350" s="17" t="s">
        <v>56</v>
      </c>
      <c r="F350" s="12" t="s">
        <v>57</v>
      </c>
      <c r="G350" s="14">
        <v>2</v>
      </c>
      <c r="H350" s="24">
        <v>44098</v>
      </c>
      <c r="I350" s="12" t="s">
        <v>712</v>
      </c>
      <c r="J350" s="6" t="s">
        <v>608</v>
      </c>
      <c r="K350" s="6">
        <f t="shared" si="16"/>
        <v>5</v>
      </c>
      <c r="L350" s="6" t="str">
        <f t="shared" si="17"/>
        <v>MAYO</v>
      </c>
    </row>
    <row r="351" spans="1:12" x14ac:dyDescent="0.25">
      <c r="A351" s="5">
        <f t="shared" si="15"/>
        <v>2025</v>
      </c>
      <c r="B351" s="18" t="s">
        <v>1000</v>
      </c>
      <c r="C351" s="18" t="s">
        <v>595</v>
      </c>
      <c r="D351" s="12">
        <v>6037</v>
      </c>
      <c r="E351" s="17" t="s">
        <v>517</v>
      </c>
      <c r="F351" s="12" t="s">
        <v>518</v>
      </c>
      <c r="G351" s="14">
        <v>1</v>
      </c>
      <c r="H351" s="24">
        <v>326000</v>
      </c>
      <c r="I351" s="12" t="s">
        <v>712</v>
      </c>
      <c r="J351" s="6" t="s">
        <v>608</v>
      </c>
      <c r="K351" s="6">
        <f t="shared" si="16"/>
        <v>5</v>
      </c>
      <c r="L351" s="6" t="str">
        <f t="shared" si="17"/>
        <v>MAYO</v>
      </c>
    </row>
    <row r="352" spans="1:12" x14ac:dyDescent="0.25">
      <c r="A352" s="5">
        <f t="shared" si="15"/>
        <v>2025</v>
      </c>
      <c r="B352" s="18" t="s">
        <v>1127</v>
      </c>
      <c r="C352" s="18" t="s">
        <v>595</v>
      </c>
      <c r="D352" s="12">
        <v>6207</v>
      </c>
      <c r="E352" s="17" t="s">
        <v>395</v>
      </c>
      <c r="F352" s="12" t="s">
        <v>396</v>
      </c>
      <c r="G352" s="14">
        <v>2</v>
      </c>
      <c r="H352" s="24">
        <v>316000</v>
      </c>
      <c r="I352" s="12" t="s">
        <v>712</v>
      </c>
      <c r="J352" s="6" t="s">
        <v>608</v>
      </c>
      <c r="K352" s="6">
        <f t="shared" si="16"/>
        <v>8</v>
      </c>
      <c r="L352" s="6" t="str">
        <f t="shared" si="17"/>
        <v>AGOSTO</v>
      </c>
    </row>
    <row r="353" spans="1:14" x14ac:dyDescent="0.25">
      <c r="A353" s="5">
        <f t="shared" si="15"/>
        <v>2025</v>
      </c>
      <c r="B353" s="18" t="s">
        <v>1127</v>
      </c>
      <c r="C353" s="18" t="s">
        <v>595</v>
      </c>
      <c r="D353" s="12">
        <v>6207</v>
      </c>
      <c r="E353" s="17">
        <v>5566510</v>
      </c>
      <c r="F353" s="12" t="s">
        <v>324</v>
      </c>
      <c r="G353" s="14">
        <v>1</v>
      </c>
      <c r="H353" s="24">
        <v>339000</v>
      </c>
      <c r="I353" s="12" t="s">
        <v>712</v>
      </c>
      <c r="J353" s="6" t="s">
        <v>608</v>
      </c>
      <c r="K353" s="6">
        <f t="shared" si="16"/>
        <v>8</v>
      </c>
      <c r="L353" s="6" t="str">
        <f t="shared" si="17"/>
        <v>AGOSTO</v>
      </c>
    </row>
    <row r="354" spans="1:14" x14ac:dyDescent="0.25">
      <c r="A354" s="5">
        <f t="shared" si="15"/>
        <v>2025</v>
      </c>
      <c r="B354" s="18" t="s">
        <v>1127</v>
      </c>
      <c r="C354" s="18" t="s">
        <v>595</v>
      </c>
      <c r="D354" s="12">
        <v>6207</v>
      </c>
      <c r="E354" s="17" t="s">
        <v>119</v>
      </c>
      <c r="F354" s="12" t="s">
        <v>120</v>
      </c>
      <c r="G354" s="14">
        <v>1</v>
      </c>
      <c r="H354" s="24">
        <v>166000</v>
      </c>
      <c r="I354" s="12" t="s">
        <v>712</v>
      </c>
      <c r="J354" s="6" t="s">
        <v>608</v>
      </c>
      <c r="K354" s="6">
        <f t="shared" si="16"/>
        <v>8</v>
      </c>
      <c r="L354" s="6" t="str">
        <f t="shared" si="17"/>
        <v>AGOSTO</v>
      </c>
    </row>
    <row r="355" spans="1:14" x14ac:dyDescent="0.25">
      <c r="A355" s="5">
        <f t="shared" si="15"/>
        <v>2025</v>
      </c>
      <c r="B355" s="18" t="s">
        <v>1127</v>
      </c>
      <c r="C355" s="18" t="s">
        <v>595</v>
      </c>
      <c r="D355" s="12">
        <v>6207</v>
      </c>
      <c r="E355" s="17" t="s">
        <v>251</v>
      </c>
      <c r="F355" s="12" t="s">
        <v>252</v>
      </c>
      <c r="G355" s="14">
        <v>1</v>
      </c>
      <c r="H355" s="24">
        <v>60000</v>
      </c>
      <c r="I355" s="12" t="s">
        <v>712</v>
      </c>
      <c r="J355" s="6" t="s">
        <v>608</v>
      </c>
      <c r="K355" s="6">
        <f t="shared" si="16"/>
        <v>8</v>
      </c>
      <c r="L355" s="6" t="str">
        <f t="shared" si="17"/>
        <v>AGOSTO</v>
      </c>
    </row>
    <row r="356" spans="1:14" x14ac:dyDescent="0.25">
      <c r="A356" s="5">
        <f t="shared" si="15"/>
        <v>2025</v>
      </c>
      <c r="B356" s="18" t="s">
        <v>969</v>
      </c>
      <c r="C356" s="18" t="s">
        <v>595</v>
      </c>
      <c r="D356" s="12">
        <v>5995</v>
      </c>
      <c r="E356" s="17" t="s">
        <v>95</v>
      </c>
      <c r="F356" s="12" t="s">
        <v>96</v>
      </c>
      <c r="G356" s="14">
        <v>4</v>
      </c>
      <c r="H356" s="24">
        <v>1000000</v>
      </c>
      <c r="I356" s="12" t="s">
        <v>712</v>
      </c>
      <c r="J356" s="6" t="s">
        <v>608</v>
      </c>
      <c r="K356" s="6">
        <f t="shared" si="16"/>
        <v>4</v>
      </c>
      <c r="L356" s="6" t="str">
        <f t="shared" si="17"/>
        <v>ABRIL</v>
      </c>
    </row>
    <row r="357" spans="1:14" x14ac:dyDescent="0.25">
      <c r="A357" s="5">
        <f t="shared" si="15"/>
        <v>2025</v>
      </c>
      <c r="B357" s="18" t="s">
        <v>969</v>
      </c>
      <c r="C357" s="18" t="s">
        <v>595</v>
      </c>
      <c r="D357" s="12">
        <v>5995</v>
      </c>
      <c r="E357" s="17" t="s">
        <v>451</v>
      </c>
      <c r="F357" s="12" t="s">
        <v>452</v>
      </c>
      <c r="G357" s="14">
        <v>1</v>
      </c>
      <c r="H357" s="24">
        <v>329000</v>
      </c>
      <c r="I357" s="12" t="s">
        <v>712</v>
      </c>
      <c r="J357" s="6" t="s">
        <v>608</v>
      </c>
      <c r="K357" s="6">
        <f t="shared" si="16"/>
        <v>4</v>
      </c>
      <c r="L357" s="6" t="str">
        <f t="shared" si="17"/>
        <v>ABRIL</v>
      </c>
    </row>
    <row r="358" spans="1:14" x14ac:dyDescent="0.25">
      <c r="A358" s="5">
        <f t="shared" si="15"/>
        <v>2025</v>
      </c>
      <c r="B358" s="18" t="s">
        <v>969</v>
      </c>
      <c r="C358" s="18" t="s">
        <v>595</v>
      </c>
      <c r="D358" s="12">
        <v>5995</v>
      </c>
      <c r="E358" s="17">
        <v>4302082</v>
      </c>
      <c r="F358" s="12" t="s">
        <v>83</v>
      </c>
      <c r="G358" s="14">
        <v>2</v>
      </c>
      <c r="H358" s="24">
        <v>4400</v>
      </c>
      <c r="I358" s="12" t="s">
        <v>712</v>
      </c>
      <c r="J358" s="6" t="s">
        <v>608</v>
      </c>
      <c r="K358" s="6">
        <f t="shared" si="16"/>
        <v>4</v>
      </c>
      <c r="L358" s="6" t="str">
        <f t="shared" si="17"/>
        <v>ABRIL</v>
      </c>
    </row>
    <row r="359" spans="1:14" x14ac:dyDescent="0.25">
      <c r="A359" s="5">
        <f t="shared" si="15"/>
        <v>2025</v>
      </c>
      <c r="B359" s="18" t="s">
        <v>969</v>
      </c>
      <c r="C359" s="18" t="s">
        <v>595</v>
      </c>
      <c r="D359" s="12">
        <v>5995</v>
      </c>
      <c r="E359" s="17" t="s">
        <v>255</v>
      </c>
      <c r="F359" s="12" t="s">
        <v>256</v>
      </c>
      <c r="G359" s="14">
        <v>1</v>
      </c>
      <c r="H359" s="24">
        <v>85000</v>
      </c>
      <c r="I359" s="12" t="s">
        <v>712</v>
      </c>
      <c r="J359" s="6" t="s">
        <v>608</v>
      </c>
      <c r="K359" s="6">
        <f t="shared" si="16"/>
        <v>4</v>
      </c>
      <c r="L359" s="6" t="str">
        <f t="shared" si="17"/>
        <v>ABRIL</v>
      </c>
    </row>
    <row r="360" spans="1:14" x14ac:dyDescent="0.25">
      <c r="A360" s="5">
        <f t="shared" si="15"/>
        <v>2025</v>
      </c>
      <c r="B360" s="18" t="s">
        <v>969</v>
      </c>
      <c r="C360" s="18" t="s">
        <v>595</v>
      </c>
      <c r="D360" s="12">
        <v>5995</v>
      </c>
      <c r="E360" s="17" t="s">
        <v>457</v>
      </c>
      <c r="F360" s="12" t="s">
        <v>458</v>
      </c>
      <c r="G360" s="14">
        <v>2</v>
      </c>
      <c r="H360" s="24">
        <v>1760000</v>
      </c>
      <c r="I360" s="12" t="s">
        <v>712</v>
      </c>
      <c r="J360" s="6" t="s">
        <v>608</v>
      </c>
      <c r="K360" s="6">
        <f t="shared" si="16"/>
        <v>4</v>
      </c>
      <c r="L360" s="6" t="str">
        <f t="shared" si="17"/>
        <v>ABRIL</v>
      </c>
    </row>
    <row r="361" spans="1:14" x14ac:dyDescent="0.25">
      <c r="A361" s="5">
        <f t="shared" si="15"/>
        <v>2025</v>
      </c>
      <c r="B361" s="18" t="s">
        <v>969</v>
      </c>
      <c r="C361" s="18" t="s">
        <v>595</v>
      </c>
      <c r="D361" s="12">
        <v>5995</v>
      </c>
      <c r="E361" s="17" t="s">
        <v>186</v>
      </c>
      <c r="F361" s="12" t="s">
        <v>187</v>
      </c>
      <c r="G361" s="14">
        <v>2</v>
      </c>
      <c r="H361" s="24">
        <v>126000</v>
      </c>
      <c r="I361" s="12" t="s">
        <v>712</v>
      </c>
      <c r="J361" s="6" t="s">
        <v>608</v>
      </c>
      <c r="K361" s="6">
        <f t="shared" si="16"/>
        <v>4</v>
      </c>
      <c r="L361" s="6" t="str">
        <f t="shared" si="17"/>
        <v>ABRIL</v>
      </c>
    </row>
    <row r="362" spans="1:14" x14ac:dyDescent="0.25">
      <c r="A362" s="5">
        <f t="shared" si="15"/>
        <v>2025</v>
      </c>
      <c r="B362" s="18" t="s">
        <v>1000</v>
      </c>
      <c r="C362" s="18" t="s">
        <v>595</v>
      </c>
      <c r="D362" s="12">
        <v>6037</v>
      </c>
      <c r="E362" s="17" t="s">
        <v>140</v>
      </c>
      <c r="F362" s="12" t="s">
        <v>141</v>
      </c>
      <c r="G362" s="14">
        <v>1</v>
      </c>
      <c r="H362" s="24">
        <v>50000</v>
      </c>
      <c r="I362" s="12" t="s">
        <v>712</v>
      </c>
      <c r="J362" s="6" t="s">
        <v>608</v>
      </c>
      <c r="K362" s="6">
        <f t="shared" si="16"/>
        <v>5</v>
      </c>
      <c r="L362" s="6" t="str">
        <f t="shared" si="17"/>
        <v>MAYO</v>
      </c>
    </row>
    <row r="363" spans="1:14" x14ac:dyDescent="0.25">
      <c r="A363" s="5">
        <f t="shared" si="15"/>
        <v>2025</v>
      </c>
      <c r="B363" s="18" t="s">
        <v>1107</v>
      </c>
      <c r="C363" s="18" t="s">
        <v>595</v>
      </c>
      <c r="D363" s="12">
        <v>6180</v>
      </c>
      <c r="E363" s="17" t="s">
        <v>333</v>
      </c>
      <c r="F363" s="12" t="s">
        <v>334</v>
      </c>
      <c r="G363" s="14">
        <v>2</v>
      </c>
      <c r="H363" s="24">
        <v>960000</v>
      </c>
      <c r="I363" s="12" t="s">
        <v>712</v>
      </c>
      <c r="J363" s="6" t="s">
        <v>608</v>
      </c>
      <c r="K363" s="6">
        <f t="shared" si="16"/>
        <v>7</v>
      </c>
      <c r="L363" s="6" t="str">
        <f t="shared" si="17"/>
        <v>JULIO</v>
      </c>
    </row>
    <row r="364" spans="1:14" x14ac:dyDescent="0.25">
      <c r="A364" s="5">
        <f t="shared" si="15"/>
        <v>2025</v>
      </c>
      <c r="B364" s="18" t="s">
        <v>970</v>
      </c>
      <c r="C364" s="18" t="s">
        <v>595</v>
      </c>
      <c r="D364" s="12">
        <v>6013</v>
      </c>
      <c r="E364" s="17" t="s">
        <v>586</v>
      </c>
      <c r="F364" s="12" t="s">
        <v>587</v>
      </c>
      <c r="G364" s="14">
        <v>1</v>
      </c>
      <c r="H364" s="24">
        <v>81000</v>
      </c>
      <c r="I364" s="12" t="s">
        <v>712</v>
      </c>
      <c r="J364" s="6" t="s">
        <v>608</v>
      </c>
      <c r="K364" s="6">
        <f t="shared" si="16"/>
        <v>4</v>
      </c>
      <c r="L364" s="6" t="str">
        <f t="shared" si="17"/>
        <v>ABRIL</v>
      </c>
    </row>
    <row r="365" spans="1:14" x14ac:dyDescent="0.25">
      <c r="A365" s="5">
        <f t="shared" si="15"/>
        <v>2025</v>
      </c>
      <c r="B365" s="18" t="s">
        <v>999</v>
      </c>
      <c r="C365" s="18" t="s">
        <v>595</v>
      </c>
      <c r="D365" s="12">
        <v>6041</v>
      </c>
      <c r="E365" s="17" t="s">
        <v>289</v>
      </c>
      <c r="F365" s="12" t="s">
        <v>290</v>
      </c>
      <c r="G365" s="14">
        <v>1</v>
      </c>
      <c r="H365" s="24">
        <v>680000</v>
      </c>
      <c r="I365" s="12" t="s">
        <v>712</v>
      </c>
      <c r="J365" s="6" t="s">
        <v>608</v>
      </c>
      <c r="K365" s="6">
        <f t="shared" si="16"/>
        <v>5</v>
      </c>
      <c r="L365" s="6" t="str">
        <f t="shared" si="17"/>
        <v>MAYO</v>
      </c>
    </row>
    <row r="366" spans="1:14" x14ac:dyDescent="0.25">
      <c r="A366" s="5">
        <f t="shared" si="15"/>
        <v>2025</v>
      </c>
      <c r="B366" s="18" t="s">
        <v>970</v>
      </c>
      <c r="C366" s="18" t="s">
        <v>595</v>
      </c>
      <c r="D366" s="12">
        <v>6013</v>
      </c>
      <c r="E366" s="17" t="s">
        <v>26</v>
      </c>
      <c r="F366" s="12" t="s">
        <v>585</v>
      </c>
      <c r="G366" s="14">
        <v>1</v>
      </c>
      <c r="H366" s="24">
        <v>139700</v>
      </c>
      <c r="I366" s="12" t="s">
        <v>712</v>
      </c>
      <c r="J366" s="6" t="s">
        <v>608</v>
      </c>
      <c r="K366" s="6">
        <f t="shared" si="16"/>
        <v>4</v>
      </c>
      <c r="L366" s="6" t="str">
        <f t="shared" si="17"/>
        <v>ABRIL</v>
      </c>
      <c r="M366" s="11"/>
      <c r="N366" s="11"/>
    </row>
    <row r="367" spans="1:14" x14ac:dyDescent="0.25">
      <c r="A367" s="5">
        <f t="shared" si="15"/>
        <v>2025</v>
      </c>
      <c r="B367" s="18" t="s">
        <v>1052</v>
      </c>
      <c r="C367" s="18" t="s">
        <v>595</v>
      </c>
      <c r="D367" s="12">
        <v>6101</v>
      </c>
      <c r="E367" s="17">
        <v>4302082</v>
      </c>
      <c r="F367" s="12" t="s">
        <v>83</v>
      </c>
      <c r="G367" s="14">
        <v>1</v>
      </c>
      <c r="H367" s="24">
        <v>2200</v>
      </c>
      <c r="I367" s="12" t="s">
        <v>712</v>
      </c>
      <c r="J367" s="6" t="s">
        <v>608</v>
      </c>
      <c r="K367" s="6">
        <f t="shared" si="16"/>
        <v>6</v>
      </c>
      <c r="L367" s="6" t="str">
        <f t="shared" si="17"/>
        <v>JUNIO</v>
      </c>
    </row>
    <row r="368" spans="1:14" x14ac:dyDescent="0.25">
      <c r="A368" s="5">
        <f t="shared" si="15"/>
        <v>2025</v>
      </c>
      <c r="B368" s="18" t="s">
        <v>1052</v>
      </c>
      <c r="C368" s="18" t="s">
        <v>595</v>
      </c>
      <c r="D368" s="12">
        <v>6101</v>
      </c>
      <c r="E368" s="17" t="s">
        <v>198</v>
      </c>
      <c r="F368" s="12" t="s">
        <v>199</v>
      </c>
      <c r="G368" s="14">
        <v>1</v>
      </c>
      <c r="H368" s="24">
        <v>317300</v>
      </c>
      <c r="I368" s="12" t="s">
        <v>712</v>
      </c>
      <c r="J368" s="6" t="s">
        <v>608</v>
      </c>
      <c r="K368" s="6">
        <f t="shared" si="16"/>
        <v>6</v>
      </c>
      <c r="L368" s="6" t="str">
        <f t="shared" si="17"/>
        <v>JUNIO</v>
      </c>
    </row>
    <row r="369" spans="1:12" x14ac:dyDescent="0.25">
      <c r="A369" s="5">
        <f t="shared" si="15"/>
        <v>2025</v>
      </c>
      <c r="B369" s="18" t="s">
        <v>1052</v>
      </c>
      <c r="C369" s="18" t="s">
        <v>595</v>
      </c>
      <c r="D369" s="12">
        <v>6101</v>
      </c>
      <c r="E369" s="17" t="s">
        <v>977</v>
      </c>
      <c r="F369" s="12" t="s">
        <v>108</v>
      </c>
      <c r="G369" s="14">
        <v>1</v>
      </c>
      <c r="H369" s="24">
        <v>75000</v>
      </c>
      <c r="I369" s="12" t="s">
        <v>712</v>
      </c>
      <c r="J369" s="6" t="s">
        <v>608</v>
      </c>
      <c r="K369" s="6">
        <f t="shared" si="16"/>
        <v>6</v>
      </c>
      <c r="L369" s="6" t="str">
        <f t="shared" si="17"/>
        <v>JUNIO</v>
      </c>
    </row>
    <row r="370" spans="1:12" x14ac:dyDescent="0.25">
      <c r="A370" s="5">
        <f t="shared" si="15"/>
        <v>2025</v>
      </c>
      <c r="B370" s="18" t="s">
        <v>1052</v>
      </c>
      <c r="C370" s="18" t="s">
        <v>595</v>
      </c>
      <c r="D370" s="12">
        <v>6101</v>
      </c>
      <c r="E370" s="17">
        <v>16980</v>
      </c>
      <c r="F370" s="12" t="s">
        <v>154</v>
      </c>
      <c r="G370" s="14">
        <v>1</v>
      </c>
      <c r="H370" s="24">
        <v>3700</v>
      </c>
      <c r="I370" s="12" t="s">
        <v>712</v>
      </c>
      <c r="J370" s="6" t="s">
        <v>608</v>
      </c>
      <c r="K370" s="6">
        <f t="shared" si="16"/>
        <v>6</v>
      </c>
      <c r="L370" s="6" t="str">
        <f t="shared" si="17"/>
        <v>JUNIO</v>
      </c>
    </row>
    <row r="371" spans="1:12" x14ac:dyDescent="0.25">
      <c r="A371" s="5">
        <f t="shared" si="15"/>
        <v>2025</v>
      </c>
      <c r="B371" s="18" t="s">
        <v>1052</v>
      </c>
      <c r="C371" s="18" t="s">
        <v>595</v>
      </c>
      <c r="D371" s="12">
        <v>6101</v>
      </c>
      <c r="E371" s="17" t="s">
        <v>716</v>
      </c>
      <c r="F371" s="12" t="s">
        <v>945</v>
      </c>
      <c r="G371" s="14">
        <v>1</v>
      </c>
      <c r="H371" s="24">
        <v>71000</v>
      </c>
      <c r="I371" s="12" t="s">
        <v>712</v>
      </c>
      <c r="J371" s="6" t="s">
        <v>608</v>
      </c>
      <c r="K371" s="6">
        <f t="shared" si="16"/>
        <v>6</v>
      </c>
      <c r="L371" s="6" t="str">
        <f t="shared" si="17"/>
        <v>JUNIO</v>
      </c>
    </row>
    <row r="372" spans="1:12" x14ac:dyDescent="0.25">
      <c r="A372" s="5">
        <f t="shared" si="15"/>
        <v>2025</v>
      </c>
      <c r="B372" s="18" t="s">
        <v>1052</v>
      </c>
      <c r="C372" s="18" t="s">
        <v>595</v>
      </c>
      <c r="D372" s="12">
        <v>6101</v>
      </c>
      <c r="E372" s="17" t="s">
        <v>455</v>
      </c>
      <c r="F372" s="12" t="s">
        <v>456</v>
      </c>
      <c r="G372" s="14">
        <v>2</v>
      </c>
      <c r="H372" s="24">
        <v>370000</v>
      </c>
      <c r="I372" s="12" t="s">
        <v>712</v>
      </c>
      <c r="J372" s="6" t="s">
        <v>608</v>
      </c>
      <c r="K372" s="6">
        <f t="shared" si="16"/>
        <v>6</v>
      </c>
      <c r="L372" s="6" t="str">
        <f t="shared" si="17"/>
        <v>JUNIO</v>
      </c>
    </row>
    <row r="373" spans="1:12" x14ac:dyDescent="0.25">
      <c r="A373" s="5">
        <f t="shared" ref="A373:A436" si="18">+YEAR(B373)</f>
        <v>2025</v>
      </c>
      <c r="B373" s="18" t="s">
        <v>1178</v>
      </c>
      <c r="C373" s="18" t="s">
        <v>595</v>
      </c>
      <c r="D373" s="12">
        <v>6270</v>
      </c>
      <c r="E373" s="17" t="s">
        <v>910</v>
      </c>
      <c r="F373" s="12" t="s">
        <v>911</v>
      </c>
      <c r="G373" s="14">
        <v>1</v>
      </c>
      <c r="H373" s="24">
        <v>328087</v>
      </c>
      <c r="I373" s="12" t="s">
        <v>712</v>
      </c>
      <c r="J373" s="6" t="s">
        <v>608</v>
      </c>
      <c r="K373" s="6">
        <f t="shared" ref="K373:K436" si="19">+MONTH(B373)</f>
        <v>9</v>
      </c>
      <c r="L373" s="6" t="str">
        <f t="shared" si="17"/>
        <v>SEPTIEMBRE</v>
      </c>
    </row>
    <row r="374" spans="1:12" x14ac:dyDescent="0.25">
      <c r="A374" s="5">
        <f t="shared" si="18"/>
        <v>2025</v>
      </c>
      <c r="B374" s="18" t="s">
        <v>1368</v>
      </c>
      <c r="C374" s="18" t="s">
        <v>595</v>
      </c>
      <c r="D374" s="12">
        <v>6410</v>
      </c>
      <c r="E374" s="17" t="s">
        <v>423</v>
      </c>
      <c r="F374" s="12" t="s">
        <v>424</v>
      </c>
      <c r="G374" s="14">
        <v>2</v>
      </c>
      <c r="H374" s="24">
        <v>176000</v>
      </c>
      <c r="I374" s="12" t="s">
        <v>634</v>
      </c>
      <c r="J374" s="6" t="s">
        <v>614</v>
      </c>
      <c r="K374" s="6">
        <f t="shared" si="19"/>
        <v>12</v>
      </c>
      <c r="L374" s="6" t="str">
        <f t="shared" si="17"/>
        <v>DICIEMBRE</v>
      </c>
    </row>
    <row r="375" spans="1:12" x14ac:dyDescent="0.25">
      <c r="A375" s="5">
        <f t="shared" si="18"/>
        <v>2025</v>
      </c>
      <c r="B375" s="18" t="s">
        <v>1368</v>
      </c>
      <c r="C375" s="18" t="s">
        <v>595</v>
      </c>
      <c r="D375" s="12">
        <v>6410</v>
      </c>
      <c r="E375" s="17" t="s">
        <v>249</v>
      </c>
      <c r="F375" s="12" t="s">
        <v>250</v>
      </c>
      <c r="G375" s="14">
        <v>2</v>
      </c>
      <c r="H375" s="24">
        <v>408000</v>
      </c>
      <c r="I375" s="12" t="s">
        <v>634</v>
      </c>
      <c r="J375" s="6" t="s">
        <v>614</v>
      </c>
      <c r="K375" s="6">
        <f t="shared" si="19"/>
        <v>12</v>
      </c>
      <c r="L375" s="6" t="str">
        <f t="shared" si="17"/>
        <v>DICIEMBRE</v>
      </c>
    </row>
    <row r="376" spans="1:12" x14ac:dyDescent="0.25">
      <c r="A376" s="5">
        <f t="shared" si="18"/>
        <v>2025</v>
      </c>
      <c r="B376" s="18" t="s">
        <v>1368</v>
      </c>
      <c r="C376" s="18" t="s">
        <v>595</v>
      </c>
      <c r="D376" s="12">
        <v>6410</v>
      </c>
      <c r="E376" s="17" t="s">
        <v>642</v>
      </c>
      <c r="F376" s="12" t="s">
        <v>643</v>
      </c>
      <c r="G376" s="14">
        <v>2</v>
      </c>
      <c r="H376" s="24">
        <v>590000</v>
      </c>
      <c r="I376" s="12" t="s">
        <v>634</v>
      </c>
      <c r="J376" s="6" t="s">
        <v>614</v>
      </c>
      <c r="K376" s="6">
        <f t="shared" si="19"/>
        <v>12</v>
      </c>
      <c r="L376" s="6" t="str">
        <f t="shared" si="17"/>
        <v>DICIEMBRE</v>
      </c>
    </row>
    <row r="377" spans="1:12" x14ac:dyDescent="0.25">
      <c r="A377" s="5">
        <f t="shared" si="18"/>
        <v>2025</v>
      </c>
      <c r="B377" s="18" t="s">
        <v>941</v>
      </c>
      <c r="C377" s="18" t="s">
        <v>595</v>
      </c>
      <c r="D377" s="12">
        <v>5928</v>
      </c>
      <c r="E377" s="17" t="s">
        <v>220</v>
      </c>
      <c r="F377" s="12" t="s">
        <v>221</v>
      </c>
      <c r="G377" s="14">
        <v>1</v>
      </c>
      <c r="H377" s="24">
        <v>446767</v>
      </c>
      <c r="I377" s="12" t="s">
        <v>546</v>
      </c>
      <c r="J377" s="6" t="s">
        <v>610</v>
      </c>
      <c r="K377" s="6">
        <f t="shared" si="19"/>
        <v>3</v>
      </c>
      <c r="L377" s="6" t="str">
        <f t="shared" si="17"/>
        <v>MARZO</v>
      </c>
    </row>
    <row r="378" spans="1:12" x14ac:dyDescent="0.25">
      <c r="A378" s="5">
        <f t="shared" si="18"/>
        <v>2025</v>
      </c>
      <c r="B378" s="18" t="s">
        <v>1178</v>
      </c>
      <c r="C378" s="18" t="s">
        <v>595</v>
      </c>
      <c r="D378" s="12">
        <v>6270</v>
      </c>
      <c r="E378" s="17" t="s">
        <v>346</v>
      </c>
      <c r="F378" s="12" t="s">
        <v>347</v>
      </c>
      <c r="G378" s="14">
        <v>1</v>
      </c>
      <c r="H378" s="24">
        <v>131000</v>
      </c>
      <c r="I378" s="12" t="s">
        <v>712</v>
      </c>
      <c r="J378" s="6" t="s">
        <v>608</v>
      </c>
      <c r="K378" s="6">
        <f t="shared" si="19"/>
        <v>9</v>
      </c>
      <c r="L378" s="6" t="str">
        <f t="shared" si="17"/>
        <v>SEPTIEMBRE</v>
      </c>
    </row>
    <row r="379" spans="1:12" x14ac:dyDescent="0.25">
      <c r="A379" s="5">
        <f t="shared" si="18"/>
        <v>2025</v>
      </c>
      <c r="B379" s="18" t="s">
        <v>1178</v>
      </c>
      <c r="C379" s="18" t="s">
        <v>595</v>
      </c>
      <c r="D379" s="12">
        <v>6270</v>
      </c>
      <c r="E379" s="17" t="s">
        <v>562</v>
      </c>
      <c r="F379" s="12" t="s">
        <v>577</v>
      </c>
      <c r="G379" s="14">
        <v>1</v>
      </c>
      <c r="H379" s="24">
        <v>3080000</v>
      </c>
      <c r="I379" s="12" t="s">
        <v>712</v>
      </c>
      <c r="J379" s="6" t="s">
        <v>608</v>
      </c>
      <c r="K379" s="6">
        <f t="shared" si="19"/>
        <v>9</v>
      </c>
      <c r="L379" s="6" t="str">
        <f t="shared" si="17"/>
        <v>SEPTIEMBRE</v>
      </c>
    </row>
    <row r="380" spans="1:12" x14ac:dyDescent="0.25">
      <c r="A380" s="5">
        <f t="shared" si="18"/>
        <v>2025</v>
      </c>
      <c r="B380" s="18" t="s">
        <v>1178</v>
      </c>
      <c r="C380" s="18" t="s">
        <v>595</v>
      </c>
      <c r="D380" s="12">
        <v>6270</v>
      </c>
      <c r="E380" s="17" t="s">
        <v>467</v>
      </c>
      <c r="F380" s="12" t="s">
        <v>468</v>
      </c>
      <c r="G380" s="14">
        <v>1</v>
      </c>
      <c r="H380" s="24">
        <v>732000</v>
      </c>
      <c r="I380" s="12" t="s">
        <v>712</v>
      </c>
      <c r="J380" s="6" t="s">
        <v>608</v>
      </c>
      <c r="K380" s="6">
        <f t="shared" si="19"/>
        <v>9</v>
      </c>
      <c r="L380" s="6" t="str">
        <f t="shared" si="17"/>
        <v>SEPTIEMBRE</v>
      </c>
    </row>
    <row r="381" spans="1:12" x14ac:dyDescent="0.25">
      <c r="A381" s="5">
        <f t="shared" si="18"/>
        <v>2025</v>
      </c>
      <c r="B381" s="18" t="s">
        <v>1178</v>
      </c>
      <c r="C381" s="18" t="s">
        <v>595</v>
      </c>
      <c r="D381" s="12">
        <v>6270</v>
      </c>
      <c r="E381" s="17">
        <v>7059</v>
      </c>
      <c r="F381" s="12" t="s">
        <v>27</v>
      </c>
      <c r="G381" s="14">
        <v>1</v>
      </c>
      <c r="H381" s="24">
        <v>175000</v>
      </c>
      <c r="I381" s="12" t="s">
        <v>712</v>
      </c>
      <c r="J381" s="6" t="s">
        <v>608</v>
      </c>
      <c r="K381" s="6">
        <f t="shared" si="19"/>
        <v>9</v>
      </c>
      <c r="L381" s="6" t="str">
        <f t="shared" si="17"/>
        <v>SEPTIEMBRE</v>
      </c>
    </row>
    <row r="382" spans="1:12" x14ac:dyDescent="0.25">
      <c r="A382" s="5">
        <f t="shared" si="18"/>
        <v>2025</v>
      </c>
      <c r="B382" s="18" t="s">
        <v>1143</v>
      </c>
      <c r="C382" s="18" t="s">
        <v>595</v>
      </c>
      <c r="D382" s="12">
        <v>6229</v>
      </c>
      <c r="E382" s="17" t="s">
        <v>357</v>
      </c>
      <c r="F382" s="12" t="s">
        <v>358</v>
      </c>
      <c r="G382" s="14">
        <v>1</v>
      </c>
      <c r="H382" s="24">
        <v>99000</v>
      </c>
      <c r="I382" s="12" t="s">
        <v>712</v>
      </c>
      <c r="J382" s="6" t="s">
        <v>608</v>
      </c>
      <c r="K382" s="6">
        <f t="shared" si="19"/>
        <v>8</v>
      </c>
      <c r="L382" s="6" t="str">
        <f t="shared" si="17"/>
        <v>AGOSTO</v>
      </c>
    </row>
    <row r="383" spans="1:12" x14ac:dyDescent="0.25">
      <c r="A383" s="5">
        <f t="shared" si="18"/>
        <v>2025</v>
      </c>
      <c r="B383" s="18" t="s">
        <v>1143</v>
      </c>
      <c r="C383" s="18" t="s">
        <v>595</v>
      </c>
      <c r="D383" s="12">
        <v>6229</v>
      </c>
      <c r="E383" s="17" t="s">
        <v>395</v>
      </c>
      <c r="F383" s="12" t="s">
        <v>396</v>
      </c>
      <c r="G383" s="14">
        <v>4</v>
      </c>
      <c r="H383" s="24">
        <v>632000</v>
      </c>
      <c r="I383" s="12" t="s">
        <v>712</v>
      </c>
      <c r="J383" s="6" t="s">
        <v>608</v>
      </c>
      <c r="K383" s="6">
        <f t="shared" si="19"/>
        <v>8</v>
      </c>
      <c r="L383" s="6" t="str">
        <f t="shared" si="17"/>
        <v>AGOSTO</v>
      </c>
    </row>
    <row r="384" spans="1:12" x14ac:dyDescent="0.25">
      <c r="A384" s="5">
        <f t="shared" si="18"/>
        <v>2025</v>
      </c>
      <c r="B384" s="18" t="s">
        <v>1143</v>
      </c>
      <c r="C384" s="18" t="s">
        <v>595</v>
      </c>
      <c r="D384" s="12">
        <v>6229</v>
      </c>
      <c r="E384" s="17" t="s">
        <v>257</v>
      </c>
      <c r="F384" s="12" t="s">
        <v>258</v>
      </c>
      <c r="G384" s="14">
        <v>3</v>
      </c>
      <c r="H384" s="24">
        <v>252000</v>
      </c>
      <c r="I384" s="12" t="s">
        <v>712</v>
      </c>
      <c r="J384" s="6" t="s">
        <v>608</v>
      </c>
      <c r="K384" s="6">
        <f t="shared" si="19"/>
        <v>8</v>
      </c>
      <c r="L384" s="6" t="str">
        <f t="shared" si="17"/>
        <v>AGOSTO</v>
      </c>
    </row>
    <row r="385" spans="1:12" x14ac:dyDescent="0.25">
      <c r="A385" s="5">
        <f t="shared" si="18"/>
        <v>2025</v>
      </c>
      <c r="B385" s="18" t="s">
        <v>1143</v>
      </c>
      <c r="C385" s="18" t="s">
        <v>595</v>
      </c>
      <c r="D385" s="12">
        <v>6229</v>
      </c>
      <c r="E385" s="17" t="s">
        <v>259</v>
      </c>
      <c r="F385" s="12" t="s">
        <v>260</v>
      </c>
      <c r="G385" s="14">
        <v>1</v>
      </c>
      <c r="H385" s="24">
        <v>104000</v>
      </c>
      <c r="I385" s="12" t="s">
        <v>712</v>
      </c>
      <c r="J385" s="6" t="s">
        <v>608</v>
      </c>
      <c r="K385" s="6">
        <f t="shared" si="19"/>
        <v>8</v>
      </c>
      <c r="L385" s="6" t="str">
        <f t="shared" si="17"/>
        <v>AGOSTO</v>
      </c>
    </row>
    <row r="386" spans="1:12" x14ac:dyDescent="0.25">
      <c r="A386" s="5">
        <f t="shared" si="18"/>
        <v>2025</v>
      </c>
      <c r="B386" s="18" t="s">
        <v>1143</v>
      </c>
      <c r="C386" s="18" t="s">
        <v>595</v>
      </c>
      <c r="D386" s="12">
        <v>6229</v>
      </c>
      <c r="E386" s="17" t="s">
        <v>432</v>
      </c>
      <c r="F386" s="12" t="s">
        <v>433</v>
      </c>
      <c r="G386" s="14">
        <v>1</v>
      </c>
      <c r="H386" s="24">
        <v>63000</v>
      </c>
      <c r="I386" s="12" t="s">
        <v>712</v>
      </c>
      <c r="J386" s="6" t="s">
        <v>608</v>
      </c>
      <c r="K386" s="6">
        <f t="shared" si="19"/>
        <v>8</v>
      </c>
      <c r="L386" s="6" t="str">
        <f t="shared" si="17"/>
        <v>AGOSTO</v>
      </c>
    </row>
    <row r="387" spans="1:12" x14ac:dyDescent="0.25">
      <c r="A387" s="5">
        <f t="shared" si="18"/>
        <v>2025</v>
      </c>
      <c r="B387" s="18" t="s">
        <v>1143</v>
      </c>
      <c r="C387" s="18" t="s">
        <v>595</v>
      </c>
      <c r="D387" s="12">
        <v>6229</v>
      </c>
      <c r="E387" s="17" t="s">
        <v>329</v>
      </c>
      <c r="F387" s="12" t="s">
        <v>330</v>
      </c>
      <c r="G387" s="14">
        <v>2</v>
      </c>
      <c r="H387" s="24">
        <v>770000</v>
      </c>
      <c r="I387" s="12" t="s">
        <v>712</v>
      </c>
      <c r="J387" s="6" t="s">
        <v>608</v>
      </c>
      <c r="K387" s="6">
        <f t="shared" si="19"/>
        <v>8</v>
      </c>
      <c r="L387" s="6" t="str">
        <f t="shared" ref="L387:L450" si="20">VLOOKUP(K387,N:O,2,0)</f>
        <v>AGOSTO</v>
      </c>
    </row>
    <row r="388" spans="1:12" x14ac:dyDescent="0.25">
      <c r="A388" s="5">
        <f t="shared" si="18"/>
        <v>2025</v>
      </c>
      <c r="B388" s="18" t="s">
        <v>1143</v>
      </c>
      <c r="C388" s="18" t="s">
        <v>595</v>
      </c>
      <c r="D388" s="12">
        <v>6229</v>
      </c>
      <c r="E388" s="17" t="s">
        <v>241</v>
      </c>
      <c r="F388" s="12" t="s">
        <v>242</v>
      </c>
      <c r="G388" s="14">
        <v>1</v>
      </c>
      <c r="H388" s="24">
        <v>475000</v>
      </c>
      <c r="I388" s="12" t="s">
        <v>712</v>
      </c>
      <c r="J388" s="6" t="s">
        <v>608</v>
      </c>
      <c r="K388" s="6">
        <f t="shared" si="19"/>
        <v>8</v>
      </c>
      <c r="L388" s="6" t="str">
        <f t="shared" si="20"/>
        <v>AGOSTO</v>
      </c>
    </row>
    <row r="389" spans="1:12" x14ac:dyDescent="0.25">
      <c r="A389" s="5">
        <f t="shared" si="18"/>
        <v>2025</v>
      </c>
      <c r="B389" s="18" t="s">
        <v>1104</v>
      </c>
      <c r="C389" s="18" t="s">
        <v>595</v>
      </c>
      <c r="D389" s="12">
        <v>6179</v>
      </c>
      <c r="E389" s="17" t="s">
        <v>659</v>
      </c>
      <c r="F389" s="12" t="s">
        <v>662</v>
      </c>
      <c r="G389" s="14">
        <v>1</v>
      </c>
      <c r="H389" s="24">
        <v>134000</v>
      </c>
      <c r="I389" s="12" t="s">
        <v>546</v>
      </c>
      <c r="J389" s="6" t="s">
        <v>610</v>
      </c>
      <c r="K389" s="6">
        <f t="shared" si="19"/>
        <v>7</v>
      </c>
      <c r="L389" s="6" t="str">
        <f t="shared" si="20"/>
        <v>JULIO</v>
      </c>
    </row>
    <row r="390" spans="1:12" x14ac:dyDescent="0.25">
      <c r="A390" s="5">
        <f t="shared" si="18"/>
        <v>2025</v>
      </c>
      <c r="B390" s="18" t="s">
        <v>1046</v>
      </c>
      <c r="C390" s="18" t="s">
        <v>595</v>
      </c>
      <c r="D390" s="12">
        <v>6112</v>
      </c>
      <c r="E390" s="17" t="s">
        <v>432</v>
      </c>
      <c r="F390" s="12" t="s">
        <v>433</v>
      </c>
      <c r="G390" s="14">
        <v>1</v>
      </c>
      <c r="H390" s="24">
        <v>55000</v>
      </c>
      <c r="I390" s="12" t="s">
        <v>712</v>
      </c>
      <c r="J390" s="6" t="s">
        <v>608</v>
      </c>
      <c r="K390" s="6">
        <f t="shared" si="19"/>
        <v>6</v>
      </c>
      <c r="L390" s="6" t="str">
        <f t="shared" si="20"/>
        <v>JUNIO</v>
      </c>
    </row>
    <row r="391" spans="1:12" x14ac:dyDescent="0.25">
      <c r="A391" s="5">
        <f t="shared" si="18"/>
        <v>2025</v>
      </c>
      <c r="B391" s="18" t="s">
        <v>1064</v>
      </c>
      <c r="C391" s="18" t="s">
        <v>595</v>
      </c>
      <c r="D391" s="12">
        <v>6135</v>
      </c>
      <c r="E391" s="17">
        <v>4026684</v>
      </c>
      <c r="F391" s="12" t="s">
        <v>1069</v>
      </c>
      <c r="G391" s="14">
        <v>1</v>
      </c>
      <c r="H391" s="24">
        <v>358000</v>
      </c>
      <c r="I391" s="12" t="s">
        <v>546</v>
      </c>
      <c r="J391" s="6" t="s">
        <v>610</v>
      </c>
      <c r="K391" s="6">
        <f t="shared" si="19"/>
        <v>7</v>
      </c>
      <c r="L391" s="6" t="str">
        <f t="shared" si="20"/>
        <v>JULIO</v>
      </c>
    </row>
    <row r="392" spans="1:12" x14ac:dyDescent="0.25">
      <c r="A392" s="5">
        <f t="shared" si="18"/>
        <v>2025</v>
      </c>
      <c r="B392" s="18" t="s">
        <v>1064</v>
      </c>
      <c r="C392" s="18" t="s">
        <v>595</v>
      </c>
      <c r="D392" s="12">
        <v>6135</v>
      </c>
      <c r="E392" s="17" t="s">
        <v>404</v>
      </c>
      <c r="F392" s="12" t="s">
        <v>405</v>
      </c>
      <c r="G392" s="14">
        <v>1</v>
      </c>
      <c r="H392" s="24">
        <v>550000</v>
      </c>
      <c r="I392" s="12" t="s">
        <v>546</v>
      </c>
      <c r="J392" s="6" t="s">
        <v>610</v>
      </c>
      <c r="K392" s="6">
        <f t="shared" si="19"/>
        <v>7</v>
      </c>
      <c r="L392" s="6" t="str">
        <f t="shared" si="20"/>
        <v>JULIO</v>
      </c>
    </row>
    <row r="393" spans="1:12" x14ac:dyDescent="0.25">
      <c r="A393" s="5">
        <f t="shared" si="18"/>
        <v>2025</v>
      </c>
      <c r="B393" s="18" t="s">
        <v>1064</v>
      </c>
      <c r="C393" s="18" t="s">
        <v>595</v>
      </c>
      <c r="D393" s="12">
        <v>6135</v>
      </c>
      <c r="E393" s="17" t="s">
        <v>560</v>
      </c>
      <c r="F393" s="12" t="s">
        <v>570</v>
      </c>
      <c r="G393" s="14">
        <v>1</v>
      </c>
      <c r="H393" s="24">
        <v>480000</v>
      </c>
      <c r="I393" s="12" t="s">
        <v>546</v>
      </c>
      <c r="J393" s="6" t="s">
        <v>610</v>
      </c>
      <c r="K393" s="6">
        <f t="shared" si="19"/>
        <v>7</v>
      </c>
      <c r="L393" s="6" t="str">
        <f t="shared" si="20"/>
        <v>JULIO</v>
      </c>
    </row>
    <row r="394" spans="1:12" x14ac:dyDescent="0.25">
      <c r="A394" s="5">
        <f t="shared" si="18"/>
        <v>2025</v>
      </c>
      <c r="B394" s="18" t="s">
        <v>1082</v>
      </c>
      <c r="C394" s="18" t="s">
        <v>595</v>
      </c>
      <c r="D394" s="12">
        <v>6155</v>
      </c>
      <c r="E394" s="17" t="s">
        <v>239</v>
      </c>
      <c r="F394" s="12" t="s">
        <v>240</v>
      </c>
      <c r="G394" s="14">
        <v>32</v>
      </c>
      <c r="H394" s="24">
        <v>68768</v>
      </c>
      <c r="I394" s="12" t="s">
        <v>712</v>
      </c>
      <c r="J394" s="6" t="s">
        <v>608</v>
      </c>
      <c r="K394" s="6">
        <f t="shared" si="19"/>
        <v>7</v>
      </c>
      <c r="L394" s="6" t="str">
        <f t="shared" si="20"/>
        <v>JULIO</v>
      </c>
    </row>
    <row r="395" spans="1:12" x14ac:dyDescent="0.25">
      <c r="A395" s="5">
        <f t="shared" si="18"/>
        <v>2025</v>
      </c>
      <c r="B395" s="18" t="s">
        <v>1113</v>
      </c>
      <c r="C395" s="18" t="s">
        <v>595</v>
      </c>
      <c r="D395" s="12">
        <v>6194</v>
      </c>
      <c r="E395" s="17" t="s">
        <v>1020</v>
      </c>
      <c r="F395" s="12" t="s">
        <v>1021</v>
      </c>
      <c r="G395" s="14">
        <v>1</v>
      </c>
      <c r="H395" s="24">
        <v>73500</v>
      </c>
      <c r="I395" s="12" t="s">
        <v>546</v>
      </c>
      <c r="J395" s="6" t="s">
        <v>610</v>
      </c>
      <c r="K395" s="6">
        <f t="shared" si="19"/>
        <v>7</v>
      </c>
      <c r="L395" s="6" t="str">
        <f t="shared" si="20"/>
        <v>JULIO</v>
      </c>
    </row>
    <row r="396" spans="1:12" x14ac:dyDescent="0.25">
      <c r="A396" s="5">
        <f t="shared" si="18"/>
        <v>2025</v>
      </c>
      <c r="B396" s="18" t="s">
        <v>1288</v>
      </c>
      <c r="C396" s="18" t="s">
        <v>595</v>
      </c>
      <c r="D396" s="12">
        <v>6389</v>
      </c>
      <c r="E396" s="17" t="s">
        <v>1420</v>
      </c>
      <c r="F396" s="12" t="s">
        <v>1112</v>
      </c>
      <c r="G396" s="14">
        <v>10</v>
      </c>
      <c r="H396" s="24">
        <v>79380</v>
      </c>
      <c r="I396" s="12" t="s">
        <v>546</v>
      </c>
      <c r="J396" s="6" t="s">
        <v>610</v>
      </c>
      <c r="K396" s="6">
        <f t="shared" si="19"/>
        <v>12</v>
      </c>
      <c r="L396" s="6" t="str">
        <f t="shared" si="20"/>
        <v>DICIEMBRE</v>
      </c>
    </row>
    <row r="397" spans="1:12" x14ac:dyDescent="0.25">
      <c r="A397" s="5">
        <f t="shared" si="18"/>
        <v>2025</v>
      </c>
      <c r="B397" s="18" t="s">
        <v>1288</v>
      </c>
      <c r="C397" s="18" t="s">
        <v>595</v>
      </c>
      <c r="D397" s="12">
        <v>6389</v>
      </c>
      <c r="E397" s="17" t="s">
        <v>23</v>
      </c>
      <c r="F397" s="12" t="s">
        <v>24</v>
      </c>
      <c r="G397" s="14">
        <v>32</v>
      </c>
      <c r="H397" s="24">
        <v>8906752</v>
      </c>
      <c r="I397" s="12" t="s">
        <v>546</v>
      </c>
      <c r="J397" s="6" t="s">
        <v>610</v>
      </c>
      <c r="K397" s="6">
        <f t="shared" si="19"/>
        <v>12</v>
      </c>
      <c r="L397" s="6" t="str">
        <f t="shared" si="20"/>
        <v>DICIEMBRE</v>
      </c>
    </row>
    <row r="398" spans="1:12" x14ac:dyDescent="0.25">
      <c r="A398" s="5">
        <f t="shared" si="18"/>
        <v>2025</v>
      </c>
      <c r="B398" s="18" t="s">
        <v>1288</v>
      </c>
      <c r="C398" s="18" t="s">
        <v>595</v>
      </c>
      <c r="D398" s="12">
        <v>6389</v>
      </c>
      <c r="E398" s="17">
        <v>4955383</v>
      </c>
      <c r="F398" s="12" t="s">
        <v>1206</v>
      </c>
      <c r="G398" s="14">
        <v>3</v>
      </c>
      <c r="H398" s="24">
        <v>571557</v>
      </c>
      <c r="I398" s="12" t="s">
        <v>546</v>
      </c>
      <c r="J398" s="6" t="s">
        <v>610</v>
      </c>
      <c r="K398" s="6">
        <f t="shared" si="19"/>
        <v>12</v>
      </c>
      <c r="L398" s="6" t="str">
        <f t="shared" si="20"/>
        <v>DICIEMBRE</v>
      </c>
    </row>
    <row r="399" spans="1:12" x14ac:dyDescent="0.25">
      <c r="A399" s="5">
        <f t="shared" si="18"/>
        <v>2025</v>
      </c>
      <c r="B399" s="18" t="s">
        <v>1288</v>
      </c>
      <c r="C399" s="18" t="s">
        <v>595</v>
      </c>
      <c r="D399" s="12">
        <v>6389</v>
      </c>
      <c r="E399" s="17" t="s">
        <v>124</v>
      </c>
      <c r="F399" s="12" t="s">
        <v>125</v>
      </c>
      <c r="G399" s="14">
        <v>15</v>
      </c>
      <c r="H399" s="24">
        <v>270000</v>
      </c>
      <c r="I399" s="12" t="s">
        <v>546</v>
      </c>
      <c r="J399" s="6" t="s">
        <v>610</v>
      </c>
      <c r="K399" s="6">
        <f t="shared" si="19"/>
        <v>12</v>
      </c>
      <c r="L399" s="6" t="str">
        <f t="shared" si="20"/>
        <v>DICIEMBRE</v>
      </c>
    </row>
    <row r="400" spans="1:12" x14ac:dyDescent="0.25">
      <c r="A400" s="5">
        <f t="shared" si="18"/>
        <v>2025</v>
      </c>
      <c r="B400" s="18" t="s">
        <v>1288</v>
      </c>
      <c r="C400" s="18" t="s">
        <v>595</v>
      </c>
      <c r="D400" s="12">
        <v>6389</v>
      </c>
      <c r="E400" s="17" t="s">
        <v>1122</v>
      </c>
      <c r="F400" s="12" t="s">
        <v>1125</v>
      </c>
      <c r="G400" s="14">
        <v>3</v>
      </c>
      <c r="H400" s="24">
        <v>197274</v>
      </c>
      <c r="I400" s="12" t="s">
        <v>546</v>
      </c>
      <c r="J400" s="6" t="s">
        <v>610</v>
      </c>
      <c r="K400" s="6">
        <f t="shared" si="19"/>
        <v>12</v>
      </c>
      <c r="L400" s="6" t="str">
        <f t="shared" si="20"/>
        <v>DICIEMBRE</v>
      </c>
    </row>
    <row r="401" spans="1:12" x14ac:dyDescent="0.25">
      <c r="A401" s="5">
        <f t="shared" si="18"/>
        <v>2025</v>
      </c>
      <c r="B401" s="18" t="s">
        <v>1170</v>
      </c>
      <c r="C401" s="18" t="s">
        <v>595</v>
      </c>
      <c r="D401" s="12">
        <v>6249</v>
      </c>
      <c r="E401" s="17">
        <v>85003</v>
      </c>
      <c r="F401" s="12" t="s">
        <v>449</v>
      </c>
      <c r="G401" s="14">
        <v>1</v>
      </c>
      <c r="H401" s="24">
        <v>21000</v>
      </c>
      <c r="I401" s="12" t="s">
        <v>712</v>
      </c>
      <c r="J401" s="6" t="s">
        <v>608</v>
      </c>
      <c r="K401" s="6">
        <f t="shared" si="19"/>
        <v>9</v>
      </c>
      <c r="L401" s="6" t="str">
        <f t="shared" si="20"/>
        <v>SEPTIEMBRE</v>
      </c>
    </row>
    <row r="402" spans="1:12" x14ac:dyDescent="0.25">
      <c r="A402" s="5">
        <f t="shared" si="18"/>
        <v>2025</v>
      </c>
      <c r="B402" s="18" t="s">
        <v>1170</v>
      </c>
      <c r="C402" s="18" t="s">
        <v>595</v>
      </c>
      <c r="D402" s="12">
        <v>6249</v>
      </c>
      <c r="E402" s="17" t="s">
        <v>389</v>
      </c>
      <c r="F402" s="12" t="s">
        <v>390</v>
      </c>
      <c r="G402" s="14">
        <v>2</v>
      </c>
      <c r="H402" s="24">
        <v>60000</v>
      </c>
      <c r="I402" s="12" t="s">
        <v>712</v>
      </c>
      <c r="J402" s="6" t="s">
        <v>608</v>
      </c>
      <c r="K402" s="6">
        <f t="shared" si="19"/>
        <v>9</v>
      </c>
      <c r="L402" s="6" t="str">
        <f t="shared" si="20"/>
        <v>SEPTIEMBRE</v>
      </c>
    </row>
    <row r="403" spans="1:12" x14ac:dyDescent="0.25">
      <c r="A403" s="5">
        <f t="shared" si="18"/>
        <v>2025</v>
      </c>
      <c r="B403" s="18" t="s">
        <v>1170</v>
      </c>
      <c r="C403" s="18" t="s">
        <v>595</v>
      </c>
      <c r="D403" s="12">
        <v>6249</v>
      </c>
      <c r="E403" s="17">
        <v>30334</v>
      </c>
      <c r="F403" s="12" t="s">
        <v>523</v>
      </c>
      <c r="G403" s="14">
        <v>4</v>
      </c>
      <c r="H403" s="24">
        <v>104000</v>
      </c>
      <c r="I403" s="12" t="s">
        <v>712</v>
      </c>
      <c r="J403" s="6" t="s">
        <v>608</v>
      </c>
      <c r="K403" s="6">
        <f t="shared" si="19"/>
        <v>9</v>
      </c>
      <c r="L403" s="6" t="str">
        <f t="shared" si="20"/>
        <v>SEPTIEMBRE</v>
      </c>
    </row>
    <row r="404" spans="1:12" x14ac:dyDescent="0.25">
      <c r="A404" s="5">
        <f t="shared" si="18"/>
        <v>2025</v>
      </c>
      <c r="B404" s="18" t="s">
        <v>1170</v>
      </c>
      <c r="C404" s="18" t="s">
        <v>595</v>
      </c>
      <c r="D404" s="12">
        <v>6249</v>
      </c>
      <c r="E404" s="17" t="s">
        <v>524</v>
      </c>
      <c r="F404" s="12" t="s">
        <v>525</v>
      </c>
      <c r="G404" s="14">
        <v>4</v>
      </c>
      <c r="H404" s="24">
        <v>92000</v>
      </c>
      <c r="I404" s="12" t="s">
        <v>712</v>
      </c>
      <c r="J404" s="6" t="s">
        <v>608</v>
      </c>
      <c r="K404" s="6">
        <f t="shared" si="19"/>
        <v>9</v>
      </c>
      <c r="L404" s="6" t="str">
        <f t="shared" si="20"/>
        <v>SEPTIEMBRE</v>
      </c>
    </row>
    <row r="405" spans="1:12" x14ac:dyDescent="0.25">
      <c r="A405" s="5">
        <f t="shared" si="18"/>
        <v>2025</v>
      </c>
      <c r="B405" s="18" t="s">
        <v>1170</v>
      </c>
      <c r="C405" s="18" t="s">
        <v>595</v>
      </c>
      <c r="D405" s="12">
        <v>6249</v>
      </c>
      <c r="E405" s="17" t="s">
        <v>472</v>
      </c>
      <c r="F405" s="12" t="s">
        <v>473</v>
      </c>
      <c r="G405" s="14">
        <v>4</v>
      </c>
      <c r="H405" s="24">
        <v>196000</v>
      </c>
      <c r="I405" s="12" t="s">
        <v>712</v>
      </c>
      <c r="J405" s="6" t="s">
        <v>608</v>
      </c>
      <c r="K405" s="6">
        <f t="shared" si="19"/>
        <v>9</v>
      </c>
      <c r="L405" s="6" t="str">
        <f t="shared" si="20"/>
        <v>SEPTIEMBRE</v>
      </c>
    </row>
    <row r="406" spans="1:12" x14ac:dyDescent="0.25">
      <c r="A406" s="5">
        <f t="shared" si="18"/>
        <v>2025</v>
      </c>
      <c r="B406" s="18" t="s">
        <v>1170</v>
      </c>
      <c r="C406" s="18" t="s">
        <v>595</v>
      </c>
      <c r="D406" s="12">
        <v>6249</v>
      </c>
      <c r="E406" s="17" t="s">
        <v>899</v>
      </c>
      <c r="F406" s="12" t="s">
        <v>900</v>
      </c>
      <c r="G406" s="14">
        <v>1</v>
      </c>
      <c r="H406" s="24">
        <v>44000</v>
      </c>
      <c r="I406" s="12" t="s">
        <v>712</v>
      </c>
      <c r="J406" s="6" t="s">
        <v>608</v>
      </c>
      <c r="K406" s="6">
        <f t="shared" si="19"/>
        <v>9</v>
      </c>
      <c r="L406" s="6" t="str">
        <f t="shared" si="20"/>
        <v>SEPTIEMBRE</v>
      </c>
    </row>
    <row r="407" spans="1:12" x14ac:dyDescent="0.25">
      <c r="A407" s="5">
        <f t="shared" si="18"/>
        <v>2025</v>
      </c>
      <c r="B407" s="18" t="s">
        <v>1170</v>
      </c>
      <c r="C407" s="18" t="s">
        <v>595</v>
      </c>
      <c r="D407" s="12">
        <v>6249</v>
      </c>
      <c r="E407" s="17" t="s">
        <v>533</v>
      </c>
      <c r="F407" s="12" t="s">
        <v>534</v>
      </c>
      <c r="G407" s="14">
        <v>1</v>
      </c>
      <c r="H407" s="24">
        <v>124000</v>
      </c>
      <c r="I407" s="12" t="s">
        <v>712</v>
      </c>
      <c r="J407" s="6" t="s">
        <v>608</v>
      </c>
      <c r="K407" s="6">
        <f t="shared" si="19"/>
        <v>9</v>
      </c>
      <c r="L407" s="6" t="str">
        <f t="shared" si="20"/>
        <v>SEPTIEMBRE</v>
      </c>
    </row>
    <row r="408" spans="1:12" x14ac:dyDescent="0.25">
      <c r="A408" s="5">
        <f t="shared" si="18"/>
        <v>2025</v>
      </c>
      <c r="B408" s="18" t="s">
        <v>970</v>
      </c>
      <c r="C408" s="18" t="s">
        <v>595</v>
      </c>
      <c r="D408" s="12">
        <v>6012</v>
      </c>
      <c r="E408" s="17">
        <v>194</v>
      </c>
      <c r="F408" s="12" t="s">
        <v>572</v>
      </c>
      <c r="G408" s="14">
        <v>10</v>
      </c>
      <c r="H408" s="24">
        <v>54500</v>
      </c>
      <c r="I408" s="12" t="s">
        <v>712</v>
      </c>
      <c r="J408" s="6" t="s">
        <v>608</v>
      </c>
      <c r="K408" s="6">
        <f t="shared" si="19"/>
        <v>4</v>
      </c>
      <c r="L408" s="6" t="str">
        <f t="shared" si="20"/>
        <v>ABRIL</v>
      </c>
    </row>
    <row r="409" spans="1:12" x14ac:dyDescent="0.25">
      <c r="A409" s="5">
        <f t="shared" si="18"/>
        <v>2025</v>
      </c>
      <c r="B409" s="18" t="s">
        <v>970</v>
      </c>
      <c r="C409" s="18" t="s">
        <v>595</v>
      </c>
      <c r="D409" s="12">
        <v>6012</v>
      </c>
      <c r="E409" s="17">
        <v>146</v>
      </c>
      <c r="F409" s="12" t="s">
        <v>568</v>
      </c>
      <c r="G409" s="14">
        <v>8</v>
      </c>
      <c r="H409" s="24">
        <v>2400</v>
      </c>
      <c r="I409" s="12" t="s">
        <v>712</v>
      </c>
      <c r="J409" s="6" t="s">
        <v>608</v>
      </c>
      <c r="K409" s="6">
        <f t="shared" si="19"/>
        <v>4</v>
      </c>
      <c r="L409" s="6" t="str">
        <f t="shared" si="20"/>
        <v>ABRIL</v>
      </c>
    </row>
    <row r="410" spans="1:12" x14ac:dyDescent="0.25">
      <c r="A410" s="5">
        <f t="shared" si="18"/>
        <v>2025</v>
      </c>
      <c r="B410" s="18" t="s">
        <v>970</v>
      </c>
      <c r="C410" s="18" t="s">
        <v>595</v>
      </c>
      <c r="D410" s="12">
        <v>6012</v>
      </c>
      <c r="E410" s="17">
        <v>147</v>
      </c>
      <c r="F410" s="12" t="s">
        <v>571</v>
      </c>
      <c r="G410" s="14">
        <v>4</v>
      </c>
      <c r="H410" s="24">
        <v>1200</v>
      </c>
      <c r="I410" s="12" t="s">
        <v>712</v>
      </c>
      <c r="J410" s="6" t="s">
        <v>608</v>
      </c>
      <c r="K410" s="6">
        <f t="shared" si="19"/>
        <v>4</v>
      </c>
      <c r="L410" s="6" t="str">
        <f t="shared" si="20"/>
        <v>ABRIL</v>
      </c>
    </row>
    <row r="411" spans="1:12" x14ac:dyDescent="0.25">
      <c r="A411" s="5">
        <f t="shared" si="18"/>
        <v>2025</v>
      </c>
      <c r="B411" s="18" t="s">
        <v>970</v>
      </c>
      <c r="C411" s="18" t="s">
        <v>595</v>
      </c>
      <c r="D411" s="12">
        <v>6012</v>
      </c>
      <c r="E411" s="17">
        <v>211</v>
      </c>
      <c r="F411" s="12" t="s">
        <v>573</v>
      </c>
      <c r="G411" s="14">
        <v>4</v>
      </c>
      <c r="H411" s="24">
        <v>400</v>
      </c>
      <c r="I411" s="12" t="s">
        <v>712</v>
      </c>
      <c r="J411" s="6" t="s">
        <v>608</v>
      </c>
      <c r="K411" s="6">
        <f t="shared" si="19"/>
        <v>4</v>
      </c>
      <c r="L411" s="6" t="str">
        <f t="shared" si="20"/>
        <v>ABRIL</v>
      </c>
    </row>
    <row r="412" spans="1:12" x14ac:dyDescent="0.25">
      <c r="A412" s="5">
        <f t="shared" si="18"/>
        <v>2025</v>
      </c>
      <c r="B412" s="18" t="s">
        <v>970</v>
      </c>
      <c r="C412" s="18" t="s">
        <v>595</v>
      </c>
      <c r="D412" s="12">
        <v>6012</v>
      </c>
      <c r="E412" s="17">
        <v>123</v>
      </c>
      <c r="F412" s="12" t="s">
        <v>576</v>
      </c>
      <c r="G412" s="14">
        <v>1</v>
      </c>
      <c r="H412" s="24">
        <v>200</v>
      </c>
      <c r="I412" s="12" t="s">
        <v>712</v>
      </c>
      <c r="J412" s="6" t="s">
        <v>608</v>
      </c>
      <c r="K412" s="6">
        <f t="shared" si="19"/>
        <v>4</v>
      </c>
      <c r="L412" s="6" t="str">
        <f t="shared" si="20"/>
        <v>ABRIL</v>
      </c>
    </row>
    <row r="413" spans="1:12" x14ac:dyDescent="0.25">
      <c r="A413" s="5">
        <f t="shared" si="18"/>
        <v>2025</v>
      </c>
      <c r="B413" s="18" t="s">
        <v>970</v>
      </c>
      <c r="C413" s="18" t="s">
        <v>595</v>
      </c>
      <c r="D413" s="12">
        <v>6012</v>
      </c>
      <c r="E413" s="17">
        <v>212</v>
      </c>
      <c r="F413" s="12" t="s">
        <v>580</v>
      </c>
      <c r="G413" s="14">
        <v>1</v>
      </c>
      <c r="H413" s="24">
        <v>3000</v>
      </c>
      <c r="I413" s="12" t="s">
        <v>712</v>
      </c>
      <c r="J413" s="6" t="s">
        <v>608</v>
      </c>
      <c r="K413" s="6">
        <f t="shared" si="19"/>
        <v>4</v>
      </c>
      <c r="L413" s="6" t="str">
        <f t="shared" si="20"/>
        <v>ABRIL</v>
      </c>
    </row>
    <row r="414" spans="1:12" x14ac:dyDescent="0.25">
      <c r="A414" s="5">
        <f t="shared" si="18"/>
        <v>2025</v>
      </c>
      <c r="B414" s="18" t="s">
        <v>1083</v>
      </c>
      <c r="C414" s="18" t="s">
        <v>595</v>
      </c>
      <c r="D414" s="12">
        <v>6162</v>
      </c>
      <c r="E414" s="17" t="s">
        <v>177</v>
      </c>
      <c r="F414" s="12" t="s">
        <v>178</v>
      </c>
      <c r="G414" s="14">
        <v>1</v>
      </c>
      <c r="H414" s="24">
        <v>6500</v>
      </c>
      <c r="I414" s="12" t="s">
        <v>712</v>
      </c>
      <c r="J414" s="6" t="s">
        <v>608</v>
      </c>
      <c r="K414" s="6">
        <f t="shared" si="19"/>
        <v>7</v>
      </c>
      <c r="L414" s="6" t="str">
        <f t="shared" si="20"/>
        <v>JULIO</v>
      </c>
    </row>
    <row r="415" spans="1:12" x14ac:dyDescent="0.25">
      <c r="A415" s="5">
        <f t="shared" si="18"/>
        <v>2025</v>
      </c>
      <c r="B415" s="18" t="s">
        <v>1179</v>
      </c>
      <c r="C415" s="18" t="s">
        <v>595</v>
      </c>
      <c r="D415" s="12">
        <v>6273</v>
      </c>
      <c r="E415" s="17" t="s">
        <v>148</v>
      </c>
      <c r="F415" s="12" t="s">
        <v>149</v>
      </c>
      <c r="G415" s="14">
        <v>1</v>
      </c>
      <c r="H415" s="24">
        <v>605000</v>
      </c>
      <c r="I415" s="12" t="s">
        <v>712</v>
      </c>
      <c r="J415" s="6" t="s">
        <v>608</v>
      </c>
      <c r="K415" s="6">
        <f t="shared" si="19"/>
        <v>9</v>
      </c>
      <c r="L415" s="6" t="str">
        <f t="shared" si="20"/>
        <v>SEPTIEMBRE</v>
      </c>
    </row>
    <row r="416" spans="1:12" x14ac:dyDescent="0.25">
      <c r="A416" s="5">
        <f t="shared" si="18"/>
        <v>2025</v>
      </c>
      <c r="B416" s="18" t="s">
        <v>1221</v>
      </c>
      <c r="C416" s="18" t="s">
        <v>595</v>
      </c>
      <c r="D416" s="12">
        <v>6333</v>
      </c>
      <c r="E416" s="17" t="s">
        <v>899</v>
      </c>
      <c r="F416" s="12" t="s">
        <v>900</v>
      </c>
      <c r="G416" s="14">
        <v>1</v>
      </c>
      <c r="H416" s="24">
        <v>44000</v>
      </c>
      <c r="I416" s="12" t="s">
        <v>712</v>
      </c>
      <c r="J416" s="6" t="s">
        <v>608</v>
      </c>
      <c r="K416" s="6">
        <f t="shared" si="19"/>
        <v>10</v>
      </c>
      <c r="L416" s="6" t="str">
        <f t="shared" si="20"/>
        <v>OCTUBRE</v>
      </c>
    </row>
    <row r="417" spans="1:12" x14ac:dyDescent="0.25">
      <c r="A417" s="5">
        <f t="shared" si="18"/>
        <v>2025</v>
      </c>
      <c r="B417" s="18" t="s">
        <v>1221</v>
      </c>
      <c r="C417" s="18" t="s">
        <v>595</v>
      </c>
      <c r="D417" s="12">
        <v>6333</v>
      </c>
      <c r="E417" s="17" t="s">
        <v>531</v>
      </c>
      <c r="F417" s="12" t="s">
        <v>532</v>
      </c>
      <c r="G417" s="14">
        <v>1</v>
      </c>
      <c r="H417" s="24">
        <v>4000</v>
      </c>
      <c r="I417" s="12" t="s">
        <v>712</v>
      </c>
      <c r="J417" s="6" t="s">
        <v>608</v>
      </c>
      <c r="K417" s="6">
        <f t="shared" si="19"/>
        <v>10</v>
      </c>
      <c r="L417" s="6" t="str">
        <f t="shared" si="20"/>
        <v>OCTUBRE</v>
      </c>
    </row>
    <row r="418" spans="1:12" x14ac:dyDescent="0.25">
      <c r="A418" s="5">
        <f t="shared" si="18"/>
        <v>2025</v>
      </c>
      <c r="B418" s="18" t="s">
        <v>1221</v>
      </c>
      <c r="C418" s="18" t="s">
        <v>595</v>
      </c>
      <c r="D418" s="12">
        <v>6333</v>
      </c>
      <c r="E418" s="17" t="s">
        <v>734</v>
      </c>
      <c r="F418" s="12" t="s">
        <v>1173</v>
      </c>
      <c r="G418" s="14">
        <v>1</v>
      </c>
      <c r="H418" s="24">
        <v>270000</v>
      </c>
      <c r="I418" s="12" t="s">
        <v>712</v>
      </c>
      <c r="J418" s="6" t="s">
        <v>608</v>
      </c>
      <c r="K418" s="6">
        <f t="shared" si="19"/>
        <v>10</v>
      </c>
      <c r="L418" s="6" t="str">
        <f t="shared" si="20"/>
        <v>OCTUBRE</v>
      </c>
    </row>
    <row r="419" spans="1:12" x14ac:dyDescent="0.25">
      <c r="A419" s="5">
        <f t="shared" si="18"/>
        <v>2025</v>
      </c>
      <c r="B419" s="18" t="s">
        <v>1221</v>
      </c>
      <c r="C419" s="18" t="s">
        <v>595</v>
      </c>
      <c r="D419" s="12">
        <v>6333</v>
      </c>
      <c r="E419" s="17">
        <v>9373</v>
      </c>
      <c r="F419" s="12" t="s">
        <v>128</v>
      </c>
      <c r="G419" s="14">
        <v>1</v>
      </c>
      <c r="H419" s="24">
        <v>460000</v>
      </c>
      <c r="I419" s="12" t="s">
        <v>712</v>
      </c>
      <c r="J419" s="6" t="s">
        <v>608</v>
      </c>
      <c r="K419" s="6">
        <f t="shared" si="19"/>
        <v>10</v>
      </c>
      <c r="L419" s="6" t="str">
        <f t="shared" si="20"/>
        <v>OCTUBRE</v>
      </c>
    </row>
    <row r="420" spans="1:12" x14ac:dyDescent="0.25">
      <c r="A420" s="5">
        <f t="shared" si="18"/>
        <v>2025</v>
      </c>
      <c r="B420" s="18" t="s">
        <v>1046</v>
      </c>
      <c r="C420" s="18" t="s">
        <v>595</v>
      </c>
      <c r="D420" s="12">
        <v>6111</v>
      </c>
      <c r="E420" s="17" t="s">
        <v>311</v>
      </c>
      <c r="F420" s="12" t="s">
        <v>312</v>
      </c>
      <c r="G420" s="14">
        <v>1</v>
      </c>
      <c r="H420" s="24">
        <v>215000</v>
      </c>
      <c r="I420" s="12" t="s">
        <v>712</v>
      </c>
      <c r="J420" s="6" t="s">
        <v>608</v>
      </c>
      <c r="K420" s="6">
        <f t="shared" si="19"/>
        <v>6</v>
      </c>
      <c r="L420" s="6" t="str">
        <f t="shared" si="20"/>
        <v>JUNIO</v>
      </c>
    </row>
    <row r="421" spans="1:12" x14ac:dyDescent="0.25">
      <c r="A421" s="5">
        <f t="shared" si="18"/>
        <v>2025</v>
      </c>
      <c r="B421" s="18" t="s">
        <v>1046</v>
      </c>
      <c r="C421" s="18" t="s">
        <v>595</v>
      </c>
      <c r="D421" s="12">
        <v>6111</v>
      </c>
      <c r="E421" s="17" t="s">
        <v>355</v>
      </c>
      <c r="F421" s="12" t="s">
        <v>356</v>
      </c>
      <c r="G421" s="14">
        <v>2</v>
      </c>
      <c r="H421" s="24">
        <v>300000</v>
      </c>
      <c r="I421" s="12" t="s">
        <v>712</v>
      </c>
      <c r="J421" s="6" t="s">
        <v>608</v>
      </c>
      <c r="K421" s="6">
        <f t="shared" si="19"/>
        <v>6</v>
      </c>
      <c r="L421" s="6" t="str">
        <f t="shared" si="20"/>
        <v>JUNIO</v>
      </c>
    </row>
    <row r="422" spans="1:12" x14ac:dyDescent="0.25">
      <c r="A422" s="5">
        <f t="shared" si="18"/>
        <v>2025</v>
      </c>
      <c r="B422" s="18" t="s">
        <v>1046</v>
      </c>
      <c r="C422" s="18" t="s">
        <v>595</v>
      </c>
      <c r="D422" s="12">
        <v>6111</v>
      </c>
      <c r="E422" s="17" t="s">
        <v>198</v>
      </c>
      <c r="F422" s="12" t="s">
        <v>199</v>
      </c>
      <c r="G422" s="14">
        <v>3</v>
      </c>
      <c r="H422" s="24">
        <v>951900</v>
      </c>
      <c r="I422" s="12" t="s">
        <v>712</v>
      </c>
      <c r="J422" s="6" t="s">
        <v>608</v>
      </c>
      <c r="K422" s="6">
        <f t="shared" si="19"/>
        <v>6</v>
      </c>
      <c r="L422" s="6" t="str">
        <f t="shared" si="20"/>
        <v>JUNIO</v>
      </c>
    </row>
    <row r="423" spans="1:12" x14ac:dyDescent="0.25">
      <c r="A423" s="5">
        <f t="shared" si="18"/>
        <v>2025</v>
      </c>
      <c r="B423" s="18" t="s">
        <v>1046</v>
      </c>
      <c r="C423" s="18" t="s">
        <v>595</v>
      </c>
      <c r="D423" s="12">
        <v>6111</v>
      </c>
      <c r="E423" s="17" t="s">
        <v>179</v>
      </c>
      <c r="F423" s="12" t="s">
        <v>180</v>
      </c>
      <c r="G423" s="14">
        <v>2</v>
      </c>
      <c r="H423" s="24">
        <v>710000</v>
      </c>
      <c r="I423" s="12" t="s">
        <v>712</v>
      </c>
      <c r="J423" s="6" t="s">
        <v>608</v>
      </c>
      <c r="K423" s="6">
        <f t="shared" si="19"/>
        <v>6</v>
      </c>
      <c r="L423" s="6" t="str">
        <f t="shared" si="20"/>
        <v>JUNIO</v>
      </c>
    </row>
    <row r="424" spans="1:12" x14ac:dyDescent="0.25">
      <c r="A424" s="5">
        <f t="shared" si="18"/>
        <v>2025</v>
      </c>
      <c r="B424" s="18" t="s">
        <v>1046</v>
      </c>
      <c r="C424" s="18" t="s">
        <v>595</v>
      </c>
      <c r="D424" s="12">
        <v>6111</v>
      </c>
      <c r="E424" s="17">
        <v>16980</v>
      </c>
      <c r="F424" s="12" t="s">
        <v>154</v>
      </c>
      <c r="G424" s="14">
        <v>1</v>
      </c>
      <c r="H424" s="24">
        <v>3700</v>
      </c>
      <c r="I424" s="12" t="s">
        <v>712</v>
      </c>
      <c r="J424" s="6" t="s">
        <v>608</v>
      </c>
      <c r="K424" s="6">
        <f t="shared" si="19"/>
        <v>6</v>
      </c>
      <c r="L424" s="6" t="str">
        <f t="shared" si="20"/>
        <v>JUNIO</v>
      </c>
    </row>
    <row r="425" spans="1:12" x14ac:dyDescent="0.25">
      <c r="A425" s="5">
        <f t="shared" si="18"/>
        <v>2025</v>
      </c>
      <c r="B425" s="18" t="s">
        <v>1046</v>
      </c>
      <c r="C425" s="18" t="s">
        <v>595</v>
      </c>
      <c r="D425" s="12">
        <v>6111</v>
      </c>
      <c r="E425" s="17">
        <v>4301254</v>
      </c>
      <c r="F425" s="12" t="s">
        <v>403</v>
      </c>
      <c r="G425" s="14">
        <v>1</v>
      </c>
      <c r="H425" s="24">
        <v>3300</v>
      </c>
      <c r="I425" s="12" t="s">
        <v>712</v>
      </c>
      <c r="J425" s="6" t="s">
        <v>608</v>
      </c>
      <c r="K425" s="6">
        <f t="shared" si="19"/>
        <v>6</v>
      </c>
      <c r="L425" s="6" t="str">
        <f t="shared" si="20"/>
        <v>JUNIO</v>
      </c>
    </row>
    <row r="426" spans="1:12" x14ac:dyDescent="0.25">
      <c r="A426" s="5">
        <f t="shared" si="18"/>
        <v>2025</v>
      </c>
      <c r="B426" s="18" t="s">
        <v>1221</v>
      </c>
      <c r="C426" s="18" t="s">
        <v>595</v>
      </c>
      <c r="D426" s="12">
        <v>6333</v>
      </c>
      <c r="E426" s="17" t="s">
        <v>348</v>
      </c>
      <c r="F426" s="12" t="s">
        <v>349</v>
      </c>
      <c r="G426" s="14">
        <v>8</v>
      </c>
      <c r="H426" s="24">
        <v>9600</v>
      </c>
      <c r="I426" s="12" t="s">
        <v>712</v>
      </c>
      <c r="J426" s="6" t="s">
        <v>608</v>
      </c>
      <c r="K426" s="6">
        <f t="shared" si="19"/>
        <v>10</v>
      </c>
      <c r="L426" s="6" t="str">
        <f t="shared" si="20"/>
        <v>OCTUBRE</v>
      </c>
    </row>
    <row r="427" spans="1:12" x14ac:dyDescent="0.25">
      <c r="A427" s="5">
        <f t="shared" si="18"/>
        <v>2025</v>
      </c>
      <c r="B427" s="18" t="s">
        <v>1221</v>
      </c>
      <c r="C427" s="18" t="s">
        <v>595</v>
      </c>
      <c r="D427" s="12">
        <v>6333</v>
      </c>
      <c r="E427" s="17" t="s">
        <v>453</v>
      </c>
      <c r="F427" s="12" t="s">
        <v>454</v>
      </c>
      <c r="G427" s="14">
        <v>2</v>
      </c>
      <c r="H427" s="24">
        <v>670000</v>
      </c>
      <c r="I427" s="12" t="s">
        <v>712</v>
      </c>
      <c r="J427" s="6" t="s">
        <v>608</v>
      </c>
      <c r="K427" s="6">
        <f t="shared" si="19"/>
        <v>10</v>
      </c>
      <c r="L427" s="6" t="str">
        <f t="shared" si="20"/>
        <v>OCTUBRE</v>
      </c>
    </row>
    <row r="428" spans="1:12" x14ac:dyDescent="0.25">
      <c r="A428" s="5">
        <f t="shared" si="18"/>
        <v>2025</v>
      </c>
      <c r="B428" s="18" t="s">
        <v>1221</v>
      </c>
      <c r="C428" s="18" t="s">
        <v>595</v>
      </c>
      <c r="D428" s="12">
        <v>6333</v>
      </c>
      <c r="E428" s="17">
        <v>127760</v>
      </c>
      <c r="F428" s="12" t="s">
        <v>382</v>
      </c>
      <c r="G428" s="14">
        <v>1</v>
      </c>
      <c r="H428" s="24">
        <v>97000</v>
      </c>
      <c r="I428" s="12" t="s">
        <v>712</v>
      </c>
      <c r="J428" s="6" t="s">
        <v>608</v>
      </c>
      <c r="K428" s="6">
        <f t="shared" si="19"/>
        <v>10</v>
      </c>
      <c r="L428" s="6" t="str">
        <f t="shared" si="20"/>
        <v>OCTUBRE</v>
      </c>
    </row>
    <row r="429" spans="1:12" x14ac:dyDescent="0.25">
      <c r="A429" s="5">
        <f t="shared" si="18"/>
        <v>2025</v>
      </c>
      <c r="B429" s="18" t="s">
        <v>1221</v>
      </c>
      <c r="C429" s="18" t="s">
        <v>595</v>
      </c>
      <c r="D429" s="12">
        <v>6333</v>
      </c>
      <c r="E429" s="17" t="s">
        <v>188</v>
      </c>
      <c r="F429" s="12" t="s">
        <v>189</v>
      </c>
      <c r="G429" s="14">
        <v>1</v>
      </c>
      <c r="H429" s="24">
        <v>34000</v>
      </c>
      <c r="I429" s="12" t="s">
        <v>712</v>
      </c>
      <c r="J429" s="6" t="s">
        <v>608</v>
      </c>
      <c r="K429" s="6">
        <f t="shared" si="19"/>
        <v>10</v>
      </c>
      <c r="L429" s="6" t="str">
        <f t="shared" si="20"/>
        <v>OCTUBRE</v>
      </c>
    </row>
    <row r="430" spans="1:12" x14ac:dyDescent="0.25">
      <c r="A430" s="5">
        <f t="shared" si="18"/>
        <v>2025</v>
      </c>
      <c r="B430" s="18" t="s">
        <v>1221</v>
      </c>
      <c r="C430" s="18" t="s">
        <v>595</v>
      </c>
      <c r="D430" s="12">
        <v>6333</v>
      </c>
      <c r="E430" s="17" t="s">
        <v>282</v>
      </c>
      <c r="F430" s="12" t="s">
        <v>283</v>
      </c>
      <c r="G430" s="14">
        <v>1</v>
      </c>
      <c r="H430" s="24">
        <v>329000</v>
      </c>
      <c r="I430" s="12" t="s">
        <v>712</v>
      </c>
      <c r="J430" s="6" t="s">
        <v>608</v>
      </c>
      <c r="K430" s="6">
        <f t="shared" si="19"/>
        <v>10</v>
      </c>
      <c r="L430" s="6" t="str">
        <f t="shared" si="20"/>
        <v>OCTUBRE</v>
      </c>
    </row>
    <row r="431" spans="1:12" x14ac:dyDescent="0.25">
      <c r="A431" s="5">
        <f t="shared" si="18"/>
        <v>2025</v>
      </c>
      <c r="B431" s="18" t="s">
        <v>1221</v>
      </c>
      <c r="C431" s="18" t="s">
        <v>595</v>
      </c>
      <c r="D431" s="12">
        <v>6333</v>
      </c>
      <c r="E431" s="17" t="s">
        <v>363</v>
      </c>
      <c r="F431" s="12" t="s">
        <v>364</v>
      </c>
      <c r="G431" s="14">
        <v>2</v>
      </c>
      <c r="H431" s="24">
        <v>132000</v>
      </c>
      <c r="I431" s="12" t="s">
        <v>712</v>
      </c>
      <c r="J431" s="6" t="s">
        <v>608</v>
      </c>
      <c r="K431" s="6">
        <f t="shared" si="19"/>
        <v>10</v>
      </c>
      <c r="L431" s="6" t="str">
        <f t="shared" si="20"/>
        <v>OCTUBRE</v>
      </c>
    </row>
    <row r="432" spans="1:12" x14ac:dyDescent="0.25">
      <c r="A432" s="5">
        <f t="shared" si="18"/>
        <v>2025</v>
      </c>
      <c r="B432" s="18" t="s">
        <v>1065</v>
      </c>
      <c r="C432" s="18" t="s">
        <v>595</v>
      </c>
      <c r="D432" s="12">
        <v>6139</v>
      </c>
      <c r="E432" s="17" t="s">
        <v>659</v>
      </c>
      <c r="F432" s="12" t="s">
        <v>662</v>
      </c>
      <c r="G432" s="14">
        <v>1</v>
      </c>
      <c r="H432" s="24">
        <v>134000</v>
      </c>
      <c r="I432" s="12" t="s">
        <v>546</v>
      </c>
      <c r="J432" s="6" t="s">
        <v>610</v>
      </c>
      <c r="K432" s="6">
        <f t="shared" si="19"/>
        <v>7</v>
      </c>
      <c r="L432" s="6" t="str">
        <f t="shared" si="20"/>
        <v>JULIO</v>
      </c>
    </row>
    <row r="433" spans="1:12" x14ac:dyDescent="0.25">
      <c r="A433" s="5">
        <f t="shared" si="18"/>
        <v>2025</v>
      </c>
      <c r="B433" s="18" t="s">
        <v>1180</v>
      </c>
      <c r="C433" s="18" t="s">
        <v>595</v>
      </c>
      <c r="D433" s="12">
        <v>6276</v>
      </c>
      <c r="E433" s="17" t="s">
        <v>432</v>
      </c>
      <c r="F433" s="12" t="s">
        <v>433</v>
      </c>
      <c r="G433" s="14">
        <v>1</v>
      </c>
      <c r="H433" s="24">
        <v>63000</v>
      </c>
      <c r="I433" s="12" t="s">
        <v>712</v>
      </c>
      <c r="J433" s="6" t="s">
        <v>608</v>
      </c>
      <c r="K433" s="6">
        <f t="shared" si="19"/>
        <v>9</v>
      </c>
      <c r="L433" s="6" t="str">
        <f t="shared" si="20"/>
        <v>SEPTIEMBRE</v>
      </c>
    </row>
    <row r="434" spans="1:12" x14ac:dyDescent="0.25">
      <c r="A434" s="5">
        <f t="shared" si="18"/>
        <v>2025</v>
      </c>
      <c r="B434" s="18" t="s">
        <v>1180</v>
      </c>
      <c r="C434" s="18" t="s">
        <v>595</v>
      </c>
      <c r="D434" s="12">
        <v>6276</v>
      </c>
      <c r="E434" s="17">
        <v>85003</v>
      </c>
      <c r="F434" s="12" t="s">
        <v>449</v>
      </c>
      <c r="G434" s="14">
        <v>2</v>
      </c>
      <c r="H434" s="24">
        <v>42000</v>
      </c>
      <c r="I434" s="12" t="s">
        <v>712</v>
      </c>
      <c r="J434" s="6" t="s">
        <v>608</v>
      </c>
      <c r="K434" s="6">
        <f t="shared" si="19"/>
        <v>9</v>
      </c>
      <c r="L434" s="6" t="str">
        <f t="shared" si="20"/>
        <v>SEPTIEMBRE</v>
      </c>
    </row>
    <row r="435" spans="1:12" x14ac:dyDescent="0.25">
      <c r="A435" s="5">
        <f t="shared" si="18"/>
        <v>2025</v>
      </c>
      <c r="B435" s="18" t="s">
        <v>1180</v>
      </c>
      <c r="C435" s="18" t="s">
        <v>595</v>
      </c>
      <c r="D435" s="12">
        <v>6276</v>
      </c>
      <c r="E435" s="17" t="s">
        <v>122</v>
      </c>
      <c r="F435" s="12" t="s">
        <v>123</v>
      </c>
      <c r="G435" s="14">
        <v>4</v>
      </c>
      <c r="H435" s="24">
        <v>25200</v>
      </c>
      <c r="I435" s="12" t="s">
        <v>712</v>
      </c>
      <c r="J435" s="6" t="s">
        <v>608</v>
      </c>
      <c r="K435" s="6">
        <f t="shared" si="19"/>
        <v>9</v>
      </c>
      <c r="L435" s="6" t="str">
        <f t="shared" si="20"/>
        <v>SEPTIEMBRE</v>
      </c>
    </row>
    <row r="436" spans="1:12" x14ac:dyDescent="0.25">
      <c r="A436" s="5">
        <f t="shared" si="18"/>
        <v>2025</v>
      </c>
      <c r="B436" s="18" t="s">
        <v>1180</v>
      </c>
      <c r="C436" s="18" t="s">
        <v>595</v>
      </c>
      <c r="D436" s="12">
        <v>6276</v>
      </c>
      <c r="E436" s="17" t="s">
        <v>910</v>
      </c>
      <c r="F436" s="12" t="s">
        <v>911</v>
      </c>
      <c r="G436" s="14">
        <v>1</v>
      </c>
      <c r="H436" s="24">
        <v>328087</v>
      </c>
      <c r="I436" s="12" t="s">
        <v>712</v>
      </c>
      <c r="J436" s="6" t="s">
        <v>608</v>
      </c>
      <c r="K436" s="6">
        <f t="shared" si="19"/>
        <v>9</v>
      </c>
      <c r="L436" s="6" t="str">
        <f t="shared" si="20"/>
        <v>SEPTIEMBRE</v>
      </c>
    </row>
    <row r="437" spans="1:12" x14ac:dyDescent="0.25">
      <c r="A437" s="5">
        <f t="shared" ref="A437:A500" si="21">+YEAR(B437)</f>
        <v>2025</v>
      </c>
      <c r="B437" s="18" t="s">
        <v>1186</v>
      </c>
      <c r="C437" s="18" t="s">
        <v>595</v>
      </c>
      <c r="D437" s="12">
        <v>6287</v>
      </c>
      <c r="E437" s="17" t="s">
        <v>488</v>
      </c>
      <c r="F437" s="12" t="s">
        <v>489</v>
      </c>
      <c r="G437" s="14">
        <v>2</v>
      </c>
      <c r="H437" s="24">
        <v>420000</v>
      </c>
      <c r="I437" s="12" t="s">
        <v>546</v>
      </c>
      <c r="J437" s="6" t="s">
        <v>610</v>
      </c>
      <c r="K437" s="6">
        <f t="shared" ref="K437:K500" si="22">+MONTH(B437)</f>
        <v>10</v>
      </c>
      <c r="L437" s="6" t="str">
        <f t="shared" si="20"/>
        <v>OCTUBRE</v>
      </c>
    </row>
    <row r="438" spans="1:12" x14ac:dyDescent="0.25">
      <c r="A438" s="5">
        <f t="shared" si="21"/>
        <v>2025</v>
      </c>
      <c r="B438" s="18" t="s">
        <v>1289</v>
      </c>
      <c r="C438" s="18" t="s">
        <v>595</v>
      </c>
      <c r="D438" s="12">
        <v>6391</v>
      </c>
      <c r="E438" s="17" t="s">
        <v>253</v>
      </c>
      <c r="F438" s="12" t="s">
        <v>254</v>
      </c>
      <c r="G438" s="14">
        <v>3</v>
      </c>
      <c r="H438" s="24">
        <v>72000</v>
      </c>
      <c r="I438" s="12" t="s">
        <v>712</v>
      </c>
      <c r="J438" s="6" t="s">
        <v>608</v>
      </c>
      <c r="K438" s="6">
        <f t="shared" si="22"/>
        <v>12</v>
      </c>
      <c r="L438" s="6" t="str">
        <f t="shared" si="20"/>
        <v>DICIEMBRE</v>
      </c>
    </row>
    <row r="439" spans="1:12" x14ac:dyDescent="0.25">
      <c r="A439" s="5">
        <f t="shared" si="21"/>
        <v>2025</v>
      </c>
      <c r="B439" s="18" t="s">
        <v>1289</v>
      </c>
      <c r="C439" s="18" t="s">
        <v>595</v>
      </c>
      <c r="D439" s="12">
        <v>6391</v>
      </c>
      <c r="E439" s="17" t="s">
        <v>371</v>
      </c>
      <c r="F439" s="12" t="s">
        <v>372</v>
      </c>
      <c r="G439" s="14">
        <v>6</v>
      </c>
      <c r="H439" s="24">
        <v>1128000</v>
      </c>
      <c r="I439" s="12" t="s">
        <v>712</v>
      </c>
      <c r="J439" s="6" t="s">
        <v>608</v>
      </c>
      <c r="K439" s="6">
        <f t="shared" si="22"/>
        <v>12</v>
      </c>
      <c r="L439" s="6" t="str">
        <f t="shared" si="20"/>
        <v>DICIEMBRE</v>
      </c>
    </row>
    <row r="440" spans="1:12" x14ac:dyDescent="0.25">
      <c r="A440" s="5">
        <f t="shared" si="21"/>
        <v>2025</v>
      </c>
      <c r="B440" s="18" t="s">
        <v>1289</v>
      </c>
      <c r="C440" s="18" t="s">
        <v>595</v>
      </c>
      <c r="D440" s="12">
        <v>6391</v>
      </c>
      <c r="E440" s="17" t="s">
        <v>934</v>
      </c>
      <c r="F440" s="12" t="s">
        <v>935</v>
      </c>
      <c r="G440" s="14">
        <v>1</v>
      </c>
      <c r="H440" s="24">
        <v>53261</v>
      </c>
      <c r="I440" s="12" t="s">
        <v>712</v>
      </c>
      <c r="J440" s="6" t="s">
        <v>608</v>
      </c>
      <c r="K440" s="6">
        <f t="shared" si="22"/>
        <v>12</v>
      </c>
      <c r="L440" s="6" t="str">
        <f t="shared" si="20"/>
        <v>DICIEMBRE</v>
      </c>
    </row>
    <row r="441" spans="1:12" x14ac:dyDescent="0.25">
      <c r="A441" s="5">
        <f t="shared" si="21"/>
        <v>2025</v>
      </c>
      <c r="B441" s="18" t="s">
        <v>1289</v>
      </c>
      <c r="C441" s="18" t="s">
        <v>595</v>
      </c>
      <c r="D441" s="12">
        <v>6391</v>
      </c>
      <c r="E441" s="17" t="s">
        <v>647</v>
      </c>
      <c r="F441" s="12" t="s">
        <v>268</v>
      </c>
      <c r="G441" s="14">
        <v>1</v>
      </c>
      <c r="H441" s="24">
        <v>451000</v>
      </c>
      <c r="I441" s="12" t="s">
        <v>712</v>
      </c>
      <c r="J441" s="6" t="s">
        <v>608</v>
      </c>
      <c r="K441" s="6">
        <f t="shared" si="22"/>
        <v>12</v>
      </c>
      <c r="L441" s="6" t="str">
        <f t="shared" si="20"/>
        <v>DICIEMBRE</v>
      </c>
    </row>
    <row r="442" spans="1:12" x14ac:dyDescent="0.25">
      <c r="A442" s="5">
        <f t="shared" si="21"/>
        <v>2025</v>
      </c>
      <c r="B442" s="18" t="s">
        <v>1289</v>
      </c>
      <c r="C442" s="18" t="s">
        <v>595</v>
      </c>
      <c r="D442" s="12">
        <v>6391</v>
      </c>
      <c r="E442" s="17" t="s">
        <v>228</v>
      </c>
      <c r="F442" s="12" t="s">
        <v>229</v>
      </c>
      <c r="G442" s="14">
        <v>2</v>
      </c>
      <c r="H442" s="24">
        <v>240000</v>
      </c>
      <c r="I442" s="12" t="s">
        <v>712</v>
      </c>
      <c r="J442" s="6" t="s">
        <v>608</v>
      </c>
      <c r="K442" s="6">
        <f t="shared" si="22"/>
        <v>12</v>
      </c>
      <c r="L442" s="6" t="str">
        <f t="shared" si="20"/>
        <v>DICIEMBRE</v>
      </c>
    </row>
    <row r="443" spans="1:12" x14ac:dyDescent="0.25">
      <c r="A443" s="5">
        <f t="shared" si="21"/>
        <v>2025</v>
      </c>
      <c r="B443" s="18" t="s">
        <v>1289</v>
      </c>
      <c r="C443" s="18" t="s">
        <v>595</v>
      </c>
      <c r="D443" s="12">
        <v>6391</v>
      </c>
      <c r="E443" s="17" t="s">
        <v>213</v>
      </c>
      <c r="F443" s="12" t="s">
        <v>214</v>
      </c>
      <c r="G443" s="14">
        <v>1</v>
      </c>
      <c r="H443" s="24">
        <v>1200000</v>
      </c>
      <c r="I443" s="12" t="s">
        <v>712</v>
      </c>
      <c r="J443" s="6" t="s">
        <v>608</v>
      </c>
      <c r="K443" s="6">
        <f t="shared" si="22"/>
        <v>12</v>
      </c>
      <c r="L443" s="6" t="str">
        <f t="shared" si="20"/>
        <v>DICIEMBRE</v>
      </c>
    </row>
    <row r="444" spans="1:12" x14ac:dyDescent="0.25">
      <c r="A444" s="5">
        <f t="shared" si="21"/>
        <v>2025</v>
      </c>
      <c r="B444" s="18" t="s">
        <v>1289</v>
      </c>
      <c r="C444" s="18" t="s">
        <v>595</v>
      </c>
      <c r="D444" s="12">
        <v>6391</v>
      </c>
      <c r="E444" s="17" t="s">
        <v>245</v>
      </c>
      <c r="F444" s="12" t="s">
        <v>246</v>
      </c>
      <c r="G444" s="14">
        <v>1</v>
      </c>
      <c r="H444" s="24">
        <v>5500</v>
      </c>
      <c r="I444" s="12" t="s">
        <v>712</v>
      </c>
      <c r="J444" s="6" t="s">
        <v>608</v>
      </c>
      <c r="K444" s="6">
        <f t="shared" si="22"/>
        <v>12</v>
      </c>
      <c r="L444" s="6" t="str">
        <f t="shared" si="20"/>
        <v>DICIEMBRE</v>
      </c>
    </row>
    <row r="445" spans="1:12" x14ac:dyDescent="0.25">
      <c r="A445" s="5">
        <f t="shared" si="21"/>
        <v>2025</v>
      </c>
      <c r="B445" s="18" t="s">
        <v>1289</v>
      </c>
      <c r="C445" s="18" t="s">
        <v>595</v>
      </c>
      <c r="D445" s="12">
        <v>6391</v>
      </c>
      <c r="E445" s="17" t="s">
        <v>526</v>
      </c>
      <c r="F445" s="12" t="s">
        <v>527</v>
      </c>
      <c r="G445" s="14">
        <v>1</v>
      </c>
      <c r="H445" s="24">
        <v>42000</v>
      </c>
      <c r="I445" s="12" t="s">
        <v>712</v>
      </c>
      <c r="J445" s="6" t="s">
        <v>608</v>
      </c>
      <c r="K445" s="6">
        <f t="shared" si="22"/>
        <v>12</v>
      </c>
      <c r="L445" s="6" t="str">
        <f t="shared" si="20"/>
        <v>DICIEMBRE</v>
      </c>
    </row>
    <row r="446" spans="1:12" x14ac:dyDescent="0.25">
      <c r="A446" s="5">
        <f t="shared" si="21"/>
        <v>2025</v>
      </c>
      <c r="B446" s="18" t="s">
        <v>1289</v>
      </c>
      <c r="C446" s="18" t="s">
        <v>595</v>
      </c>
      <c r="D446" s="12">
        <v>6391</v>
      </c>
      <c r="E446" s="17" t="s">
        <v>325</v>
      </c>
      <c r="F446" s="12" t="s">
        <v>326</v>
      </c>
      <c r="G446" s="14">
        <v>1</v>
      </c>
      <c r="H446" s="24">
        <v>227000</v>
      </c>
      <c r="I446" s="12" t="s">
        <v>712</v>
      </c>
      <c r="J446" s="6" t="s">
        <v>608</v>
      </c>
      <c r="K446" s="6">
        <f t="shared" si="22"/>
        <v>12</v>
      </c>
      <c r="L446" s="6" t="str">
        <f t="shared" si="20"/>
        <v>DICIEMBRE</v>
      </c>
    </row>
    <row r="447" spans="1:12" x14ac:dyDescent="0.25">
      <c r="A447" s="5">
        <f t="shared" si="21"/>
        <v>2025</v>
      </c>
      <c r="B447" s="18" t="s">
        <v>1289</v>
      </c>
      <c r="C447" s="18" t="s">
        <v>595</v>
      </c>
      <c r="D447" s="12">
        <v>6391</v>
      </c>
      <c r="E447" s="17">
        <v>131973</v>
      </c>
      <c r="F447" s="12" t="s">
        <v>1293</v>
      </c>
      <c r="G447" s="14">
        <v>1</v>
      </c>
      <c r="H447" s="24">
        <v>360000</v>
      </c>
      <c r="I447" s="12" t="s">
        <v>712</v>
      </c>
      <c r="J447" s="6" t="s">
        <v>608</v>
      </c>
      <c r="K447" s="6">
        <f t="shared" si="22"/>
        <v>12</v>
      </c>
      <c r="L447" s="6" t="str">
        <f t="shared" si="20"/>
        <v>DICIEMBRE</v>
      </c>
    </row>
    <row r="448" spans="1:12" x14ac:dyDescent="0.25">
      <c r="A448" s="5">
        <f t="shared" si="21"/>
        <v>2025</v>
      </c>
      <c r="B448" s="18" t="s">
        <v>1289</v>
      </c>
      <c r="C448" s="18" t="s">
        <v>595</v>
      </c>
      <c r="D448" s="12">
        <v>6391</v>
      </c>
      <c r="E448" s="17" t="s">
        <v>423</v>
      </c>
      <c r="F448" s="12" t="s">
        <v>424</v>
      </c>
      <c r="G448" s="14">
        <v>4</v>
      </c>
      <c r="H448" s="24">
        <v>328000</v>
      </c>
      <c r="I448" s="12" t="s">
        <v>712</v>
      </c>
      <c r="J448" s="6" t="s">
        <v>608</v>
      </c>
      <c r="K448" s="6">
        <f t="shared" si="22"/>
        <v>12</v>
      </c>
      <c r="L448" s="6" t="str">
        <f t="shared" si="20"/>
        <v>DICIEMBRE</v>
      </c>
    </row>
    <row r="449" spans="1:12" x14ac:dyDescent="0.25">
      <c r="A449" s="5">
        <f t="shared" si="21"/>
        <v>2025</v>
      </c>
      <c r="B449" s="18" t="s">
        <v>1289</v>
      </c>
      <c r="C449" s="18" t="s">
        <v>595</v>
      </c>
      <c r="D449" s="12">
        <v>6391</v>
      </c>
      <c r="E449" s="17" t="s">
        <v>97</v>
      </c>
      <c r="F449" s="12" t="s">
        <v>98</v>
      </c>
      <c r="G449" s="14">
        <v>1</v>
      </c>
      <c r="H449" s="24">
        <v>138000</v>
      </c>
      <c r="I449" s="12" t="s">
        <v>712</v>
      </c>
      <c r="J449" s="6" t="s">
        <v>608</v>
      </c>
      <c r="K449" s="6">
        <f t="shared" si="22"/>
        <v>12</v>
      </c>
      <c r="L449" s="6" t="str">
        <f t="shared" si="20"/>
        <v>DICIEMBRE</v>
      </c>
    </row>
    <row r="450" spans="1:12" x14ac:dyDescent="0.25">
      <c r="A450" s="5">
        <f t="shared" si="21"/>
        <v>2025</v>
      </c>
      <c r="B450" s="18" t="s">
        <v>1174</v>
      </c>
      <c r="C450" s="18" t="s">
        <v>595</v>
      </c>
      <c r="D450" s="12">
        <v>6258</v>
      </c>
      <c r="E450" s="17" t="s">
        <v>1122</v>
      </c>
      <c r="F450" s="12" t="s">
        <v>1125</v>
      </c>
      <c r="G450" s="14">
        <v>1</v>
      </c>
      <c r="H450" s="24">
        <v>65758</v>
      </c>
      <c r="I450" s="12" t="s">
        <v>546</v>
      </c>
      <c r="J450" s="6" t="s">
        <v>610</v>
      </c>
      <c r="K450" s="6">
        <f t="shared" si="22"/>
        <v>9</v>
      </c>
      <c r="L450" s="6" t="str">
        <f t="shared" si="20"/>
        <v>SEPTIEMBRE</v>
      </c>
    </row>
    <row r="451" spans="1:12" x14ac:dyDescent="0.25">
      <c r="A451" s="5">
        <f t="shared" si="21"/>
        <v>2025</v>
      </c>
      <c r="B451" s="18" t="s">
        <v>1174</v>
      </c>
      <c r="C451" s="18" t="s">
        <v>595</v>
      </c>
      <c r="D451" s="12">
        <v>6258</v>
      </c>
      <c r="E451" s="17" t="s">
        <v>355</v>
      </c>
      <c r="F451" s="12" t="s">
        <v>356</v>
      </c>
      <c r="G451" s="14">
        <v>1</v>
      </c>
      <c r="H451" s="24">
        <v>175000</v>
      </c>
      <c r="I451" s="12" t="s">
        <v>546</v>
      </c>
      <c r="J451" s="6" t="s">
        <v>610</v>
      </c>
      <c r="K451" s="6">
        <f t="shared" si="22"/>
        <v>9</v>
      </c>
      <c r="L451" s="6" t="str">
        <f t="shared" ref="L451:L514" si="23">VLOOKUP(K451,N:O,2,0)</f>
        <v>SEPTIEMBRE</v>
      </c>
    </row>
    <row r="452" spans="1:12" x14ac:dyDescent="0.25">
      <c r="A452" s="5">
        <f t="shared" si="21"/>
        <v>2025</v>
      </c>
      <c r="B452" s="18" t="s">
        <v>1185</v>
      </c>
      <c r="C452" s="18" t="s">
        <v>595</v>
      </c>
      <c r="D452" s="12">
        <v>6284</v>
      </c>
      <c r="E452" s="17" t="s">
        <v>463</v>
      </c>
      <c r="F452" s="12" t="s">
        <v>464</v>
      </c>
      <c r="G452" s="14">
        <v>1</v>
      </c>
      <c r="H452" s="24">
        <v>345000</v>
      </c>
      <c r="I452" s="12" t="s">
        <v>546</v>
      </c>
      <c r="J452" s="6" t="s">
        <v>610</v>
      </c>
      <c r="K452" s="6">
        <f t="shared" si="22"/>
        <v>10</v>
      </c>
      <c r="L452" s="6" t="str">
        <f t="shared" si="23"/>
        <v>OCTUBRE</v>
      </c>
    </row>
    <row r="453" spans="1:12" x14ac:dyDescent="0.25">
      <c r="A453" s="5">
        <f t="shared" si="21"/>
        <v>2025</v>
      </c>
      <c r="B453" s="18" t="s">
        <v>1185</v>
      </c>
      <c r="C453" s="18" t="s">
        <v>595</v>
      </c>
      <c r="D453" s="12">
        <v>6284</v>
      </c>
      <c r="E453" s="17" t="s">
        <v>293</v>
      </c>
      <c r="F453" s="12" t="s">
        <v>294</v>
      </c>
      <c r="G453" s="14">
        <v>2</v>
      </c>
      <c r="H453" s="24">
        <v>969536</v>
      </c>
      <c r="I453" s="12" t="s">
        <v>546</v>
      </c>
      <c r="J453" s="6" t="s">
        <v>610</v>
      </c>
      <c r="K453" s="6">
        <f t="shared" si="22"/>
        <v>10</v>
      </c>
      <c r="L453" s="6" t="str">
        <f t="shared" si="23"/>
        <v>OCTUBRE</v>
      </c>
    </row>
    <row r="454" spans="1:12" x14ac:dyDescent="0.25">
      <c r="A454" s="5">
        <f t="shared" si="21"/>
        <v>2025</v>
      </c>
      <c r="B454" s="18" t="s">
        <v>1185</v>
      </c>
      <c r="C454" s="18" t="s">
        <v>595</v>
      </c>
      <c r="D454" s="12">
        <v>6284</v>
      </c>
      <c r="E454" s="17">
        <v>4303336</v>
      </c>
      <c r="F454" s="12" t="s">
        <v>261</v>
      </c>
      <c r="G454" s="14">
        <v>5</v>
      </c>
      <c r="H454" s="24">
        <v>34000</v>
      </c>
      <c r="I454" s="12" t="s">
        <v>546</v>
      </c>
      <c r="J454" s="6" t="s">
        <v>610</v>
      </c>
      <c r="K454" s="6">
        <f t="shared" si="22"/>
        <v>10</v>
      </c>
      <c r="L454" s="6" t="str">
        <f t="shared" si="23"/>
        <v>OCTUBRE</v>
      </c>
    </row>
    <row r="455" spans="1:12" x14ac:dyDescent="0.25">
      <c r="A455" s="5">
        <f t="shared" si="21"/>
        <v>2025</v>
      </c>
      <c r="B455" s="18" t="s">
        <v>1185</v>
      </c>
      <c r="C455" s="18" t="s">
        <v>595</v>
      </c>
      <c r="D455" s="12">
        <v>6284</v>
      </c>
      <c r="E455" s="17" t="s">
        <v>492</v>
      </c>
      <c r="F455" s="12" t="s">
        <v>493</v>
      </c>
      <c r="G455" s="14">
        <v>3</v>
      </c>
      <c r="H455" s="24">
        <v>234000</v>
      </c>
      <c r="I455" s="12" t="s">
        <v>546</v>
      </c>
      <c r="J455" s="6" t="s">
        <v>610</v>
      </c>
      <c r="K455" s="6">
        <f t="shared" si="22"/>
        <v>10</v>
      </c>
      <c r="L455" s="6" t="str">
        <f t="shared" si="23"/>
        <v>OCTUBRE</v>
      </c>
    </row>
    <row r="456" spans="1:12" x14ac:dyDescent="0.25">
      <c r="A456" s="5">
        <f t="shared" si="21"/>
        <v>2025</v>
      </c>
      <c r="B456" s="18" t="s">
        <v>1185</v>
      </c>
      <c r="C456" s="18" t="s">
        <v>595</v>
      </c>
      <c r="D456" s="12">
        <v>6284</v>
      </c>
      <c r="E456" s="17" t="s">
        <v>342</v>
      </c>
      <c r="F456" s="12" t="s">
        <v>343</v>
      </c>
      <c r="G456" s="14">
        <v>2</v>
      </c>
      <c r="H456" s="24">
        <v>499550</v>
      </c>
      <c r="I456" s="12" t="s">
        <v>546</v>
      </c>
      <c r="J456" s="6" t="s">
        <v>610</v>
      </c>
      <c r="K456" s="6">
        <f t="shared" si="22"/>
        <v>10</v>
      </c>
      <c r="L456" s="6" t="str">
        <f t="shared" si="23"/>
        <v>OCTUBRE</v>
      </c>
    </row>
    <row r="457" spans="1:12" x14ac:dyDescent="0.25">
      <c r="A457" s="5">
        <f t="shared" si="21"/>
        <v>2025</v>
      </c>
      <c r="B457" s="18" t="s">
        <v>1013</v>
      </c>
      <c r="C457" s="18" t="s">
        <v>595</v>
      </c>
      <c r="D457" s="12">
        <v>6072</v>
      </c>
      <c r="E457" s="17" t="s">
        <v>311</v>
      </c>
      <c r="F457" s="12" t="s">
        <v>312</v>
      </c>
      <c r="G457" s="14">
        <v>1</v>
      </c>
      <c r="H457" s="24">
        <v>223000</v>
      </c>
      <c r="I457" s="12" t="s">
        <v>546</v>
      </c>
      <c r="J457" s="6" t="s">
        <v>610</v>
      </c>
      <c r="K457" s="6">
        <f t="shared" si="22"/>
        <v>5</v>
      </c>
      <c r="L457" s="6" t="str">
        <f t="shared" si="23"/>
        <v>MAYO</v>
      </c>
    </row>
    <row r="458" spans="1:12" x14ac:dyDescent="0.25">
      <c r="A458" s="5">
        <f t="shared" si="21"/>
        <v>2025</v>
      </c>
      <c r="B458" s="18" t="s">
        <v>1179</v>
      </c>
      <c r="C458" s="18" t="s">
        <v>595</v>
      </c>
      <c r="D458" s="12">
        <v>6275</v>
      </c>
      <c r="E458" s="17" t="s">
        <v>181</v>
      </c>
      <c r="F458" s="12" t="s">
        <v>182</v>
      </c>
      <c r="G458" s="14">
        <v>1</v>
      </c>
      <c r="H458" s="24">
        <v>98000</v>
      </c>
      <c r="I458" s="12" t="s">
        <v>546</v>
      </c>
      <c r="J458" s="6" t="s">
        <v>610</v>
      </c>
      <c r="K458" s="6">
        <f t="shared" si="22"/>
        <v>9</v>
      </c>
      <c r="L458" s="6" t="str">
        <f t="shared" si="23"/>
        <v>SEPTIEMBRE</v>
      </c>
    </row>
    <row r="459" spans="1:12" x14ac:dyDescent="0.25">
      <c r="A459" s="5">
        <f t="shared" si="21"/>
        <v>2025</v>
      </c>
      <c r="B459" s="18" t="s">
        <v>1179</v>
      </c>
      <c r="C459" s="18" t="s">
        <v>595</v>
      </c>
      <c r="D459" s="12">
        <v>6275</v>
      </c>
      <c r="E459" s="17" t="s">
        <v>413</v>
      </c>
      <c r="F459" s="12" t="s">
        <v>414</v>
      </c>
      <c r="G459" s="14">
        <v>1</v>
      </c>
      <c r="H459" s="24">
        <v>78000</v>
      </c>
      <c r="I459" s="12" t="s">
        <v>546</v>
      </c>
      <c r="J459" s="6" t="s">
        <v>610</v>
      </c>
      <c r="K459" s="6">
        <f t="shared" si="22"/>
        <v>9</v>
      </c>
      <c r="L459" s="6" t="str">
        <f t="shared" si="23"/>
        <v>SEPTIEMBRE</v>
      </c>
    </row>
    <row r="460" spans="1:12" x14ac:dyDescent="0.25">
      <c r="A460" s="5">
        <f t="shared" si="21"/>
        <v>2025</v>
      </c>
      <c r="B460" s="18" t="s">
        <v>1179</v>
      </c>
      <c r="C460" s="18" t="s">
        <v>595</v>
      </c>
      <c r="D460" s="12">
        <v>6275</v>
      </c>
      <c r="E460" s="17" t="s">
        <v>897</v>
      </c>
      <c r="F460" s="12" t="s">
        <v>898</v>
      </c>
      <c r="G460" s="14">
        <v>1</v>
      </c>
      <c r="H460" s="24">
        <v>280000</v>
      </c>
      <c r="I460" s="12" t="s">
        <v>546</v>
      </c>
      <c r="J460" s="6" t="s">
        <v>610</v>
      </c>
      <c r="K460" s="6">
        <f t="shared" si="22"/>
        <v>9</v>
      </c>
      <c r="L460" s="6" t="str">
        <f t="shared" si="23"/>
        <v>SEPTIEMBRE</v>
      </c>
    </row>
    <row r="461" spans="1:12" x14ac:dyDescent="0.25">
      <c r="A461" s="5">
        <f t="shared" si="21"/>
        <v>2025</v>
      </c>
      <c r="B461" s="18" t="s">
        <v>1179</v>
      </c>
      <c r="C461" s="18" t="s">
        <v>595</v>
      </c>
      <c r="D461" s="12">
        <v>6275</v>
      </c>
      <c r="E461" s="17" t="s">
        <v>352</v>
      </c>
      <c r="F461" s="12" t="s">
        <v>353</v>
      </c>
      <c r="G461" s="14">
        <v>1</v>
      </c>
      <c r="H461" s="24">
        <v>63000</v>
      </c>
      <c r="I461" s="12" t="s">
        <v>546</v>
      </c>
      <c r="J461" s="6" t="s">
        <v>610</v>
      </c>
      <c r="K461" s="6">
        <f t="shared" si="22"/>
        <v>9</v>
      </c>
      <c r="L461" s="6" t="str">
        <f t="shared" si="23"/>
        <v>SEPTIEMBRE</v>
      </c>
    </row>
    <row r="462" spans="1:12" x14ac:dyDescent="0.25">
      <c r="A462" s="5">
        <f t="shared" si="21"/>
        <v>2025</v>
      </c>
      <c r="B462" s="18" t="s">
        <v>1179</v>
      </c>
      <c r="C462" s="18" t="s">
        <v>595</v>
      </c>
      <c r="D462" s="12">
        <v>6275</v>
      </c>
      <c r="E462" s="17">
        <v>4952631</v>
      </c>
      <c r="F462" s="12" t="s">
        <v>1183</v>
      </c>
      <c r="G462" s="14">
        <v>1</v>
      </c>
      <c r="H462" s="24">
        <v>191702</v>
      </c>
      <c r="I462" s="12" t="s">
        <v>546</v>
      </c>
      <c r="J462" s="6" t="s">
        <v>610</v>
      </c>
      <c r="K462" s="6">
        <f t="shared" si="22"/>
        <v>9</v>
      </c>
      <c r="L462" s="6" t="str">
        <f t="shared" si="23"/>
        <v>SEPTIEMBRE</v>
      </c>
    </row>
    <row r="463" spans="1:12" x14ac:dyDescent="0.25">
      <c r="A463" s="5">
        <f t="shared" si="21"/>
        <v>2025</v>
      </c>
      <c r="B463" s="18" t="s">
        <v>1179</v>
      </c>
      <c r="C463" s="18" t="s">
        <v>595</v>
      </c>
      <c r="D463" s="12">
        <v>6275</v>
      </c>
      <c r="E463" s="17" t="s">
        <v>668</v>
      </c>
      <c r="F463" s="12" t="s">
        <v>402</v>
      </c>
      <c r="G463" s="14">
        <v>2</v>
      </c>
      <c r="H463" s="24">
        <v>620000</v>
      </c>
      <c r="I463" s="12" t="s">
        <v>546</v>
      </c>
      <c r="J463" s="6" t="s">
        <v>610</v>
      </c>
      <c r="K463" s="6">
        <f t="shared" si="22"/>
        <v>9</v>
      </c>
      <c r="L463" s="6" t="str">
        <f t="shared" si="23"/>
        <v>SEPTIEMBRE</v>
      </c>
    </row>
    <row r="464" spans="1:12" x14ac:dyDescent="0.25">
      <c r="A464" s="5">
        <f t="shared" si="21"/>
        <v>2025</v>
      </c>
      <c r="B464" s="18" t="s">
        <v>1179</v>
      </c>
      <c r="C464" s="18" t="s">
        <v>595</v>
      </c>
      <c r="D464" s="12">
        <v>6275</v>
      </c>
      <c r="E464" s="17" t="s">
        <v>305</v>
      </c>
      <c r="F464" s="12" t="s">
        <v>306</v>
      </c>
      <c r="G464" s="14">
        <v>1</v>
      </c>
      <c r="H464" s="24">
        <v>340000</v>
      </c>
      <c r="I464" s="12" t="s">
        <v>546</v>
      </c>
      <c r="J464" s="6" t="s">
        <v>610</v>
      </c>
      <c r="K464" s="6">
        <f t="shared" si="22"/>
        <v>9</v>
      </c>
      <c r="L464" s="6" t="str">
        <f t="shared" si="23"/>
        <v>SEPTIEMBRE</v>
      </c>
    </row>
    <row r="465" spans="1:12" x14ac:dyDescent="0.25">
      <c r="A465" s="5">
        <f t="shared" si="21"/>
        <v>2025</v>
      </c>
      <c r="B465" s="18" t="s">
        <v>1012</v>
      </c>
      <c r="C465" s="18" t="s">
        <v>595</v>
      </c>
      <c r="D465" s="12">
        <v>6065</v>
      </c>
      <c r="E465" s="17">
        <v>4300912</v>
      </c>
      <c r="F465" s="12" t="s">
        <v>528</v>
      </c>
      <c r="G465" s="14">
        <v>2</v>
      </c>
      <c r="H465" s="24">
        <v>235200</v>
      </c>
      <c r="I465" s="12" t="s">
        <v>546</v>
      </c>
      <c r="J465" s="6" t="s">
        <v>610</v>
      </c>
      <c r="K465" s="6">
        <f t="shared" si="22"/>
        <v>5</v>
      </c>
      <c r="L465" s="6" t="str">
        <f t="shared" si="23"/>
        <v>MAYO</v>
      </c>
    </row>
    <row r="466" spans="1:12" x14ac:dyDescent="0.25">
      <c r="A466" s="5">
        <f t="shared" si="21"/>
        <v>2025</v>
      </c>
      <c r="B466" s="18" t="s">
        <v>1114</v>
      </c>
      <c r="C466" s="18" t="s">
        <v>595</v>
      </c>
      <c r="D466" s="12">
        <v>6202</v>
      </c>
      <c r="E466" s="17" t="s">
        <v>492</v>
      </c>
      <c r="F466" s="12" t="s">
        <v>493</v>
      </c>
      <c r="G466" s="14">
        <v>1</v>
      </c>
      <c r="H466" s="24">
        <v>78000</v>
      </c>
      <c r="I466" s="12" t="s">
        <v>546</v>
      </c>
      <c r="J466" s="6" t="s">
        <v>610</v>
      </c>
      <c r="K466" s="6">
        <f t="shared" si="22"/>
        <v>8</v>
      </c>
      <c r="L466" s="6" t="str">
        <f t="shared" si="23"/>
        <v>AGOSTO</v>
      </c>
    </row>
    <row r="467" spans="1:12" x14ac:dyDescent="0.25">
      <c r="A467" s="5">
        <f t="shared" si="21"/>
        <v>2025</v>
      </c>
      <c r="B467" s="18" t="s">
        <v>1114</v>
      </c>
      <c r="C467" s="18" t="s">
        <v>595</v>
      </c>
      <c r="D467" s="12">
        <v>6202</v>
      </c>
      <c r="E467" s="17">
        <v>4304023</v>
      </c>
      <c r="F467" s="12" t="s">
        <v>284</v>
      </c>
      <c r="G467" s="14">
        <v>2</v>
      </c>
      <c r="H467" s="24">
        <v>29000</v>
      </c>
      <c r="I467" s="12" t="s">
        <v>546</v>
      </c>
      <c r="J467" s="6" t="s">
        <v>610</v>
      </c>
      <c r="K467" s="6">
        <f t="shared" si="22"/>
        <v>8</v>
      </c>
      <c r="L467" s="6" t="str">
        <f t="shared" si="23"/>
        <v>AGOSTO</v>
      </c>
    </row>
    <row r="468" spans="1:12" x14ac:dyDescent="0.25">
      <c r="A468" s="5">
        <f t="shared" si="21"/>
        <v>2025</v>
      </c>
      <c r="B468" s="18" t="s">
        <v>1137</v>
      </c>
      <c r="C468" s="18" t="s">
        <v>595</v>
      </c>
      <c r="D468" s="12">
        <v>6221</v>
      </c>
      <c r="E468" s="17" t="s">
        <v>1145</v>
      </c>
      <c r="F468" s="12" t="s">
        <v>1146</v>
      </c>
      <c r="G468" s="14">
        <v>7</v>
      </c>
      <c r="H468" s="24">
        <v>357000</v>
      </c>
      <c r="I468" s="12" t="s">
        <v>546</v>
      </c>
      <c r="J468" s="6" t="s">
        <v>610</v>
      </c>
      <c r="K468" s="6">
        <f t="shared" si="22"/>
        <v>8</v>
      </c>
      <c r="L468" s="6" t="str">
        <f t="shared" si="23"/>
        <v>AGOSTO</v>
      </c>
    </row>
    <row r="469" spans="1:12" x14ac:dyDescent="0.25">
      <c r="A469" s="5">
        <f t="shared" si="21"/>
        <v>2025</v>
      </c>
      <c r="B469" s="18" t="s">
        <v>1113</v>
      </c>
      <c r="C469" s="18" t="s">
        <v>595</v>
      </c>
      <c r="D469" s="12">
        <v>6193</v>
      </c>
      <c r="E469" s="17">
        <v>7400850005</v>
      </c>
      <c r="F469" s="12" t="s">
        <v>874</v>
      </c>
      <c r="G469" s="14">
        <v>1</v>
      </c>
      <c r="H469" s="24">
        <v>106000</v>
      </c>
      <c r="I469" s="12" t="s">
        <v>712</v>
      </c>
      <c r="J469" s="6" t="s">
        <v>608</v>
      </c>
      <c r="K469" s="6">
        <f t="shared" si="22"/>
        <v>7</v>
      </c>
      <c r="L469" s="6" t="str">
        <f t="shared" si="23"/>
        <v>JULIO</v>
      </c>
    </row>
    <row r="470" spans="1:12" x14ac:dyDescent="0.25">
      <c r="A470" s="5">
        <f t="shared" si="21"/>
        <v>2025</v>
      </c>
      <c r="B470" s="18" t="s">
        <v>1113</v>
      </c>
      <c r="C470" s="18" t="s">
        <v>595</v>
      </c>
      <c r="D470" s="12">
        <v>6193</v>
      </c>
      <c r="E470" s="17" t="s">
        <v>230</v>
      </c>
      <c r="F470" s="12" t="s">
        <v>231</v>
      </c>
      <c r="G470" s="14">
        <v>4</v>
      </c>
      <c r="H470" s="24">
        <v>2280000</v>
      </c>
      <c r="I470" s="12" t="s">
        <v>712</v>
      </c>
      <c r="J470" s="6" t="s">
        <v>608</v>
      </c>
      <c r="K470" s="6">
        <f t="shared" si="22"/>
        <v>7</v>
      </c>
      <c r="L470" s="6" t="str">
        <f t="shared" si="23"/>
        <v>JULIO</v>
      </c>
    </row>
    <row r="471" spans="1:12" x14ac:dyDescent="0.25">
      <c r="A471" s="5">
        <f t="shared" si="21"/>
        <v>2025</v>
      </c>
      <c r="B471" s="18" t="s">
        <v>1113</v>
      </c>
      <c r="C471" s="18" t="s">
        <v>595</v>
      </c>
      <c r="D471" s="12">
        <v>6193</v>
      </c>
      <c r="E471" s="17" t="s">
        <v>313</v>
      </c>
      <c r="F471" s="12" t="s">
        <v>314</v>
      </c>
      <c r="G471" s="14">
        <v>1</v>
      </c>
      <c r="H471" s="24">
        <v>1540000</v>
      </c>
      <c r="I471" s="12" t="s">
        <v>712</v>
      </c>
      <c r="J471" s="6" t="s">
        <v>608</v>
      </c>
      <c r="K471" s="6">
        <f t="shared" si="22"/>
        <v>7</v>
      </c>
      <c r="L471" s="6" t="str">
        <f t="shared" si="23"/>
        <v>JULIO</v>
      </c>
    </row>
    <row r="472" spans="1:12" x14ac:dyDescent="0.25">
      <c r="A472" s="5">
        <f t="shared" si="21"/>
        <v>2025</v>
      </c>
      <c r="B472" s="18" t="s">
        <v>1045</v>
      </c>
      <c r="C472" s="18" t="s">
        <v>595</v>
      </c>
      <c r="D472" s="12">
        <v>6115</v>
      </c>
      <c r="E472" s="17" t="s">
        <v>348</v>
      </c>
      <c r="F472" s="12" t="s">
        <v>349</v>
      </c>
      <c r="G472" s="14">
        <v>1</v>
      </c>
      <c r="H472" s="24">
        <v>1200</v>
      </c>
      <c r="I472" s="12" t="s">
        <v>712</v>
      </c>
      <c r="J472" s="6" t="s">
        <v>608</v>
      </c>
      <c r="K472" s="6">
        <f t="shared" si="22"/>
        <v>6</v>
      </c>
      <c r="L472" s="6" t="str">
        <f t="shared" si="23"/>
        <v>JUNIO</v>
      </c>
    </row>
    <row r="473" spans="1:12" x14ac:dyDescent="0.25">
      <c r="A473" s="5">
        <f t="shared" si="21"/>
        <v>2025</v>
      </c>
      <c r="B473" s="18" t="s">
        <v>1045</v>
      </c>
      <c r="C473" s="18" t="s">
        <v>595</v>
      </c>
      <c r="D473" s="12">
        <v>6115</v>
      </c>
      <c r="E473" s="17" t="s">
        <v>291</v>
      </c>
      <c r="F473" s="12" t="s">
        <v>292</v>
      </c>
      <c r="G473" s="14">
        <v>1</v>
      </c>
      <c r="H473" s="24">
        <v>89000</v>
      </c>
      <c r="I473" s="12" t="s">
        <v>712</v>
      </c>
      <c r="J473" s="6" t="s">
        <v>608</v>
      </c>
      <c r="K473" s="6">
        <f t="shared" si="22"/>
        <v>6</v>
      </c>
      <c r="L473" s="6" t="str">
        <f t="shared" si="23"/>
        <v>JUNIO</v>
      </c>
    </row>
    <row r="474" spans="1:12" x14ac:dyDescent="0.25">
      <c r="A474" s="5">
        <f t="shared" si="21"/>
        <v>2025</v>
      </c>
      <c r="B474" s="18" t="s">
        <v>1045</v>
      </c>
      <c r="C474" s="18" t="s">
        <v>595</v>
      </c>
      <c r="D474" s="12">
        <v>6115</v>
      </c>
      <c r="E474" s="17" t="s">
        <v>301</v>
      </c>
      <c r="F474" s="12" t="s">
        <v>302</v>
      </c>
      <c r="G474" s="14">
        <v>1</v>
      </c>
      <c r="H474" s="24">
        <v>245000</v>
      </c>
      <c r="I474" s="12" t="s">
        <v>712</v>
      </c>
      <c r="J474" s="6" t="s">
        <v>608</v>
      </c>
      <c r="K474" s="6">
        <f t="shared" si="22"/>
        <v>6</v>
      </c>
      <c r="L474" s="6" t="str">
        <f t="shared" si="23"/>
        <v>JUNIO</v>
      </c>
    </row>
    <row r="475" spans="1:12" x14ac:dyDescent="0.25">
      <c r="A475" s="5">
        <f t="shared" si="21"/>
        <v>2025</v>
      </c>
      <c r="B475" s="18" t="s">
        <v>1045</v>
      </c>
      <c r="C475" s="18" t="s">
        <v>595</v>
      </c>
      <c r="D475" s="12">
        <v>6115</v>
      </c>
      <c r="E475" s="17" t="s">
        <v>455</v>
      </c>
      <c r="F475" s="12" t="s">
        <v>456</v>
      </c>
      <c r="G475" s="14">
        <v>1</v>
      </c>
      <c r="H475" s="24">
        <v>185000</v>
      </c>
      <c r="I475" s="12" t="s">
        <v>712</v>
      </c>
      <c r="J475" s="6" t="s">
        <v>608</v>
      </c>
      <c r="K475" s="6">
        <f t="shared" si="22"/>
        <v>6</v>
      </c>
      <c r="L475" s="6" t="str">
        <f t="shared" si="23"/>
        <v>JUNIO</v>
      </c>
    </row>
    <row r="476" spans="1:12" x14ac:dyDescent="0.25">
      <c r="A476" s="5">
        <f t="shared" si="21"/>
        <v>2025</v>
      </c>
      <c r="B476" s="18" t="s">
        <v>1045</v>
      </c>
      <c r="C476" s="18" t="s">
        <v>595</v>
      </c>
      <c r="D476" s="12">
        <v>6115</v>
      </c>
      <c r="E476" s="17" t="s">
        <v>272</v>
      </c>
      <c r="F476" s="12" t="s">
        <v>273</v>
      </c>
      <c r="G476" s="14">
        <v>1</v>
      </c>
      <c r="H476" s="24">
        <v>295000</v>
      </c>
      <c r="I476" s="12" t="s">
        <v>712</v>
      </c>
      <c r="J476" s="6" t="s">
        <v>608</v>
      </c>
      <c r="K476" s="6">
        <f t="shared" si="22"/>
        <v>6</v>
      </c>
      <c r="L476" s="6" t="str">
        <f t="shared" si="23"/>
        <v>JUNIO</v>
      </c>
    </row>
    <row r="477" spans="1:12" x14ac:dyDescent="0.25">
      <c r="A477" s="5">
        <f t="shared" si="21"/>
        <v>2025</v>
      </c>
      <c r="B477" s="18" t="s">
        <v>1045</v>
      </c>
      <c r="C477" s="18" t="s">
        <v>595</v>
      </c>
      <c r="D477" s="12">
        <v>6115</v>
      </c>
      <c r="E477" s="17" t="s">
        <v>459</v>
      </c>
      <c r="F477" s="12" t="s">
        <v>460</v>
      </c>
      <c r="G477" s="14">
        <v>2</v>
      </c>
      <c r="H477" s="24">
        <v>130000</v>
      </c>
      <c r="I477" s="12" t="s">
        <v>712</v>
      </c>
      <c r="J477" s="6" t="s">
        <v>608</v>
      </c>
      <c r="K477" s="6">
        <f t="shared" si="22"/>
        <v>6</v>
      </c>
      <c r="L477" s="6" t="str">
        <f t="shared" si="23"/>
        <v>JUNIO</v>
      </c>
    </row>
    <row r="478" spans="1:12" x14ac:dyDescent="0.25">
      <c r="A478" s="5">
        <f t="shared" si="21"/>
        <v>2025</v>
      </c>
      <c r="B478" s="18" t="s">
        <v>1045</v>
      </c>
      <c r="C478" s="18" t="s">
        <v>595</v>
      </c>
      <c r="D478" s="12">
        <v>6115</v>
      </c>
      <c r="E478" s="17" t="s">
        <v>340</v>
      </c>
      <c r="F478" s="12" t="s">
        <v>341</v>
      </c>
      <c r="G478" s="14">
        <v>1</v>
      </c>
      <c r="H478" s="24">
        <v>34500</v>
      </c>
      <c r="I478" s="12" t="s">
        <v>712</v>
      </c>
      <c r="J478" s="6" t="s">
        <v>608</v>
      </c>
      <c r="K478" s="6">
        <f t="shared" si="22"/>
        <v>6</v>
      </c>
      <c r="L478" s="6" t="str">
        <f t="shared" si="23"/>
        <v>JUNIO</v>
      </c>
    </row>
    <row r="479" spans="1:12" x14ac:dyDescent="0.25">
      <c r="A479" s="5">
        <f t="shared" si="21"/>
        <v>2025</v>
      </c>
      <c r="B479" s="18" t="s">
        <v>1151</v>
      </c>
      <c r="C479" s="18" t="s">
        <v>595</v>
      </c>
      <c r="D479" s="12">
        <v>6236</v>
      </c>
      <c r="E479" s="17" t="s">
        <v>389</v>
      </c>
      <c r="F479" s="12" t="s">
        <v>390</v>
      </c>
      <c r="G479" s="14">
        <v>1</v>
      </c>
      <c r="H479" s="24">
        <v>30000</v>
      </c>
      <c r="I479" s="12" t="s">
        <v>712</v>
      </c>
      <c r="J479" s="6" t="s">
        <v>608</v>
      </c>
      <c r="K479" s="6">
        <f t="shared" si="22"/>
        <v>9</v>
      </c>
      <c r="L479" s="6" t="str">
        <f t="shared" si="23"/>
        <v>SEPTIEMBRE</v>
      </c>
    </row>
    <row r="480" spans="1:12" x14ac:dyDescent="0.25">
      <c r="A480" s="5">
        <f t="shared" si="21"/>
        <v>2025</v>
      </c>
      <c r="B480" s="18" t="s">
        <v>1151</v>
      </c>
      <c r="C480" s="18" t="s">
        <v>595</v>
      </c>
      <c r="D480" s="12">
        <v>6236</v>
      </c>
      <c r="E480" s="17" t="s">
        <v>392</v>
      </c>
      <c r="F480" s="12" t="s">
        <v>393</v>
      </c>
      <c r="G480" s="14">
        <v>4</v>
      </c>
      <c r="H480" s="24">
        <v>244000</v>
      </c>
      <c r="I480" s="12" t="s">
        <v>712</v>
      </c>
      <c r="J480" s="6" t="s">
        <v>608</v>
      </c>
      <c r="K480" s="6">
        <f t="shared" si="22"/>
        <v>9</v>
      </c>
      <c r="L480" s="6" t="str">
        <f t="shared" si="23"/>
        <v>SEPTIEMBRE</v>
      </c>
    </row>
    <row r="481" spans="1:12" x14ac:dyDescent="0.25">
      <c r="A481" s="5">
        <f t="shared" si="21"/>
        <v>2025</v>
      </c>
      <c r="B481" s="18" t="s">
        <v>1151</v>
      </c>
      <c r="C481" s="18" t="s">
        <v>595</v>
      </c>
      <c r="D481" s="12">
        <v>6236</v>
      </c>
      <c r="E481" s="17">
        <v>8017</v>
      </c>
      <c r="F481" s="12" t="s">
        <v>391</v>
      </c>
      <c r="G481" s="14">
        <v>4</v>
      </c>
      <c r="H481" s="24">
        <v>72000</v>
      </c>
      <c r="I481" s="12" t="s">
        <v>712</v>
      </c>
      <c r="J481" s="6" t="s">
        <v>608</v>
      </c>
      <c r="K481" s="6">
        <f t="shared" si="22"/>
        <v>9</v>
      </c>
      <c r="L481" s="6" t="str">
        <f t="shared" si="23"/>
        <v>SEPTIEMBRE</v>
      </c>
    </row>
    <row r="482" spans="1:12" x14ac:dyDescent="0.25">
      <c r="A482" s="5">
        <f t="shared" si="21"/>
        <v>2025</v>
      </c>
      <c r="B482" s="18" t="s">
        <v>1151</v>
      </c>
      <c r="C482" s="18" t="s">
        <v>595</v>
      </c>
      <c r="D482" s="12">
        <v>6236</v>
      </c>
      <c r="E482" s="17" t="s">
        <v>348</v>
      </c>
      <c r="F482" s="12" t="s">
        <v>349</v>
      </c>
      <c r="G482" s="14">
        <v>8</v>
      </c>
      <c r="H482" s="24">
        <v>9600</v>
      </c>
      <c r="I482" s="12" t="s">
        <v>712</v>
      </c>
      <c r="J482" s="6" t="s">
        <v>608</v>
      </c>
      <c r="K482" s="6">
        <f t="shared" si="22"/>
        <v>9</v>
      </c>
      <c r="L482" s="6" t="str">
        <f t="shared" si="23"/>
        <v>SEPTIEMBRE</v>
      </c>
    </row>
    <row r="483" spans="1:12" x14ac:dyDescent="0.25">
      <c r="A483" s="5">
        <f t="shared" si="21"/>
        <v>2025</v>
      </c>
      <c r="B483" s="18" t="s">
        <v>1151</v>
      </c>
      <c r="C483" s="18" t="s">
        <v>595</v>
      </c>
      <c r="D483" s="12">
        <v>6236</v>
      </c>
      <c r="E483" s="17" t="s">
        <v>272</v>
      </c>
      <c r="F483" s="12" t="s">
        <v>273</v>
      </c>
      <c r="G483" s="14">
        <v>2</v>
      </c>
      <c r="H483" s="24">
        <v>590000</v>
      </c>
      <c r="I483" s="12" t="s">
        <v>712</v>
      </c>
      <c r="J483" s="6" t="s">
        <v>608</v>
      </c>
      <c r="K483" s="6">
        <f t="shared" si="22"/>
        <v>9</v>
      </c>
      <c r="L483" s="6" t="str">
        <f t="shared" si="23"/>
        <v>SEPTIEMBRE</v>
      </c>
    </row>
    <row r="484" spans="1:12" x14ac:dyDescent="0.25">
      <c r="A484" s="5">
        <f t="shared" si="21"/>
        <v>2025</v>
      </c>
      <c r="B484" s="18" t="s">
        <v>1256</v>
      </c>
      <c r="C484" s="18" t="s">
        <v>595</v>
      </c>
      <c r="D484" s="12">
        <v>6339</v>
      </c>
      <c r="E484" s="17" t="s">
        <v>352</v>
      </c>
      <c r="F484" s="12" t="s">
        <v>353</v>
      </c>
      <c r="G484" s="14">
        <v>1</v>
      </c>
      <c r="H484" s="24">
        <v>56000</v>
      </c>
      <c r="I484" s="12" t="s">
        <v>712</v>
      </c>
      <c r="J484" s="6" t="s">
        <v>608</v>
      </c>
      <c r="K484" s="6">
        <f t="shared" si="22"/>
        <v>10</v>
      </c>
      <c r="L484" s="6" t="str">
        <f t="shared" si="23"/>
        <v>OCTUBRE</v>
      </c>
    </row>
    <row r="485" spans="1:12" x14ac:dyDescent="0.25">
      <c r="A485" s="5">
        <f t="shared" si="21"/>
        <v>2025</v>
      </c>
      <c r="B485" s="18" t="s">
        <v>1256</v>
      </c>
      <c r="C485" s="18" t="s">
        <v>595</v>
      </c>
      <c r="D485" s="12">
        <v>6339</v>
      </c>
      <c r="E485" s="17" t="s">
        <v>463</v>
      </c>
      <c r="F485" s="12" t="s">
        <v>464</v>
      </c>
      <c r="G485" s="14">
        <v>1</v>
      </c>
      <c r="H485" s="24">
        <v>356000</v>
      </c>
      <c r="I485" s="12" t="s">
        <v>712</v>
      </c>
      <c r="J485" s="6" t="s">
        <v>608</v>
      </c>
      <c r="K485" s="6">
        <f t="shared" si="22"/>
        <v>10</v>
      </c>
      <c r="L485" s="6" t="str">
        <f t="shared" si="23"/>
        <v>OCTUBRE</v>
      </c>
    </row>
    <row r="486" spans="1:12" x14ac:dyDescent="0.25">
      <c r="A486" s="5">
        <f t="shared" si="21"/>
        <v>2025</v>
      </c>
      <c r="B486" s="18" t="s">
        <v>1256</v>
      </c>
      <c r="C486" s="18" t="s">
        <v>595</v>
      </c>
      <c r="D486" s="12">
        <v>6339</v>
      </c>
      <c r="E486" s="17">
        <v>4303336</v>
      </c>
      <c r="F486" s="12" t="s">
        <v>261</v>
      </c>
      <c r="G486" s="14">
        <v>2</v>
      </c>
      <c r="H486" s="24">
        <v>14000</v>
      </c>
      <c r="I486" s="12" t="s">
        <v>712</v>
      </c>
      <c r="J486" s="6" t="s">
        <v>608</v>
      </c>
      <c r="K486" s="6">
        <f t="shared" si="22"/>
        <v>10</v>
      </c>
      <c r="L486" s="6" t="str">
        <f t="shared" si="23"/>
        <v>OCTUBRE</v>
      </c>
    </row>
    <row r="487" spans="1:12" x14ac:dyDescent="0.25">
      <c r="A487" s="5">
        <f t="shared" si="21"/>
        <v>2025</v>
      </c>
      <c r="B487" s="18" t="s">
        <v>1256</v>
      </c>
      <c r="C487" s="18" t="s">
        <v>595</v>
      </c>
      <c r="D487" s="12">
        <v>6339</v>
      </c>
      <c r="E487" s="17" t="s">
        <v>220</v>
      </c>
      <c r="F487" s="12" t="s">
        <v>221</v>
      </c>
      <c r="G487" s="14">
        <v>1</v>
      </c>
      <c r="H487" s="24">
        <v>460000</v>
      </c>
      <c r="I487" s="12" t="s">
        <v>712</v>
      </c>
      <c r="J487" s="6" t="s">
        <v>608</v>
      </c>
      <c r="K487" s="6">
        <f t="shared" si="22"/>
        <v>10</v>
      </c>
      <c r="L487" s="6" t="str">
        <f t="shared" si="23"/>
        <v>OCTUBRE</v>
      </c>
    </row>
    <row r="488" spans="1:12" x14ac:dyDescent="0.25">
      <c r="A488" s="5">
        <f t="shared" si="21"/>
        <v>2025</v>
      </c>
      <c r="B488" s="18" t="s">
        <v>1256</v>
      </c>
      <c r="C488" s="18" t="s">
        <v>595</v>
      </c>
      <c r="D488" s="12">
        <v>6339</v>
      </c>
      <c r="E488" s="17" t="s">
        <v>377</v>
      </c>
      <c r="F488" s="12" t="s">
        <v>378</v>
      </c>
      <c r="G488" s="14">
        <v>1</v>
      </c>
      <c r="H488" s="24">
        <v>245000</v>
      </c>
      <c r="I488" s="12" t="s">
        <v>712</v>
      </c>
      <c r="J488" s="6" t="s">
        <v>608</v>
      </c>
      <c r="K488" s="6">
        <f t="shared" si="22"/>
        <v>10</v>
      </c>
      <c r="L488" s="6" t="str">
        <f t="shared" si="23"/>
        <v>OCTUBRE</v>
      </c>
    </row>
    <row r="489" spans="1:12" x14ac:dyDescent="0.25">
      <c r="A489" s="5">
        <f t="shared" si="21"/>
        <v>2025</v>
      </c>
      <c r="B489" s="18" t="s">
        <v>1256</v>
      </c>
      <c r="C489" s="18" t="s">
        <v>595</v>
      </c>
      <c r="D489" s="12">
        <v>6339</v>
      </c>
      <c r="E489" s="17">
        <v>4300382</v>
      </c>
      <c r="F489" s="12" t="s">
        <v>411</v>
      </c>
      <c r="G489" s="14">
        <v>1</v>
      </c>
      <c r="H489" s="24">
        <v>33000</v>
      </c>
      <c r="I489" s="12" t="s">
        <v>712</v>
      </c>
      <c r="J489" s="6" t="s">
        <v>608</v>
      </c>
      <c r="K489" s="6">
        <f t="shared" si="22"/>
        <v>10</v>
      </c>
      <c r="L489" s="6" t="str">
        <f t="shared" si="23"/>
        <v>OCTUBRE</v>
      </c>
    </row>
    <row r="490" spans="1:12" x14ac:dyDescent="0.25">
      <c r="A490" s="5">
        <f t="shared" si="21"/>
        <v>2025</v>
      </c>
      <c r="B490" s="18" t="s">
        <v>1256</v>
      </c>
      <c r="C490" s="18" t="s">
        <v>595</v>
      </c>
      <c r="D490" s="12">
        <v>6339</v>
      </c>
      <c r="E490" s="17">
        <v>4303603</v>
      </c>
      <c r="F490" s="12" t="s">
        <v>335</v>
      </c>
      <c r="G490" s="14">
        <v>2</v>
      </c>
      <c r="H490" s="24">
        <v>80000</v>
      </c>
      <c r="I490" s="12" t="s">
        <v>712</v>
      </c>
      <c r="J490" s="6" t="s">
        <v>608</v>
      </c>
      <c r="K490" s="6">
        <f t="shared" si="22"/>
        <v>10</v>
      </c>
      <c r="L490" s="6" t="str">
        <f t="shared" si="23"/>
        <v>OCTUBRE</v>
      </c>
    </row>
    <row r="491" spans="1:12" x14ac:dyDescent="0.25">
      <c r="A491" s="5">
        <f t="shared" si="21"/>
        <v>2025</v>
      </c>
      <c r="B491" s="18" t="s">
        <v>1256</v>
      </c>
      <c r="C491" s="18" t="s">
        <v>595</v>
      </c>
      <c r="D491" s="12">
        <v>6339</v>
      </c>
      <c r="E491" s="17" t="s">
        <v>307</v>
      </c>
      <c r="F491" s="12" t="s">
        <v>308</v>
      </c>
      <c r="G491" s="14">
        <v>1</v>
      </c>
      <c r="H491" s="24">
        <v>395000</v>
      </c>
      <c r="I491" s="12" t="s">
        <v>712</v>
      </c>
      <c r="J491" s="6" t="s">
        <v>608</v>
      </c>
      <c r="K491" s="6">
        <f t="shared" si="22"/>
        <v>10</v>
      </c>
      <c r="L491" s="6" t="str">
        <f t="shared" si="23"/>
        <v>OCTUBRE</v>
      </c>
    </row>
    <row r="492" spans="1:12" x14ac:dyDescent="0.25">
      <c r="A492" s="5">
        <f t="shared" si="21"/>
        <v>2025</v>
      </c>
      <c r="B492" s="18" t="s">
        <v>1256</v>
      </c>
      <c r="C492" s="18" t="s">
        <v>595</v>
      </c>
      <c r="D492" s="12">
        <v>6339</v>
      </c>
      <c r="E492" s="17" t="s">
        <v>305</v>
      </c>
      <c r="F492" s="12" t="s">
        <v>306</v>
      </c>
      <c r="G492" s="14">
        <v>1</v>
      </c>
      <c r="H492" s="24">
        <v>348000</v>
      </c>
      <c r="I492" s="12" t="s">
        <v>712</v>
      </c>
      <c r="J492" s="6" t="s">
        <v>608</v>
      </c>
      <c r="K492" s="6">
        <f t="shared" si="22"/>
        <v>10</v>
      </c>
      <c r="L492" s="6" t="str">
        <f t="shared" si="23"/>
        <v>OCTUBRE</v>
      </c>
    </row>
    <row r="493" spans="1:12" x14ac:dyDescent="0.25">
      <c r="A493" s="5">
        <f t="shared" si="21"/>
        <v>2025</v>
      </c>
      <c r="B493" s="18" t="s">
        <v>1256</v>
      </c>
      <c r="C493" s="18" t="s">
        <v>595</v>
      </c>
      <c r="D493" s="12">
        <v>6339</v>
      </c>
      <c r="E493" s="17" t="s">
        <v>413</v>
      </c>
      <c r="F493" s="12" t="s">
        <v>414</v>
      </c>
      <c r="G493" s="14">
        <v>1</v>
      </c>
      <c r="H493" s="24">
        <v>85000</v>
      </c>
      <c r="I493" s="12" t="s">
        <v>712</v>
      </c>
      <c r="J493" s="6" t="s">
        <v>608</v>
      </c>
      <c r="K493" s="6">
        <f t="shared" si="22"/>
        <v>10</v>
      </c>
      <c r="L493" s="6" t="str">
        <f t="shared" si="23"/>
        <v>OCTUBRE</v>
      </c>
    </row>
    <row r="494" spans="1:12" x14ac:dyDescent="0.25">
      <c r="A494" s="5">
        <f t="shared" si="21"/>
        <v>2025</v>
      </c>
      <c r="B494" s="18" t="s">
        <v>1256</v>
      </c>
      <c r="C494" s="18" t="s">
        <v>595</v>
      </c>
      <c r="D494" s="12">
        <v>6339</v>
      </c>
      <c r="E494" s="17">
        <v>4304615</v>
      </c>
      <c r="F494" s="12" t="s">
        <v>354</v>
      </c>
      <c r="G494" s="14">
        <v>1</v>
      </c>
      <c r="H494" s="24">
        <v>14500</v>
      </c>
      <c r="I494" s="12" t="s">
        <v>712</v>
      </c>
      <c r="J494" s="6" t="s">
        <v>608</v>
      </c>
      <c r="K494" s="6">
        <f t="shared" si="22"/>
        <v>10</v>
      </c>
      <c r="L494" s="6" t="str">
        <f t="shared" si="23"/>
        <v>OCTUBRE</v>
      </c>
    </row>
    <row r="495" spans="1:12" x14ac:dyDescent="0.25">
      <c r="A495" s="5">
        <f t="shared" si="21"/>
        <v>2025</v>
      </c>
      <c r="B495" s="18" t="s">
        <v>1256</v>
      </c>
      <c r="C495" s="18" t="s">
        <v>595</v>
      </c>
      <c r="D495" s="12">
        <v>6339</v>
      </c>
      <c r="E495" s="17" t="s">
        <v>262</v>
      </c>
      <c r="F495" s="12" t="s">
        <v>263</v>
      </c>
      <c r="G495" s="14">
        <v>1</v>
      </c>
      <c r="H495" s="24">
        <v>128000</v>
      </c>
      <c r="I495" s="12" t="s">
        <v>712</v>
      </c>
      <c r="J495" s="6" t="s">
        <v>608</v>
      </c>
      <c r="K495" s="6">
        <f t="shared" si="22"/>
        <v>10</v>
      </c>
      <c r="L495" s="6" t="str">
        <f t="shared" si="23"/>
        <v>OCTUBRE</v>
      </c>
    </row>
    <row r="496" spans="1:12" x14ac:dyDescent="0.25">
      <c r="A496" s="5">
        <f t="shared" si="21"/>
        <v>2025</v>
      </c>
      <c r="B496" s="18" t="s">
        <v>1256</v>
      </c>
      <c r="C496" s="18" t="s">
        <v>595</v>
      </c>
      <c r="D496" s="12">
        <v>6339</v>
      </c>
      <c r="E496" s="17">
        <v>4302321</v>
      </c>
      <c r="F496" s="12" t="s">
        <v>444</v>
      </c>
      <c r="G496" s="14">
        <v>1</v>
      </c>
      <c r="H496" s="24">
        <v>65000</v>
      </c>
      <c r="I496" s="12" t="s">
        <v>712</v>
      </c>
      <c r="J496" s="6" t="s">
        <v>608</v>
      </c>
      <c r="K496" s="6">
        <f t="shared" si="22"/>
        <v>10</v>
      </c>
      <c r="L496" s="6" t="str">
        <f t="shared" si="23"/>
        <v>OCTUBRE</v>
      </c>
    </row>
    <row r="497" spans="1:12" x14ac:dyDescent="0.25">
      <c r="A497" s="5">
        <f t="shared" si="21"/>
        <v>2025</v>
      </c>
      <c r="B497" s="18" t="s">
        <v>1256</v>
      </c>
      <c r="C497" s="18" t="s">
        <v>595</v>
      </c>
      <c r="D497" s="12">
        <v>6339</v>
      </c>
      <c r="E497" s="17">
        <v>14750</v>
      </c>
      <c r="F497" s="12" t="s">
        <v>462</v>
      </c>
      <c r="G497" s="14">
        <v>1</v>
      </c>
      <c r="H497" s="24">
        <v>3000</v>
      </c>
      <c r="I497" s="12" t="s">
        <v>712</v>
      </c>
      <c r="J497" s="6" t="s">
        <v>608</v>
      </c>
      <c r="K497" s="6">
        <f t="shared" si="22"/>
        <v>10</v>
      </c>
      <c r="L497" s="6" t="str">
        <f t="shared" si="23"/>
        <v>OCTUBRE</v>
      </c>
    </row>
    <row r="498" spans="1:12" x14ac:dyDescent="0.25">
      <c r="A498" s="5">
        <f t="shared" si="21"/>
        <v>2025</v>
      </c>
      <c r="B498" s="18" t="s">
        <v>1256</v>
      </c>
      <c r="C498" s="18" t="s">
        <v>595</v>
      </c>
      <c r="D498" s="12">
        <v>6339</v>
      </c>
      <c r="E498" s="17" t="s">
        <v>649</v>
      </c>
      <c r="F498" s="12" t="s">
        <v>491</v>
      </c>
      <c r="G498" s="14">
        <v>2</v>
      </c>
      <c r="H498" s="24">
        <v>34000</v>
      </c>
      <c r="I498" s="12" t="s">
        <v>712</v>
      </c>
      <c r="J498" s="6" t="s">
        <v>608</v>
      </c>
      <c r="K498" s="6">
        <f t="shared" si="22"/>
        <v>10</v>
      </c>
      <c r="L498" s="6" t="str">
        <f t="shared" si="23"/>
        <v>OCTUBRE</v>
      </c>
    </row>
    <row r="499" spans="1:12" x14ac:dyDescent="0.25">
      <c r="A499" s="5">
        <f t="shared" si="21"/>
        <v>2025</v>
      </c>
      <c r="B499" s="18" t="s">
        <v>1256</v>
      </c>
      <c r="C499" s="18" t="s">
        <v>595</v>
      </c>
      <c r="D499" s="12">
        <v>6339</v>
      </c>
      <c r="E499" s="17" t="s">
        <v>469</v>
      </c>
      <c r="F499" s="12" t="s">
        <v>470</v>
      </c>
      <c r="G499" s="14">
        <v>2</v>
      </c>
      <c r="H499" s="24">
        <v>82000</v>
      </c>
      <c r="I499" s="12" t="s">
        <v>712</v>
      </c>
      <c r="J499" s="6" t="s">
        <v>608</v>
      </c>
      <c r="K499" s="6">
        <f t="shared" si="22"/>
        <v>10</v>
      </c>
      <c r="L499" s="6" t="str">
        <f t="shared" si="23"/>
        <v>OCTUBRE</v>
      </c>
    </row>
    <row r="500" spans="1:12" x14ac:dyDescent="0.25">
      <c r="A500" s="5">
        <f t="shared" si="21"/>
        <v>2025</v>
      </c>
      <c r="B500" s="18" t="s">
        <v>1256</v>
      </c>
      <c r="C500" s="18" t="s">
        <v>595</v>
      </c>
      <c r="D500" s="12">
        <v>6339</v>
      </c>
      <c r="E500" s="17" t="s">
        <v>264</v>
      </c>
      <c r="F500" s="12" t="s">
        <v>265</v>
      </c>
      <c r="G500" s="14">
        <v>1</v>
      </c>
      <c r="H500" s="24">
        <v>32000</v>
      </c>
      <c r="I500" s="12" t="s">
        <v>712</v>
      </c>
      <c r="J500" s="6" t="s">
        <v>608</v>
      </c>
      <c r="K500" s="6">
        <f t="shared" si="22"/>
        <v>10</v>
      </c>
      <c r="L500" s="6" t="str">
        <f t="shared" si="23"/>
        <v>OCTUBRE</v>
      </c>
    </row>
    <row r="501" spans="1:12" x14ac:dyDescent="0.25">
      <c r="A501" s="5">
        <f t="shared" ref="A501:A564" si="24">+YEAR(B501)</f>
        <v>2025</v>
      </c>
      <c r="B501" s="18" t="s">
        <v>1269</v>
      </c>
      <c r="C501" s="18" t="s">
        <v>595</v>
      </c>
      <c r="D501" s="12">
        <v>6357</v>
      </c>
      <c r="E501" s="17">
        <v>17313</v>
      </c>
      <c r="F501" s="12" t="s">
        <v>1273</v>
      </c>
      <c r="G501" s="14">
        <v>3</v>
      </c>
      <c r="H501" s="24">
        <v>158142</v>
      </c>
      <c r="I501" s="12" t="s">
        <v>712</v>
      </c>
      <c r="J501" s="6" t="s">
        <v>608</v>
      </c>
      <c r="K501" s="6">
        <f t="shared" ref="K501:K564" si="25">+MONTH(B501)</f>
        <v>11</v>
      </c>
      <c r="L501" s="6" t="str">
        <f t="shared" si="23"/>
        <v>NOVIEMBRE</v>
      </c>
    </row>
    <row r="502" spans="1:12" x14ac:dyDescent="0.25">
      <c r="A502" s="5">
        <f t="shared" si="24"/>
        <v>2025</v>
      </c>
      <c r="B502" s="18" t="s">
        <v>1262</v>
      </c>
      <c r="C502" s="18" t="s">
        <v>595</v>
      </c>
      <c r="D502" s="12">
        <v>6351</v>
      </c>
      <c r="E502" s="17" t="s">
        <v>299</v>
      </c>
      <c r="F502" s="12" t="s">
        <v>300</v>
      </c>
      <c r="G502" s="14">
        <v>1</v>
      </c>
      <c r="H502" s="24">
        <v>65000</v>
      </c>
      <c r="I502" s="12" t="s">
        <v>712</v>
      </c>
      <c r="J502" s="6" t="s">
        <v>608</v>
      </c>
      <c r="K502" s="6">
        <f t="shared" si="25"/>
        <v>11</v>
      </c>
      <c r="L502" s="6" t="str">
        <f t="shared" si="23"/>
        <v>NOVIEMBRE</v>
      </c>
    </row>
    <row r="503" spans="1:12" x14ac:dyDescent="0.25">
      <c r="A503" s="5">
        <f t="shared" si="24"/>
        <v>2025</v>
      </c>
      <c r="B503" s="18" t="s">
        <v>1262</v>
      </c>
      <c r="C503" s="18" t="s">
        <v>595</v>
      </c>
      <c r="D503" s="12">
        <v>6351</v>
      </c>
      <c r="E503" s="17" t="s">
        <v>620</v>
      </c>
      <c r="F503" s="12" t="s">
        <v>157</v>
      </c>
      <c r="G503" s="14">
        <v>1</v>
      </c>
      <c r="H503" s="24">
        <v>460000</v>
      </c>
      <c r="I503" s="12" t="s">
        <v>712</v>
      </c>
      <c r="J503" s="6" t="s">
        <v>608</v>
      </c>
      <c r="K503" s="6">
        <f t="shared" si="25"/>
        <v>11</v>
      </c>
      <c r="L503" s="6" t="str">
        <f t="shared" si="23"/>
        <v>NOVIEMBRE</v>
      </c>
    </row>
    <row r="504" spans="1:12" x14ac:dyDescent="0.25">
      <c r="A504" s="5">
        <f t="shared" si="24"/>
        <v>2025</v>
      </c>
      <c r="B504" s="18" t="s">
        <v>1262</v>
      </c>
      <c r="C504" s="18" t="s">
        <v>595</v>
      </c>
      <c r="D504" s="12">
        <v>6351</v>
      </c>
      <c r="E504" s="17" t="s">
        <v>224</v>
      </c>
      <c r="F504" s="12" t="s">
        <v>225</v>
      </c>
      <c r="G504" s="14">
        <v>1</v>
      </c>
      <c r="H504" s="24">
        <v>2850000</v>
      </c>
      <c r="I504" s="12" t="s">
        <v>712</v>
      </c>
      <c r="J504" s="6" t="s">
        <v>608</v>
      </c>
      <c r="K504" s="6">
        <f t="shared" si="25"/>
        <v>11</v>
      </c>
      <c r="L504" s="6" t="str">
        <f t="shared" si="23"/>
        <v>NOVIEMBRE</v>
      </c>
    </row>
    <row r="505" spans="1:12" x14ac:dyDescent="0.25">
      <c r="A505" s="5">
        <f t="shared" si="24"/>
        <v>2025</v>
      </c>
      <c r="B505" s="18" t="s">
        <v>1262</v>
      </c>
      <c r="C505" s="18" t="s">
        <v>595</v>
      </c>
      <c r="D505" s="12">
        <v>6351</v>
      </c>
      <c r="E505" s="17" t="s">
        <v>440</v>
      </c>
      <c r="F505" s="12" t="s">
        <v>441</v>
      </c>
      <c r="G505" s="14">
        <v>1</v>
      </c>
      <c r="H505" s="24">
        <v>3180000</v>
      </c>
      <c r="I505" s="12" t="s">
        <v>712</v>
      </c>
      <c r="J505" s="6" t="s">
        <v>608</v>
      </c>
      <c r="K505" s="6">
        <f t="shared" si="25"/>
        <v>11</v>
      </c>
      <c r="L505" s="6" t="str">
        <f t="shared" si="23"/>
        <v>NOVIEMBRE</v>
      </c>
    </row>
    <row r="506" spans="1:12" x14ac:dyDescent="0.25">
      <c r="A506" s="5">
        <f t="shared" si="24"/>
        <v>2025</v>
      </c>
      <c r="B506" s="18" t="s">
        <v>1262</v>
      </c>
      <c r="C506" s="18" t="s">
        <v>595</v>
      </c>
      <c r="D506" s="12">
        <v>6351</v>
      </c>
      <c r="E506" s="17">
        <v>513878</v>
      </c>
      <c r="F506" s="12" t="s">
        <v>191</v>
      </c>
      <c r="G506" s="14">
        <v>1</v>
      </c>
      <c r="H506" s="24">
        <v>385000</v>
      </c>
      <c r="I506" s="12" t="s">
        <v>712</v>
      </c>
      <c r="J506" s="6" t="s">
        <v>608</v>
      </c>
      <c r="K506" s="6">
        <f t="shared" si="25"/>
        <v>11</v>
      </c>
      <c r="L506" s="6" t="str">
        <f t="shared" si="23"/>
        <v>NOVIEMBRE</v>
      </c>
    </row>
    <row r="507" spans="1:12" x14ac:dyDescent="0.25">
      <c r="A507" s="5">
        <f t="shared" si="24"/>
        <v>2025</v>
      </c>
      <c r="B507" s="18" t="s">
        <v>1262</v>
      </c>
      <c r="C507" s="18" t="s">
        <v>595</v>
      </c>
      <c r="D507" s="12">
        <v>6351</v>
      </c>
      <c r="E507" s="17" t="s">
        <v>955</v>
      </c>
      <c r="F507" s="12" t="s">
        <v>956</v>
      </c>
      <c r="G507" s="14">
        <v>1</v>
      </c>
      <c r="H507" s="24">
        <v>276000</v>
      </c>
      <c r="I507" s="12" t="s">
        <v>712</v>
      </c>
      <c r="J507" s="6" t="s">
        <v>608</v>
      </c>
      <c r="K507" s="6">
        <f t="shared" si="25"/>
        <v>11</v>
      </c>
      <c r="L507" s="6" t="str">
        <f t="shared" si="23"/>
        <v>NOVIEMBRE</v>
      </c>
    </row>
    <row r="508" spans="1:12" x14ac:dyDescent="0.25">
      <c r="A508" s="5">
        <f t="shared" si="24"/>
        <v>2025</v>
      </c>
      <c r="B508" s="18" t="s">
        <v>1262</v>
      </c>
      <c r="C508" s="18" t="s">
        <v>595</v>
      </c>
      <c r="D508" s="12">
        <v>6351</v>
      </c>
      <c r="E508" s="17" t="s">
        <v>432</v>
      </c>
      <c r="F508" s="12" t="s">
        <v>433</v>
      </c>
      <c r="G508" s="14">
        <v>1</v>
      </c>
      <c r="H508" s="24">
        <v>63000</v>
      </c>
      <c r="I508" s="12" t="s">
        <v>712</v>
      </c>
      <c r="J508" s="6" t="s">
        <v>608</v>
      </c>
      <c r="K508" s="6">
        <f t="shared" si="25"/>
        <v>11</v>
      </c>
      <c r="L508" s="6" t="str">
        <f t="shared" si="23"/>
        <v>NOVIEMBRE</v>
      </c>
    </row>
    <row r="509" spans="1:12" x14ac:dyDescent="0.25">
      <c r="A509" s="5">
        <f t="shared" si="24"/>
        <v>2025</v>
      </c>
      <c r="B509" s="18" t="s">
        <v>1262</v>
      </c>
      <c r="C509" s="18" t="s">
        <v>595</v>
      </c>
      <c r="D509" s="12">
        <v>6351</v>
      </c>
      <c r="E509" s="17" t="s">
        <v>319</v>
      </c>
      <c r="F509" s="12" t="s">
        <v>320</v>
      </c>
      <c r="G509" s="14">
        <v>1</v>
      </c>
      <c r="H509" s="24">
        <v>530000</v>
      </c>
      <c r="I509" s="12" t="s">
        <v>712</v>
      </c>
      <c r="J509" s="6" t="s">
        <v>608</v>
      </c>
      <c r="K509" s="6">
        <f t="shared" si="25"/>
        <v>11</v>
      </c>
      <c r="L509" s="6" t="str">
        <f t="shared" si="23"/>
        <v>NOVIEMBRE</v>
      </c>
    </row>
    <row r="510" spans="1:12" x14ac:dyDescent="0.25">
      <c r="A510" s="5">
        <f t="shared" si="24"/>
        <v>2025</v>
      </c>
      <c r="B510" s="18" t="s">
        <v>1270</v>
      </c>
      <c r="C510" s="18" t="s">
        <v>595</v>
      </c>
      <c r="D510" s="12">
        <v>6359</v>
      </c>
      <c r="E510" s="17" t="s">
        <v>95</v>
      </c>
      <c r="F510" s="12" t="s">
        <v>96</v>
      </c>
      <c r="G510" s="14">
        <v>1</v>
      </c>
      <c r="H510" s="24">
        <v>277163</v>
      </c>
      <c r="I510" s="12" t="s">
        <v>712</v>
      </c>
      <c r="J510" s="6" t="s">
        <v>608</v>
      </c>
      <c r="K510" s="6">
        <f t="shared" si="25"/>
        <v>11</v>
      </c>
      <c r="L510" s="6" t="str">
        <f t="shared" si="23"/>
        <v>NOVIEMBRE</v>
      </c>
    </row>
    <row r="511" spans="1:12" x14ac:dyDescent="0.25">
      <c r="A511" s="5">
        <f t="shared" si="24"/>
        <v>2025</v>
      </c>
      <c r="B511" s="18" t="s">
        <v>1270</v>
      </c>
      <c r="C511" s="18" t="s">
        <v>595</v>
      </c>
      <c r="D511" s="12">
        <v>6359</v>
      </c>
      <c r="E511" s="17" t="s">
        <v>97</v>
      </c>
      <c r="F511" s="12" t="s">
        <v>98</v>
      </c>
      <c r="G511" s="14">
        <v>1</v>
      </c>
      <c r="H511" s="24">
        <v>138000</v>
      </c>
      <c r="I511" s="12" t="s">
        <v>712</v>
      </c>
      <c r="J511" s="6" t="s">
        <v>608</v>
      </c>
      <c r="K511" s="6">
        <f t="shared" si="25"/>
        <v>11</v>
      </c>
      <c r="L511" s="6" t="str">
        <f t="shared" si="23"/>
        <v>NOVIEMBRE</v>
      </c>
    </row>
    <row r="512" spans="1:12" x14ac:dyDescent="0.25">
      <c r="A512" s="5">
        <f t="shared" si="24"/>
        <v>2025</v>
      </c>
      <c r="B512" s="18" t="s">
        <v>1270</v>
      </c>
      <c r="C512" s="18" t="s">
        <v>595</v>
      </c>
      <c r="D512" s="12">
        <v>6359</v>
      </c>
      <c r="E512" s="17" t="s">
        <v>472</v>
      </c>
      <c r="F512" s="12" t="s">
        <v>473</v>
      </c>
      <c r="G512" s="14">
        <v>1</v>
      </c>
      <c r="H512" s="24">
        <v>49000</v>
      </c>
      <c r="I512" s="12" t="s">
        <v>712</v>
      </c>
      <c r="J512" s="6" t="s">
        <v>608</v>
      </c>
      <c r="K512" s="6">
        <f t="shared" si="25"/>
        <v>11</v>
      </c>
      <c r="L512" s="6" t="str">
        <f t="shared" si="23"/>
        <v>NOVIEMBRE</v>
      </c>
    </row>
    <row r="513" spans="1:12" x14ac:dyDescent="0.25">
      <c r="A513" s="5">
        <f t="shared" si="24"/>
        <v>2025</v>
      </c>
      <c r="B513" s="18" t="s">
        <v>1270</v>
      </c>
      <c r="C513" s="18" t="s">
        <v>595</v>
      </c>
      <c r="D513" s="12">
        <v>6359</v>
      </c>
      <c r="E513" s="17" t="s">
        <v>373</v>
      </c>
      <c r="F513" s="12" t="s">
        <v>374</v>
      </c>
      <c r="G513" s="14">
        <v>1</v>
      </c>
      <c r="H513" s="24">
        <v>447000</v>
      </c>
      <c r="I513" s="12" t="s">
        <v>712</v>
      </c>
      <c r="J513" s="6" t="s">
        <v>608</v>
      </c>
      <c r="K513" s="6">
        <f t="shared" si="25"/>
        <v>11</v>
      </c>
      <c r="L513" s="6" t="str">
        <f t="shared" si="23"/>
        <v>NOVIEMBRE</v>
      </c>
    </row>
    <row r="514" spans="1:12" x14ac:dyDescent="0.25">
      <c r="A514" s="5">
        <f t="shared" si="24"/>
        <v>2025</v>
      </c>
      <c r="B514" s="18" t="s">
        <v>1270</v>
      </c>
      <c r="C514" s="18" t="s">
        <v>595</v>
      </c>
      <c r="D514" s="12">
        <v>6359</v>
      </c>
      <c r="E514" s="17" t="s">
        <v>369</v>
      </c>
      <c r="F514" s="12" t="s">
        <v>370</v>
      </c>
      <c r="G514" s="14">
        <v>2</v>
      </c>
      <c r="H514" s="24">
        <v>322000</v>
      </c>
      <c r="I514" s="12" t="s">
        <v>712</v>
      </c>
      <c r="J514" s="6" t="s">
        <v>608</v>
      </c>
      <c r="K514" s="6">
        <f t="shared" si="25"/>
        <v>11</v>
      </c>
      <c r="L514" s="6" t="str">
        <f t="shared" si="23"/>
        <v>NOVIEMBRE</v>
      </c>
    </row>
    <row r="515" spans="1:12" x14ac:dyDescent="0.25">
      <c r="A515" s="5">
        <f t="shared" si="24"/>
        <v>2025</v>
      </c>
      <c r="B515" s="18" t="s">
        <v>1270</v>
      </c>
      <c r="C515" s="18" t="s">
        <v>595</v>
      </c>
      <c r="D515" s="12">
        <v>6359</v>
      </c>
      <c r="E515" s="17" t="s">
        <v>742</v>
      </c>
      <c r="F515" s="12" t="s">
        <v>743</v>
      </c>
      <c r="G515" s="14">
        <v>1</v>
      </c>
      <c r="H515" s="24">
        <v>550000</v>
      </c>
      <c r="I515" s="12" t="s">
        <v>712</v>
      </c>
      <c r="J515" s="6" t="s">
        <v>608</v>
      </c>
      <c r="K515" s="6">
        <f t="shared" si="25"/>
        <v>11</v>
      </c>
      <c r="L515" s="6" t="str">
        <f t="shared" ref="L515:L578" si="26">VLOOKUP(K515,N:O,2,0)</f>
        <v>NOVIEMBRE</v>
      </c>
    </row>
    <row r="516" spans="1:12" x14ac:dyDescent="0.25">
      <c r="A516" s="5">
        <f t="shared" si="24"/>
        <v>2025</v>
      </c>
      <c r="B516" s="18" t="s">
        <v>1270</v>
      </c>
      <c r="C516" s="18" t="s">
        <v>595</v>
      </c>
      <c r="D516" s="12">
        <v>6359</v>
      </c>
      <c r="E516" s="17" t="s">
        <v>955</v>
      </c>
      <c r="F516" s="12" t="s">
        <v>956</v>
      </c>
      <c r="G516" s="14">
        <v>1</v>
      </c>
      <c r="H516" s="24">
        <v>276000</v>
      </c>
      <c r="I516" s="12" t="s">
        <v>712</v>
      </c>
      <c r="J516" s="6" t="s">
        <v>608</v>
      </c>
      <c r="K516" s="6">
        <f t="shared" si="25"/>
        <v>11</v>
      </c>
      <c r="L516" s="6" t="str">
        <f t="shared" si="26"/>
        <v>NOVIEMBRE</v>
      </c>
    </row>
    <row r="517" spans="1:12" x14ac:dyDescent="0.25">
      <c r="A517" s="5">
        <f t="shared" si="24"/>
        <v>2025</v>
      </c>
      <c r="B517" s="18" t="s">
        <v>1270</v>
      </c>
      <c r="C517" s="18" t="s">
        <v>595</v>
      </c>
      <c r="D517" s="12">
        <v>6359</v>
      </c>
      <c r="E517" s="17" t="s">
        <v>274</v>
      </c>
      <c r="F517" s="12" t="s">
        <v>275</v>
      </c>
      <c r="G517" s="14">
        <v>1</v>
      </c>
      <c r="H517" s="24">
        <v>62000</v>
      </c>
      <c r="I517" s="12" t="s">
        <v>712</v>
      </c>
      <c r="J517" s="6" t="s">
        <v>608</v>
      </c>
      <c r="K517" s="6">
        <f t="shared" si="25"/>
        <v>11</v>
      </c>
      <c r="L517" s="6" t="str">
        <f t="shared" si="26"/>
        <v>NOVIEMBRE</v>
      </c>
    </row>
    <row r="518" spans="1:12" x14ac:dyDescent="0.25">
      <c r="A518" s="5">
        <f t="shared" si="24"/>
        <v>2025</v>
      </c>
      <c r="B518" s="18" t="s">
        <v>1270</v>
      </c>
      <c r="C518" s="18" t="s">
        <v>595</v>
      </c>
      <c r="D518" s="12">
        <v>6359</v>
      </c>
      <c r="E518" s="17" t="s">
        <v>86</v>
      </c>
      <c r="F518" s="12" t="s">
        <v>87</v>
      </c>
      <c r="G518" s="14">
        <v>1</v>
      </c>
      <c r="H518" s="24">
        <v>163000</v>
      </c>
      <c r="I518" s="12" t="s">
        <v>712</v>
      </c>
      <c r="J518" s="6" t="s">
        <v>608</v>
      </c>
      <c r="K518" s="6">
        <f t="shared" si="25"/>
        <v>11</v>
      </c>
      <c r="L518" s="6" t="str">
        <f t="shared" si="26"/>
        <v>NOVIEMBRE</v>
      </c>
    </row>
    <row r="519" spans="1:12" x14ac:dyDescent="0.25">
      <c r="A519" s="5">
        <f t="shared" si="24"/>
        <v>2025</v>
      </c>
      <c r="B519" s="18" t="s">
        <v>1270</v>
      </c>
      <c r="C519" s="18" t="s">
        <v>595</v>
      </c>
      <c r="D519" s="12">
        <v>6359</v>
      </c>
      <c r="E519" s="17" t="s">
        <v>363</v>
      </c>
      <c r="F519" s="12" t="s">
        <v>364</v>
      </c>
      <c r="G519" s="14">
        <v>2</v>
      </c>
      <c r="H519" s="24">
        <v>132000</v>
      </c>
      <c r="I519" s="12" t="s">
        <v>712</v>
      </c>
      <c r="J519" s="6" t="s">
        <v>608</v>
      </c>
      <c r="K519" s="6">
        <f t="shared" si="25"/>
        <v>11</v>
      </c>
      <c r="L519" s="6" t="str">
        <f t="shared" si="26"/>
        <v>NOVIEMBRE</v>
      </c>
    </row>
    <row r="520" spans="1:12" x14ac:dyDescent="0.25">
      <c r="A520" s="5">
        <f t="shared" si="24"/>
        <v>2025</v>
      </c>
      <c r="B520" s="18" t="s">
        <v>1211</v>
      </c>
      <c r="C520" s="18" t="s">
        <v>595</v>
      </c>
      <c r="D520" s="12">
        <v>6318</v>
      </c>
      <c r="E520" s="17" t="s">
        <v>467</v>
      </c>
      <c r="F520" s="12" t="s">
        <v>468</v>
      </c>
      <c r="G520" s="14">
        <v>1</v>
      </c>
      <c r="H520" s="24">
        <v>732000</v>
      </c>
      <c r="I520" s="12" t="s">
        <v>712</v>
      </c>
      <c r="J520" s="6" t="s">
        <v>608</v>
      </c>
      <c r="K520" s="6">
        <f t="shared" si="25"/>
        <v>10</v>
      </c>
      <c r="L520" s="6" t="str">
        <f t="shared" si="26"/>
        <v>OCTUBRE</v>
      </c>
    </row>
    <row r="521" spans="1:12" x14ac:dyDescent="0.25">
      <c r="A521" s="5">
        <f t="shared" si="24"/>
        <v>2025</v>
      </c>
      <c r="B521" s="18" t="s">
        <v>1211</v>
      </c>
      <c r="C521" s="18" t="s">
        <v>595</v>
      </c>
      <c r="D521" s="12">
        <v>6318</v>
      </c>
      <c r="E521" s="17" t="s">
        <v>375</v>
      </c>
      <c r="F521" s="12" t="s">
        <v>376</v>
      </c>
      <c r="G521" s="14">
        <v>1</v>
      </c>
      <c r="H521" s="24">
        <v>22000</v>
      </c>
      <c r="I521" s="12" t="s">
        <v>712</v>
      </c>
      <c r="J521" s="6" t="s">
        <v>608</v>
      </c>
      <c r="K521" s="6">
        <f t="shared" si="25"/>
        <v>10</v>
      </c>
      <c r="L521" s="6" t="str">
        <f t="shared" si="26"/>
        <v>OCTUBRE</v>
      </c>
    </row>
    <row r="522" spans="1:12" x14ac:dyDescent="0.25">
      <c r="A522" s="5">
        <f t="shared" si="24"/>
        <v>2025</v>
      </c>
      <c r="B522" s="18" t="s">
        <v>1211</v>
      </c>
      <c r="C522" s="18" t="s">
        <v>595</v>
      </c>
      <c r="D522" s="12">
        <v>6318</v>
      </c>
      <c r="E522" s="17">
        <v>513878</v>
      </c>
      <c r="F522" s="12" t="s">
        <v>191</v>
      </c>
      <c r="G522" s="14">
        <v>1</v>
      </c>
      <c r="H522" s="24">
        <v>385000</v>
      </c>
      <c r="I522" s="12" t="s">
        <v>712</v>
      </c>
      <c r="J522" s="6" t="s">
        <v>608</v>
      </c>
      <c r="K522" s="6">
        <f t="shared" si="25"/>
        <v>10</v>
      </c>
      <c r="L522" s="6" t="str">
        <f t="shared" si="26"/>
        <v>OCTUBRE</v>
      </c>
    </row>
    <row r="523" spans="1:12" x14ac:dyDescent="0.25">
      <c r="A523" s="5">
        <f t="shared" si="24"/>
        <v>2025</v>
      </c>
      <c r="B523" s="18" t="s">
        <v>929</v>
      </c>
      <c r="C523" s="18" t="s">
        <v>595</v>
      </c>
      <c r="D523" s="12">
        <v>5889</v>
      </c>
      <c r="E523" s="17">
        <v>128</v>
      </c>
      <c r="F523" s="12" t="s">
        <v>564</v>
      </c>
      <c r="G523" s="14">
        <v>2</v>
      </c>
      <c r="H523" s="24">
        <v>400</v>
      </c>
      <c r="I523" s="12" t="s">
        <v>712</v>
      </c>
      <c r="J523" s="6" t="s">
        <v>608</v>
      </c>
      <c r="K523" s="6">
        <f t="shared" si="25"/>
        <v>2</v>
      </c>
      <c r="L523" s="6" t="str">
        <f t="shared" si="26"/>
        <v>FEBRERO</v>
      </c>
    </row>
    <row r="524" spans="1:12" x14ac:dyDescent="0.25">
      <c r="A524" s="5">
        <f t="shared" si="24"/>
        <v>2025</v>
      </c>
      <c r="B524" s="18" t="s">
        <v>929</v>
      </c>
      <c r="C524" s="18" t="s">
        <v>595</v>
      </c>
      <c r="D524" s="12">
        <v>5889</v>
      </c>
      <c r="E524" s="17">
        <v>185</v>
      </c>
      <c r="F524" s="12" t="s">
        <v>938</v>
      </c>
      <c r="G524" s="14">
        <v>1</v>
      </c>
      <c r="H524" s="24">
        <v>100</v>
      </c>
      <c r="I524" s="12" t="s">
        <v>712</v>
      </c>
      <c r="J524" s="6" t="s">
        <v>608</v>
      </c>
      <c r="K524" s="6">
        <f t="shared" si="25"/>
        <v>2</v>
      </c>
      <c r="L524" s="6" t="str">
        <f t="shared" si="26"/>
        <v>FEBRERO</v>
      </c>
    </row>
    <row r="525" spans="1:12" x14ac:dyDescent="0.25">
      <c r="A525" s="5">
        <f t="shared" si="24"/>
        <v>2025</v>
      </c>
      <c r="B525" s="18" t="s">
        <v>1289</v>
      </c>
      <c r="C525" s="18" t="s">
        <v>595</v>
      </c>
      <c r="D525" s="12">
        <v>6392</v>
      </c>
      <c r="E525" s="17" t="s">
        <v>202</v>
      </c>
      <c r="F525" s="12" t="s">
        <v>203</v>
      </c>
      <c r="G525" s="14">
        <v>1</v>
      </c>
      <c r="H525" s="24">
        <v>162000</v>
      </c>
      <c r="I525" s="12" t="s">
        <v>634</v>
      </c>
      <c r="J525" s="6" t="s">
        <v>614</v>
      </c>
      <c r="K525" s="6">
        <f t="shared" si="25"/>
        <v>12</v>
      </c>
      <c r="L525" s="6" t="str">
        <f t="shared" si="26"/>
        <v>DICIEMBRE</v>
      </c>
    </row>
    <row r="526" spans="1:12" x14ac:dyDescent="0.25">
      <c r="A526" s="5">
        <f t="shared" si="24"/>
        <v>2025</v>
      </c>
      <c r="B526" s="18" t="s">
        <v>1289</v>
      </c>
      <c r="C526" s="18" t="s">
        <v>595</v>
      </c>
      <c r="D526" s="12">
        <v>6392</v>
      </c>
      <c r="E526" s="17" t="s">
        <v>297</v>
      </c>
      <c r="F526" s="12" t="s">
        <v>298</v>
      </c>
      <c r="G526" s="14">
        <v>1</v>
      </c>
      <c r="H526" s="24">
        <v>145000</v>
      </c>
      <c r="I526" s="12" t="s">
        <v>634</v>
      </c>
      <c r="J526" s="6" t="s">
        <v>614</v>
      </c>
      <c r="K526" s="6">
        <f t="shared" si="25"/>
        <v>12</v>
      </c>
      <c r="L526" s="6" t="str">
        <f t="shared" si="26"/>
        <v>DICIEMBRE</v>
      </c>
    </row>
    <row r="527" spans="1:12" x14ac:dyDescent="0.25">
      <c r="A527" s="5">
        <f t="shared" si="24"/>
        <v>2025</v>
      </c>
      <c r="B527" s="18" t="s">
        <v>1368</v>
      </c>
      <c r="C527" s="18" t="s">
        <v>595</v>
      </c>
      <c r="D527" s="12">
        <v>6411</v>
      </c>
      <c r="E527" s="17" t="s">
        <v>971</v>
      </c>
      <c r="F527" s="12" t="s">
        <v>972</v>
      </c>
      <c r="G527" s="14">
        <v>2</v>
      </c>
      <c r="H527" s="24">
        <v>69600</v>
      </c>
      <c r="I527" s="12" t="s">
        <v>546</v>
      </c>
      <c r="J527" s="6" t="s">
        <v>610</v>
      </c>
      <c r="K527" s="6">
        <f t="shared" si="25"/>
        <v>12</v>
      </c>
      <c r="L527" s="6" t="str">
        <f t="shared" si="26"/>
        <v>DICIEMBRE</v>
      </c>
    </row>
    <row r="528" spans="1:12" x14ac:dyDescent="0.25">
      <c r="A528" s="5">
        <f t="shared" si="24"/>
        <v>2025</v>
      </c>
      <c r="B528" s="18" t="s">
        <v>1151</v>
      </c>
      <c r="C528" s="18" t="s">
        <v>595</v>
      </c>
      <c r="D528" s="12">
        <v>6236</v>
      </c>
      <c r="E528" s="17" t="s">
        <v>321</v>
      </c>
      <c r="F528" s="12" t="s">
        <v>322</v>
      </c>
      <c r="G528" s="14">
        <v>1</v>
      </c>
      <c r="H528" s="24">
        <v>218000</v>
      </c>
      <c r="I528" s="12" t="s">
        <v>712</v>
      </c>
      <c r="J528" s="6" t="s">
        <v>608</v>
      </c>
      <c r="K528" s="6">
        <f t="shared" si="25"/>
        <v>9</v>
      </c>
      <c r="L528" s="6" t="str">
        <f t="shared" si="26"/>
        <v>SEPTIEMBRE</v>
      </c>
    </row>
    <row r="529" spans="1:12" x14ac:dyDescent="0.25">
      <c r="A529" s="5">
        <f t="shared" si="24"/>
        <v>2025</v>
      </c>
      <c r="B529" s="18" t="s">
        <v>1151</v>
      </c>
      <c r="C529" s="18" t="s">
        <v>595</v>
      </c>
      <c r="D529" s="12">
        <v>6236</v>
      </c>
      <c r="E529" s="17" t="s">
        <v>445</v>
      </c>
      <c r="F529" s="12" t="s">
        <v>446</v>
      </c>
      <c r="G529" s="14">
        <v>1</v>
      </c>
      <c r="H529" s="24">
        <v>15000</v>
      </c>
      <c r="I529" s="12" t="s">
        <v>712</v>
      </c>
      <c r="J529" s="6" t="s">
        <v>608</v>
      </c>
      <c r="K529" s="6">
        <f t="shared" si="25"/>
        <v>9</v>
      </c>
      <c r="L529" s="6" t="str">
        <f t="shared" si="26"/>
        <v>SEPTIEMBRE</v>
      </c>
    </row>
    <row r="530" spans="1:12" x14ac:dyDescent="0.25">
      <c r="A530" s="5">
        <f t="shared" si="24"/>
        <v>2025</v>
      </c>
      <c r="B530" s="18" t="s">
        <v>1151</v>
      </c>
      <c r="C530" s="18" t="s">
        <v>595</v>
      </c>
      <c r="D530" s="12">
        <v>6236</v>
      </c>
      <c r="E530" s="17" t="s">
        <v>409</v>
      </c>
      <c r="F530" s="12" t="s">
        <v>410</v>
      </c>
      <c r="G530" s="14">
        <v>4</v>
      </c>
      <c r="H530" s="24">
        <v>48000</v>
      </c>
      <c r="I530" s="12" t="s">
        <v>712</v>
      </c>
      <c r="J530" s="6" t="s">
        <v>608</v>
      </c>
      <c r="K530" s="6">
        <f t="shared" si="25"/>
        <v>9</v>
      </c>
      <c r="L530" s="6" t="str">
        <f t="shared" si="26"/>
        <v>SEPTIEMBRE</v>
      </c>
    </row>
    <row r="531" spans="1:12" x14ac:dyDescent="0.25">
      <c r="A531" s="5">
        <f t="shared" si="24"/>
        <v>2025</v>
      </c>
      <c r="B531" s="18" t="s">
        <v>1151</v>
      </c>
      <c r="C531" s="18" t="s">
        <v>595</v>
      </c>
      <c r="D531" s="12">
        <v>6236</v>
      </c>
      <c r="E531" s="17">
        <v>127760</v>
      </c>
      <c r="F531" s="12" t="s">
        <v>382</v>
      </c>
      <c r="G531" s="14">
        <v>1</v>
      </c>
      <c r="H531" s="24">
        <v>97000</v>
      </c>
      <c r="I531" s="12" t="s">
        <v>712</v>
      </c>
      <c r="J531" s="6" t="s">
        <v>608</v>
      </c>
      <c r="K531" s="6">
        <f t="shared" si="25"/>
        <v>9</v>
      </c>
      <c r="L531" s="6" t="str">
        <f t="shared" si="26"/>
        <v>SEPTIEMBRE</v>
      </c>
    </row>
    <row r="532" spans="1:12" x14ac:dyDescent="0.25">
      <c r="A532" s="5">
        <f t="shared" si="24"/>
        <v>2025</v>
      </c>
      <c r="B532" s="18" t="s">
        <v>1354</v>
      </c>
      <c r="C532" s="18" t="s">
        <v>595</v>
      </c>
      <c r="D532" s="12">
        <v>6420</v>
      </c>
      <c r="E532" s="17" t="s">
        <v>514</v>
      </c>
      <c r="F532" s="12" t="s">
        <v>515</v>
      </c>
      <c r="G532" s="14">
        <v>6</v>
      </c>
      <c r="H532" s="24">
        <v>1590000</v>
      </c>
      <c r="I532" s="12" t="s">
        <v>546</v>
      </c>
      <c r="J532" s="6" t="s">
        <v>610</v>
      </c>
      <c r="K532" s="6">
        <f t="shared" si="25"/>
        <v>12</v>
      </c>
      <c r="L532" s="6" t="str">
        <f t="shared" si="26"/>
        <v>DICIEMBRE</v>
      </c>
    </row>
    <row r="533" spans="1:12" x14ac:dyDescent="0.25">
      <c r="A533" s="5">
        <f t="shared" si="24"/>
        <v>2025</v>
      </c>
      <c r="B533" s="18" t="s">
        <v>1354</v>
      </c>
      <c r="C533" s="18" t="s">
        <v>595</v>
      </c>
      <c r="D533" s="12">
        <v>6420</v>
      </c>
      <c r="E533" s="17" t="s">
        <v>397</v>
      </c>
      <c r="F533" s="12" t="s">
        <v>398</v>
      </c>
      <c r="G533" s="14">
        <v>6</v>
      </c>
      <c r="H533" s="24">
        <v>5760000</v>
      </c>
      <c r="I533" s="12" t="s">
        <v>546</v>
      </c>
      <c r="J533" s="6" t="s">
        <v>610</v>
      </c>
      <c r="K533" s="6">
        <f t="shared" si="25"/>
        <v>12</v>
      </c>
      <c r="L533" s="6" t="str">
        <f t="shared" si="26"/>
        <v>DICIEMBRE</v>
      </c>
    </row>
    <row r="534" spans="1:12" x14ac:dyDescent="0.25">
      <c r="A534" s="5">
        <f t="shared" si="24"/>
        <v>2025</v>
      </c>
      <c r="B534" s="18" t="s">
        <v>1354</v>
      </c>
      <c r="C534" s="18" t="s">
        <v>595</v>
      </c>
      <c r="D534" s="12">
        <v>6420</v>
      </c>
      <c r="E534" s="17">
        <v>4026884</v>
      </c>
      <c r="F534" s="12" t="s">
        <v>1198</v>
      </c>
      <c r="G534" s="14">
        <v>3</v>
      </c>
      <c r="H534" s="24">
        <v>190500</v>
      </c>
      <c r="I534" s="12" t="s">
        <v>546</v>
      </c>
      <c r="J534" s="6" t="s">
        <v>610</v>
      </c>
      <c r="K534" s="6">
        <f t="shared" si="25"/>
        <v>12</v>
      </c>
      <c r="L534" s="6" t="str">
        <f t="shared" si="26"/>
        <v>DICIEMBRE</v>
      </c>
    </row>
    <row r="535" spans="1:12" x14ac:dyDescent="0.25">
      <c r="A535" s="5">
        <f t="shared" si="24"/>
        <v>2025</v>
      </c>
      <c r="B535" s="18" t="s">
        <v>1354</v>
      </c>
      <c r="C535" s="18" t="s">
        <v>595</v>
      </c>
      <c r="D535" s="12">
        <v>6420</v>
      </c>
      <c r="E535" s="17" t="s">
        <v>333</v>
      </c>
      <c r="F535" s="12" t="s">
        <v>334</v>
      </c>
      <c r="G535" s="14">
        <v>4</v>
      </c>
      <c r="H535" s="24">
        <v>1960000</v>
      </c>
      <c r="I535" s="12" t="s">
        <v>546</v>
      </c>
      <c r="J535" s="6" t="s">
        <v>610</v>
      </c>
      <c r="K535" s="6">
        <f t="shared" si="25"/>
        <v>12</v>
      </c>
      <c r="L535" s="6" t="str">
        <f t="shared" si="26"/>
        <v>DICIEMBRE</v>
      </c>
    </row>
    <row r="536" spans="1:12" x14ac:dyDescent="0.25">
      <c r="A536" s="5">
        <f t="shared" si="24"/>
        <v>2025</v>
      </c>
      <c r="B536" s="18" t="s">
        <v>1354</v>
      </c>
      <c r="C536" s="18" t="s">
        <v>595</v>
      </c>
      <c r="D536" s="12">
        <v>6420</v>
      </c>
      <c r="E536" s="17" t="s">
        <v>251</v>
      </c>
      <c r="F536" s="12" t="s">
        <v>252</v>
      </c>
      <c r="G536" s="14">
        <v>2</v>
      </c>
      <c r="H536" s="24">
        <v>110000</v>
      </c>
      <c r="I536" s="12" t="s">
        <v>546</v>
      </c>
      <c r="J536" s="6" t="s">
        <v>610</v>
      </c>
      <c r="K536" s="6">
        <f t="shared" si="25"/>
        <v>12</v>
      </c>
      <c r="L536" s="6" t="str">
        <f t="shared" si="26"/>
        <v>DICIEMBRE</v>
      </c>
    </row>
    <row r="537" spans="1:12" x14ac:dyDescent="0.25">
      <c r="A537" s="5">
        <f t="shared" si="24"/>
        <v>2025</v>
      </c>
      <c r="B537" s="18" t="s">
        <v>1354</v>
      </c>
      <c r="C537" s="18" t="s">
        <v>595</v>
      </c>
      <c r="D537" s="12">
        <v>6420</v>
      </c>
      <c r="E537" s="17" t="s">
        <v>1053</v>
      </c>
      <c r="F537" s="12" t="s">
        <v>115</v>
      </c>
      <c r="G537" s="14">
        <v>2</v>
      </c>
      <c r="H537" s="24">
        <v>215600</v>
      </c>
      <c r="I537" s="12" t="s">
        <v>546</v>
      </c>
      <c r="J537" s="6" t="s">
        <v>610</v>
      </c>
      <c r="K537" s="6">
        <f t="shared" si="25"/>
        <v>12</v>
      </c>
      <c r="L537" s="6" t="str">
        <f t="shared" si="26"/>
        <v>DICIEMBRE</v>
      </c>
    </row>
    <row r="538" spans="1:12" x14ac:dyDescent="0.25">
      <c r="A538" s="5">
        <f t="shared" si="24"/>
        <v>2025</v>
      </c>
      <c r="B538" s="18" t="s">
        <v>1354</v>
      </c>
      <c r="C538" s="18" t="s">
        <v>595</v>
      </c>
      <c r="D538" s="12">
        <v>6420</v>
      </c>
      <c r="E538" s="17">
        <v>4303603</v>
      </c>
      <c r="F538" s="12" t="s">
        <v>335</v>
      </c>
      <c r="G538" s="14">
        <v>6</v>
      </c>
      <c r="H538" s="24">
        <v>258000</v>
      </c>
      <c r="I538" s="12" t="s">
        <v>546</v>
      </c>
      <c r="J538" s="6" t="s">
        <v>610</v>
      </c>
      <c r="K538" s="6">
        <f t="shared" si="25"/>
        <v>12</v>
      </c>
      <c r="L538" s="6" t="str">
        <f t="shared" si="26"/>
        <v>DICIEMBRE</v>
      </c>
    </row>
    <row r="539" spans="1:12" x14ac:dyDescent="0.25">
      <c r="A539" s="5">
        <f t="shared" si="24"/>
        <v>2025</v>
      </c>
      <c r="B539" s="18" t="s">
        <v>1354</v>
      </c>
      <c r="C539" s="18" t="s">
        <v>595</v>
      </c>
      <c r="D539" s="12">
        <v>6420</v>
      </c>
      <c r="E539" s="17" t="s">
        <v>181</v>
      </c>
      <c r="F539" s="12" t="s">
        <v>182</v>
      </c>
      <c r="G539" s="14">
        <v>3</v>
      </c>
      <c r="H539" s="24">
        <v>294000</v>
      </c>
      <c r="I539" s="12" t="s">
        <v>546</v>
      </c>
      <c r="J539" s="6" t="s">
        <v>610</v>
      </c>
      <c r="K539" s="6">
        <f t="shared" si="25"/>
        <v>12</v>
      </c>
      <c r="L539" s="6" t="str">
        <f t="shared" si="26"/>
        <v>DICIEMBRE</v>
      </c>
    </row>
    <row r="540" spans="1:12" x14ac:dyDescent="0.25">
      <c r="A540" s="5">
        <f t="shared" si="24"/>
        <v>2025</v>
      </c>
      <c r="B540" s="18" t="s">
        <v>1354</v>
      </c>
      <c r="C540" s="18" t="s">
        <v>595</v>
      </c>
      <c r="D540" s="12">
        <v>6420</v>
      </c>
      <c r="E540" s="17" t="s">
        <v>43</v>
      </c>
      <c r="F540" s="12" t="s">
        <v>44</v>
      </c>
      <c r="G540" s="14">
        <v>4</v>
      </c>
      <c r="H540" s="24">
        <v>1040000</v>
      </c>
      <c r="I540" s="12" t="s">
        <v>546</v>
      </c>
      <c r="J540" s="6" t="s">
        <v>610</v>
      </c>
      <c r="K540" s="6">
        <f t="shared" si="25"/>
        <v>12</v>
      </c>
      <c r="L540" s="6" t="str">
        <f t="shared" si="26"/>
        <v>DICIEMBRE</v>
      </c>
    </row>
    <row r="541" spans="1:12" x14ac:dyDescent="0.25">
      <c r="A541" s="5">
        <f t="shared" si="24"/>
        <v>2025</v>
      </c>
      <c r="B541" s="18" t="s">
        <v>1354</v>
      </c>
      <c r="C541" s="18" t="s">
        <v>595</v>
      </c>
      <c r="D541" s="12">
        <v>6420</v>
      </c>
      <c r="E541" s="17" t="s">
        <v>1421</v>
      </c>
      <c r="F541" s="12" t="s">
        <v>1422</v>
      </c>
      <c r="G541" s="14">
        <v>30</v>
      </c>
      <c r="H541" s="24">
        <v>3562560</v>
      </c>
      <c r="I541" s="12" t="s">
        <v>546</v>
      </c>
      <c r="J541" s="6" t="s">
        <v>610</v>
      </c>
      <c r="K541" s="6">
        <f t="shared" si="25"/>
        <v>12</v>
      </c>
      <c r="L541" s="6" t="str">
        <f t="shared" si="26"/>
        <v>DICIEMBRE</v>
      </c>
    </row>
    <row r="542" spans="1:12" x14ac:dyDescent="0.25">
      <c r="A542" s="5">
        <f t="shared" si="24"/>
        <v>2025</v>
      </c>
      <c r="B542" s="18" t="s">
        <v>1354</v>
      </c>
      <c r="C542" s="18" t="s">
        <v>595</v>
      </c>
      <c r="D542" s="12">
        <v>6420</v>
      </c>
      <c r="E542" s="17" t="s">
        <v>413</v>
      </c>
      <c r="F542" s="12" t="s">
        <v>414</v>
      </c>
      <c r="G542" s="14">
        <v>1</v>
      </c>
      <c r="H542" s="24">
        <v>78000</v>
      </c>
      <c r="I542" s="12" t="s">
        <v>546</v>
      </c>
      <c r="J542" s="6" t="s">
        <v>610</v>
      </c>
      <c r="K542" s="6">
        <f t="shared" si="25"/>
        <v>12</v>
      </c>
      <c r="L542" s="6" t="str">
        <f t="shared" si="26"/>
        <v>DICIEMBRE</v>
      </c>
    </row>
    <row r="543" spans="1:12" x14ac:dyDescent="0.25">
      <c r="A543" s="5">
        <f t="shared" si="24"/>
        <v>2025</v>
      </c>
      <c r="B543" s="18" t="s">
        <v>1354</v>
      </c>
      <c r="C543" s="18" t="s">
        <v>595</v>
      </c>
      <c r="D543" s="12">
        <v>6420</v>
      </c>
      <c r="E543" s="17" t="s">
        <v>1001</v>
      </c>
      <c r="F543" s="12" t="s">
        <v>1002</v>
      </c>
      <c r="G543" s="14">
        <v>3</v>
      </c>
      <c r="H543" s="24">
        <v>276000</v>
      </c>
      <c r="I543" s="12" t="s">
        <v>546</v>
      </c>
      <c r="J543" s="6" t="s">
        <v>610</v>
      </c>
      <c r="K543" s="6">
        <f t="shared" si="25"/>
        <v>12</v>
      </c>
      <c r="L543" s="6" t="str">
        <f t="shared" si="26"/>
        <v>DICIEMBRE</v>
      </c>
    </row>
    <row r="544" spans="1:12" x14ac:dyDescent="0.25">
      <c r="A544" s="5">
        <f t="shared" si="24"/>
        <v>2025</v>
      </c>
      <c r="B544" s="18" t="s">
        <v>1354</v>
      </c>
      <c r="C544" s="18" t="s">
        <v>595</v>
      </c>
      <c r="D544" s="12">
        <v>6420</v>
      </c>
      <c r="E544" s="17">
        <v>4089431</v>
      </c>
      <c r="F544" s="12" t="s">
        <v>1423</v>
      </c>
      <c r="G544" s="14">
        <v>3</v>
      </c>
      <c r="H544" s="24">
        <v>9300000</v>
      </c>
      <c r="I544" s="12" t="s">
        <v>546</v>
      </c>
      <c r="J544" s="6" t="s">
        <v>610</v>
      </c>
      <c r="K544" s="6">
        <f t="shared" si="25"/>
        <v>12</v>
      </c>
      <c r="L544" s="6" t="str">
        <f t="shared" si="26"/>
        <v>DICIEMBRE</v>
      </c>
    </row>
    <row r="545" spans="1:12" x14ac:dyDescent="0.25">
      <c r="A545" s="5">
        <f t="shared" si="24"/>
        <v>2025</v>
      </c>
      <c r="B545" s="18" t="s">
        <v>1354</v>
      </c>
      <c r="C545" s="18" t="s">
        <v>595</v>
      </c>
      <c r="D545" s="12">
        <v>6420</v>
      </c>
      <c r="E545" s="17" t="s">
        <v>440</v>
      </c>
      <c r="F545" s="12" t="s">
        <v>441</v>
      </c>
      <c r="G545" s="14">
        <v>1</v>
      </c>
      <c r="H545" s="24">
        <v>3600000</v>
      </c>
      <c r="I545" s="12" t="s">
        <v>546</v>
      </c>
      <c r="J545" s="6" t="s">
        <v>610</v>
      </c>
      <c r="K545" s="6">
        <f t="shared" si="25"/>
        <v>12</v>
      </c>
      <c r="L545" s="6" t="str">
        <f t="shared" si="26"/>
        <v>DICIEMBRE</v>
      </c>
    </row>
    <row r="546" spans="1:12" x14ac:dyDescent="0.25">
      <c r="A546" s="5">
        <f t="shared" si="24"/>
        <v>2025</v>
      </c>
      <c r="B546" s="18" t="s">
        <v>1354</v>
      </c>
      <c r="C546" s="18" t="s">
        <v>595</v>
      </c>
      <c r="D546" s="12">
        <v>6420</v>
      </c>
      <c r="E546" s="17">
        <v>23559</v>
      </c>
      <c r="F546" s="12" t="s">
        <v>129</v>
      </c>
      <c r="G546" s="14">
        <v>5</v>
      </c>
      <c r="H546" s="24">
        <v>22540</v>
      </c>
      <c r="I546" s="12" t="s">
        <v>546</v>
      </c>
      <c r="J546" s="6" t="s">
        <v>610</v>
      </c>
      <c r="K546" s="6">
        <f t="shared" si="25"/>
        <v>12</v>
      </c>
      <c r="L546" s="6" t="str">
        <f t="shared" si="26"/>
        <v>DICIEMBRE</v>
      </c>
    </row>
    <row r="547" spans="1:12" x14ac:dyDescent="0.25">
      <c r="A547" s="5">
        <f t="shared" si="24"/>
        <v>2025</v>
      </c>
      <c r="B547" s="18" t="s">
        <v>1354</v>
      </c>
      <c r="C547" s="18" t="s">
        <v>595</v>
      </c>
      <c r="D547" s="12">
        <v>6420</v>
      </c>
      <c r="E547" s="17">
        <v>4303336</v>
      </c>
      <c r="F547" s="12" t="s">
        <v>261</v>
      </c>
      <c r="G547" s="14">
        <v>5</v>
      </c>
      <c r="H547" s="24">
        <v>34000</v>
      </c>
      <c r="I547" s="12" t="s">
        <v>546</v>
      </c>
      <c r="J547" s="6" t="s">
        <v>610</v>
      </c>
      <c r="K547" s="6">
        <f t="shared" si="25"/>
        <v>12</v>
      </c>
      <c r="L547" s="6" t="str">
        <f t="shared" si="26"/>
        <v>DICIEMBRE</v>
      </c>
    </row>
    <row r="548" spans="1:12" x14ac:dyDescent="0.25">
      <c r="A548" s="5">
        <f t="shared" si="24"/>
        <v>2025</v>
      </c>
      <c r="B548" s="18" t="s">
        <v>1354</v>
      </c>
      <c r="C548" s="18" t="s">
        <v>595</v>
      </c>
      <c r="D548" s="12">
        <v>6420</v>
      </c>
      <c r="E548" s="17" t="s">
        <v>235</v>
      </c>
      <c r="F548" s="12" t="s">
        <v>236</v>
      </c>
      <c r="G548" s="14">
        <v>1</v>
      </c>
      <c r="H548" s="24">
        <v>1243782</v>
      </c>
      <c r="I548" s="12" t="s">
        <v>546</v>
      </c>
      <c r="J548" s="6" t="s">
        <v>610</v>
      </c>
      <c r="K548" s="6">
        <f t="shared" si="25"/>
        <v>12</v>
      </c>
      <c r="L548" s="6" t="str">
        <f t="shared" si="26"/>
        <v>DICIEMBRE</v>
      </c>
    </row>
    <row r="549" spans="1:12" x14ac:dyDescent="0.25">
      <c r="A549" s="5">
        <f t="shared" si="24"/>
        <v>2025</v>
      </c>
      <c r="B549" s="18" t="s">
        <v>1354</v>
      </c>
      <c r="C549" s="18" t="s">
        <v>595</v>
      </c>
      <c r="D549" s="12">
        <v>6420</v>
      </c>
      <c r="E549" s="17" t="s">
        <v>1089</v>
      </c>
      <c r="F549" s="12" t="s">
        <v>1090</v>
      </c>
      <c r="G549" s="14">
        <v>2</v>
      </c>
      <c r="H549" s="24">
        <v>244000</v>
      </c>
      <c r="I549" s="12" t="s">
        <v>546</v>
      </c>
      <c r="J549" s="6" t="s">
        <v>610</v>
      </c>
      <c r="K549" s="6">
        <f t="shared" si="25"/>
        <v>12</v>
      </c>
      <c r="L549" s="6" t="str">
        <f t="shared" si="26"/>
        <v>DICIEMBRE</v>
      </c>
    </row>
    <row r="550" spans="1:12" x14ac:dyDescent="0.25">
      <c r="A550" s="5">
        <f t="shared" si="24"/>
        <v>2025</v>
      </c>
      <c r="B550" s="18" t="s">
        <v>1354</v>
      </c>
      <c r="C550" s="18" t="s">
        <v>595</v>
      </c>
      <c r="D550" s="12">
        <v>6420</v>
      </c>
      <c r="E550" s="17" t="s">
        <v>213</v>
      </c>
      <c r="F550" s="12" t="s">
        <v>214</v>
      </c>
      <c r="G550" s="14">
        <v>3</v>
      </c>
      <c r="H550" s="24">
        <v>3555000</v>
      </c>
      <c r="I550" s="12" t="s">
        <v>546</v>
      </c>
      <c r="J550" s="6" t="s">
        <v>610</v>
      </c>
      <c r="K550" s="6">
        <f t="shared" si="25"/>
        <v>12</v>
      </c>
      <c r="L550" s="6" t="str">
        <f t="shared" si="26"/>
        <v>DICIEMBRE</v>
      </c>
    </row>
    <row r="551" spans="1:12" x14ac:dyDescent="0.25">
      <c r="A551" s="5">
        <f t="shared" si="24"/>
        <v>2025</v>
      </c>
      <c r="B551" s="18" t="s">
        <v>1354</v>
      </c>
      <c r="C551" s="18" t="s">
        <v>595</v>
      </c>
      <c r="D551" s="12">
        <v>6420</v>
      </c>
      <c r="E551" s="17" t="s">
        <v>684</v>
      </c>
      <c r="F551" s="12" t="s">
        <v>701</v>
      </c>
      <c r="G551" s="14">
        <v>30</v>
      </c>
      <c r="H551" s="24">
        <v>3042570</v>
      </c>
      <c r="I551" s="12" t="s">
        <v>546</v>
      </c>
      <c r="J551" s="6" t="s">
        <v>610</v>
      </c>
      <c r="K551" s="6">
        <f t="shared" si="25"/>
        <v>12</v>
      </c>
      <c r="L551" s="6" t="str">
        <f t="shared" si="26"/>
        <v>DICIEMBRE</v>
      </c>
    </row>
    <row r="552" spans="1:12" x14ac:dyDescent="0.25">
      <c r="A552" s="5">
        <f t="shared" si="24"/>
        <v>2025</v>
      </c>
      <c r="B552" s="18" t="s">
        <v>1354</v>
      </c>
      <c r="C552" s="18" t="s">
        <v>595</v>
      </c>
      <c r="D552" s="12">
        <v>6420</v>
      </c>
      <c r="E552" s="17" t="s">
        <v>1084</v>
      </c>
      <c r="F552" s="12" t="s">
        <v>1022</v>
      </c>
      <c r="G552" s="14">
        <v>50</v>
      </c>
      <c r="H552" s="24">
        <v>2436350</v>
      </c>
      <c r="I552" s="12" t="s">
        <v>546</v>
      </c>
      <c r="J552" s="6" t="s">
        <v>610</v>
      </c>
      <c r="K552" s="6">
        <f t="shared" si="25"/>
        <v>12</v>
      </c>
      <c r="L552" s="6" t="str">
        <f t="shared" si="26"/>
        <v>DICIEMBRE</v>
      </c>
    </row>
    <row r="553" spans="1:12" x14ac:dyDescent="0.25">
      <c r="A553" s="5">
        <f t="shared" si="24"/>
        <v>2025</v>
      </c>
      <c r="B553" s="18" t="s">
        <v>1354</v>
      </c>
      <c r="C553" s="18" t="s">
        <v>595</v>
      </c>
      <c r="D553" s="12">
        <v>6420</v>
      </c>
      <c r="E553" s="17" t="s">
        <v>1121</v>
      </c>
      <c r="F553" s="12" t="s">
        <v>1124</v>
      </c>
      <c r="G553" s="14">
        <v>16</v>
      </c>
      <c r="H553" s="24">
        <v>1217424</v>
      </c>
      <c r="I553" s="12" t="s">
        <v>546</v>
      </c>
      <c r="J553" s="6" t="s">
        <v>610</v>
      </c>
      <c r="K553" s="6">
        <f t="shared" si="25"/>
        <v>12</v>
      </c>
      <c r="L553" s="6" t="str">
        <f t="shared" si="26"/>
        <v>DICIEMBRE</v>
      </c>
    </row>
    <row r="554" spans="1:12" x14ac:dyDescent="0.25">
      <c r="A554" s="5">
        <f t="shared" si="24"/>
        <v>2025</v>
      </c>
      <c r="B554" s="18" t="s">
        <v>1354</v>
      </c>
      <c r="C554" s="18" t="s">
        <v>595</v>
      </c>
      <c r="D554" s="12">
        <v>6420</v>
      </c>
      <c r="E554" s="17" t="s">
        <v>325</v>
      </c>
      <c r="F554" s="12" t="s">
        <v>326</v>
      </c>
      <c r="G554" s="14">
        <v>4</v>
      </c>
      <c r="H554" s="24">
        <v>815576</v>
      </c>
      <c r="I554" s="12" t="s">
        <v>546</v>
      </c>
      <c r="J554" s="6" t="s">
        <v>610</v>
      </c>
      <c r="K554" s="6">
        <f t="shared" si="25"/>
        <v>12</v>
      </c>
      <c r="L554" s="6" t="str">
        <f t="shared" si="26"/>
        <v>DICIEMBRE</v>
      </c>
    </row>
    <row r="555" spans="1:12" x14ac:dyDescent="0.25">
      <c r="A555" s="5">
        <f t="shared" si="24"/>
        <v>2025</v>
      </c>
      <c r="B555" s="18" t="s">
        <v>1354</v>
      </c>
      <c r="C555" s="18" t="s">
        <v>595</v>
      </c>
      <c r="D555" s="12">
        <v>6420</v>
      </c>
      <c r="E555" s="17">
        <v>3683695</v>
      </c>
      <c r="F555" s="12" t="s">
        <v>1216</v>
      </c>
      <c r="G555" s="14">
        <v>3</v>
      </c>
      <c r="H555" s="24">
        <v>611682</v>
      </c>
      <c r="I555" s="12" t="s">
        <v>546</v>
      </c>
      <c r="J555" s="6" t="s">
        <v>610</v>
      </c>
      <c r="K555" s="6">
        <f t="shared" si="25"/>
        <v>12</v>
      </c>
      <c r="L555" s="6" t="str">
        <f t="shared" si="26"/>
        <v>DICIEMBRE</v>
      </c>
    </row>
    <row r="556" spans="1:12" x14ac:dyDescent="0.25">
      <c r="A556" s="5">
        <f t="shared" si="24"/>
        <v>2025</v>
      </c>
      <c r="B556" s="18" t="s">
        <v>1354</v>
      </c>
      <c r="C556" s="18" t="s">
        <v>595</v>
      </c>
      <c r="D556" s="12">
        <v>6420</v>
      </c>
      <c r="E556" s="17">
        <v>4301842</v>
      </c>
      <c r="F556" s="12" t="s">
        <v>1410</v>
      </c>
      <c r="G556" s="14">
        <v>2</v>
      </c>
      <c r="H556" s="24">
        <v>102000</v>
      </c>
      <c r="I556" s="12" t="s">
        <v>546</v>
      </c>
      <c r="J556" s="6" t="s">
        <v>610</v>
      </c>
      <c r="K556" s="6">
        <f t="shared" si="25"/>
        <v>12</v>
      </c>
      <c r="L556" s="6" t="str">
        <f t="shared" si="26"/>
        <v>DICIEMBRE</v>
      </c>
    </row>
    <row r="557" spans="1:12" x14ac:dyDescent="0.25">
      <c r="A557" s="5">
        <f t="shared" si="24"/>
        <v>2025</v>
      </c>
      <c r="B557" s="18" t="s">
        <v>1354</v>
      </c>
      <c r="C557" s="18" t="s">
        <v>595</v>
      </c>
      <c r="D557" s="12">
        <v>6420</v>
      </c>
      <c r="E557" s="17">
        <v>4303124</v>
      </c>
      <c r="F557" s="12" t="s">
        <v>25</v>
      </c>
      <c r="G557" s="14">
        <v>2</v>
      </c>
      <c r="H557" s="24">
        <v>35000</v>
      </c>
      <c r="I557" s="12" t="s">
        <v>546</v>
      </c>
      <c r="J557" s="6" t="s">
        <v>610</v>
      </c>
      <c r="K557" s="6">
        <f t="shared" si="25"/>
        <v>12</v>
      </c>
      <c r="L557" s="6" t="str">
        <f t="shared" si="26"/>
        <v>DICIEMBRE</v>
      </c>
    </row>
    <row r="558" spans="1:12" x14ac:dyDescent="0.25">
      <c r="A558" s="5">
        <f t="shared" si="24"/>
        <v>2025</v>
      </c>
      <c r="B558" s="18" t="s">
        <v>1354</v>
      </c>
      <c r="C558" s="18" t="s">
        <v>595</v>
      </c>
      <c r="D558" s="12">
        <v>6420</v>
      </c>
      <c r="E558" s="17" t="s">
        <v>163</v>
      </c>
      <c r="F558" s="12" t="s">
        <v>164</v>
      </c>
      <c r="G558" s="14">
        <v>6</v>
      </c>
      <c r="H558" s="24">
        <v>9990000</v>
      </c>
      <c r="I558" s="12" t="s">
        <v>546</v>
      </c>
      <c r="J558" s="6" t="s">
        <v>610</v>
      </c>
      <c r="K558" s="6">
        <f t="shared" si="25"/>
        <v>12</v>
      </c>
      <c r="L558" s="6" t="str">
        <f t="shared" si="26"/>
        <v>DICIEMBRE</v>
      </c>
    </row>
    <row r="559" spans="1:12" x14ac:dyDescent="0.25">
      <c r="A559" s="5">
        <f t="shared" si="24"/>
        <v>2025</v>
      </c>
      <c r="B559" s="18" t="s">
        <v>1354</v>
      </c>
      <c r="C559" s="18" t="s">
        <v>595</v>
      </c>
      <c r="D559" s="12">
        <v>6420</v>
      </c>
      <c r="E559" s="17" t="s">
        <v>156</v>
      </c>
      <c r="F559" s="12" t="s">
        <v>157</v>
      </c>
      <c r="G559" s="14">
        <v>15</v>
      </c>
      <c r="H559" s="24">
        <v>7470000</v>
      </c>
      <c r="I559" s="12" t="s">
        <v>546</v>
      </c>
      <c r="J559" s="6" t="s">
        <v>610</v>
      </c>
      <c r="K559" s="6">
        <f t="shared" si="25"/>
        <v>12</v>
      </c>
      <c r="L559" s="6" t="str">
        <f t="shared" si="26"/>
        <v>DICIEMBRE</v>
      </c>
    </row>
    <row r="560" spans="1:12" x14ac:dyDescent="0.25">
      <c r="A560" s="5">
        <f t="shared" si="24"/>
        <v>2025</v>
      </c>
      <c r="B560" s="18" t="s">
        <v>1354</v>
      </c>
      <c r="C560" s="18" t="s">
        <v>595</v>
      </c>
      <c r="D560" s="12">
        <v>6420</v>
      </c>
      <c r="E560" s="17" t="s">
        <v>1155</v>
      </c>
      <c r="F560" s="12" t="s">
        <v>1161</v>
      </c>
      <c r="G560" s="14">
        <v>8</v>
      </c>
      <c r="H560" s="24">
        <v>536000</v>
      </c>
      <c r="I560" s="12" t="s">
        <v>546</v>
      </c>
      <c r="J560" s="6" t="s">
        <v>610</v>
      </c>
      <c r="K560" s="6">
        <f t="shared" si="25"/>
        <v>12</v>
      </c>
      <c r="L560" s="6" t="str">
        <f t="shared" si="26"/>
        <v>DICIEMBRE</v>
      </c>
    </row>
    <row r="561" spans="1:12" x14ac:dyDescent="0.25">
      <c r="A561" s="5">
        <f t="shared" si="24"/>
        <v>2025</v>
      </c>
      <c r="B561" s="18" t="s">
        <v>1354</v>
      </c>
      <c r="C561" s="18" t="s">
        <v>595</v>
      </c>
      <c r="D561" s="12">
        <v>6420</v>
      </c>
      <c r="E561" s="17">
        <v>5005037</v>
      </c>
      <c r="F561" s="12" t="s">
        <v>1009</v>
      </c>
      <c r="G561" s="14">
        <v>2</v>
      </c>
      <c r="H561" s="24">
        <v>348864</v>
      </c>
      <c r="I561" s="12" t="s">
        <v>546</v>
      </c>
      <c r="J561" s="6" t="s">
        <v>610</v>
      </c>
      <c r="K561" s="6">
        <f t="shared" si="25"/>
        <v>12</v>
      </c>
      <c r="L561" s="6" t="str">
        <f t="shared" si="26"/>
        <v>DICIEMBRE</v>
      </c>
    </row>
    <row r="562" spans="1:12" x14ac:dyDescent="0.25">
      <c r="A562" s="5">
        <f t="shared" si="24"/>
        <v>2025</v>
      </c>
      <c r="B562" s="18" t="s">
        <v>903</v>
      </c>
      <c r="C562" s="18" t="s">
        <v>595</v>
      </c>
      <c r="D562" s="12">
        <v>5805</v>
      </c>
      <c r="E562" s="17" t="s">
        <v>344</v>
      </c>
      <c r="F562" s="12" t="s">
        <v>345</v>
      </c>
      <c r="G562" s="14">
        <v>2</v>
      </c>
      <c r="H562" s="24">
        <v>1685688</v>
      </c>
      <c r="I562" s="12" t="s">
        <v>546</v>
      </c>
      <c r="J562" s="6" t="s">
        <v>610</v>
      </c>
      <c r="K562" s="6">
        <f t="shared" si="25"/>
        <v>1</v>
      </c>
      <c r="L562" s="6" t="str">
        <f t="shared" si="26"/>
        <v>ENERO</v>
      </c>
    </row>
    <row r="563" spans="1:12" x14ac:dyDescent="0.25">
      <c r="A563" s="5">
        <f t="shared" si="24"/>
        <v>2025</v>
      </c>
      <c r="B563" s="18" t="s">
        <v>1283</v>
      </c>
      <c r="C563" s="18" t="s">
        <v>595</v>
      </c>
      <c r="D563" s="12">
        <v>6379</v>
      </c>
      <c r="E563" s="17" t="s">
        <v>387</v>
      </c>
      <c r="F563" s="12" t="s">
        <v>388</v>
      </c>
      <c r="G563" s="14">
        <v>3</v>
      </c>
      <c r="H563" s="24">
        <v>630000</v>
      </c>
      <c r="I563" s="12" t="s">
        <v>546</v>
      </c>
      <c r="J563" s="6" t="s">
        <v>610</v>
      </c>
      <c r="K563" s="6">
        <f t="shared" si="25"/>
        <v>11</v>
      </c>
      <c r="L563" s="6" t="str">
        <f t="shared" si="26"/>
        <v>NOVIEMBRE</v>
      </c>
    </row>
    <row r="564" spans="1:12" x14ac:dyDescent="0.25">
      <c r="A564" s="5">
        <f t="shared" si="24"/>
        <v>2025</v>
      </c>
      <c r="B564" s="18" t="s">
        <v>1191</v>
      </c>
      <c r="C564" s="18" t="s">
        <v>595</v>
      </c>
      <c r="D564" s="12">
        <v>6299</v>
      </c>
      <c r="E564" s="17" t="s">
        <v>674</v>
      </c>
      <c r="F564" s="12" t="s">
        <v>689</v>
      </c>
      <c r="G564" s="14">
        <v>1</v>
      </c>
      <c r="H564" s="24">
        <v>224059</v>
      </c>
      <c r="I564" s="12" t="s">
        <v>704</v>
      </c>
      <c r="J564" s="6" t="s">
        <v>1101</v>
      </c>
      <c r="K564" s="6">
        <f t="shared" si="25"/>
        <v>10</v>
      </c>
      <c r="L564" s="6" t="str">
        <f t="shared" si="26"/>
        <v>OCTUBRE</v>
      </c>
    </row>
    <row r="565" spans="1:12" x14ac:dyDescent="0.25">
      <c r="A565" s="5">
        <f t="shared" ref="A565:A628" si="27">+YEAR(B565)</f>
        <v>2025</v>
      </c>
      <c r="B565" s="18" t="s">
        <v>1191</v>
      </c>
      <c r="C565" s="18" t="s">
        <v>595</v>
      </c>
      <c r="D565" s="12">
        <v>6299</v>
      </c>
      <c r="E565" s="17" t="s">
        <v>167</v>
      </c>
      <c r="F565" s="12" t="s">
        <v>168</v>
      </c>
      <c r="G565" s="14">
        <v>1</v>
      </c>
      <c r="H565" s="24">
        <v>638100</v>
      </c>
      <c r="I565" s="12" t="s">
        <v>704</v>
      </c>
      <c r="J565" s="6" t="s">
        <v>1101</v>
      </c>
      <c r="K565" s="6">
        <f t="shared" ref="K565:K628" si="28">+MONTH(B565)</f>
        <v>10</v>
      </c>
      <c r="L565" s="6" t="str">
        <f t="shared" si="26"/>
        <v>OCTUBRE</v>
      </c>
    </row>
    <row r="566" spans="1:12" x14ac:dyDescent="0.25">
      <c r="A566" s="5">
        <f t="shared" si="27"/>
        <v>2025</v>
      </c>
      <c r="B566" s="18" t="s">
        <v>1191</v>
      </c>
      <c r="C566" s="18" t="s">
        <v>595</v>
      </c>
      <c r="D566" s="12">
        <v>6299</v>
      </c>
      <c r="E566" s="17" t="s">
        <v>678</v>
      </c>
      <c r="F566" s="12" t="s">
        <v>695</v>
      </c>
      <c r="G566" s="14">
        <v>2</v>
      </c>
      <c r="H566" s="24">
        <v>146384</v>
      </c>
      <c r="I566" s="12" t="s">
        <v>704</v>
      </c>
      <c r="J566" s="6" t="s">
        <v>1101</v>
      </c>
      <c r="K566" s="6">
        <f t="shared" si="28"/>
        <v>10</v>
      </c>
      <c r="L566" s="6" t="str">
        <f t="shared" si="26"/>
        <v>OCTUBRE</v>
      </c>
    </row>
    <row r="567" spans="1:12" x14ac:dyDescent="0.25">
      <c r="A567" s="5">
        <f t="shared" si="27"/>
        <v>2025</v>
      </c>
      <c r="B567" s="18" t="s">
        <v>1191</v>
      </c>
      <c r="C567" s="18" t="s">
        <v>595</v>
      </c>
      <c r="D567" s="12">
        <v>6299</v>
      </c>
      <c r="E567" s="17">
        <v>127760</v>
      </c>
      <c r="F567" s="12" t="s">
        <v>382</v>
      </c>
      <c r="G567" s="14">
        <v>1</v>
      </c>
      <c r="H567" s="24">
        <v>103300</v>
      </c>
      <c r="I567" s="12" t="s">
        <v>704</v>
      </c>
      <c r="J567" s="6" t="s">
        <v>1101</v>
      </c>
      <c r="K567" s="6">
        <f t="shared" si="28"/>
        <v>10</v>
      </c>
      <c r="L567" s="6" t="str">
        <f t="shared" si="26"/>
        <v>OCTUBRE</v>
      </c>
    </row>
    <row r="568" spans="1:12" x14ac:dyDescent="0.25">
      <c r="A568" s="5">
        <f t="shared" si="27"/>
        <v>2025</v>
      </c>
      <c r="B568" s="18" t="s">
        <v>1191</v>
      </c>
      <c r="C568" s="18" t="s">
        <v>595</v>
      </c>
      <c r="D568" s="12">
        <v>6299</v>
      </c>
      <c r="E568" s="17" t="s">
        <v>682</v>
      </c>
      <c r="F568" s="12" t="s">
        <v>699</v>
      </c>
      <c r="G568" s="14">
        <v>1</v>
      </c>
      <c r="H568" s="24">
        <v>114200</v>
      </c>
      <c r="I568" s="12" t="s">
        <v>704</v>
      </c>
      <c r="J568" s="6" t="s">
        <v>1101</v>
      </c>
      <c r="K568" s="6">
        <f t="shared" si="28"/>
        <v>10</v>
      </c>
      <c r="L568" s="6" t="str">
        <f t="shared" si="26"/>
        <v>OCTUBRE</v>
      </c>
    </row>
    <row r="569" spans="1:12" x14ac:dyDescent="0.25">
      <c r="A569" s="5">
        <f t="shared" si="27"/>
        <v>2025</v>
      </c>
      <c r="B569" s="18" t="s">
        <v>1220</v>
      </c>
      <c r="C569" s="18" t="s">
        <v>595</v>
      </c>
      <c r="D569" s="12">
        <v>6331</v>
      </c>
      <c r="E569" s="17" t="s">
        <v>399</v>
      </c>
      <c r="F569" s="12" t="s">
        <v>400</v>
      </c>
      <c r="G569" s="14">
        <v>1</v>
      </c>
      <c r="H569" s="24">
        <v>129000</v>
      </c>
      <c r="I569" s="12" t="s">
        <v>712</v>
      </c>
      <c r="J569" s="6" t="s">
        <v>608</v>
      </c>
      <c r="K569" s="6">
        <f t="shared" si="28"/>
        <v>10</v>
      </c>
      <c r="L569" s="6" t="str">
        <f t="shared" si="26"/>
        <v>OCTUBRE</v>
      </c>
    </row>
    <row r="570" spans="1:12" x14ac:dyDescent="0.25">
      <c r="A570" s="5">
        <f t="shared" si="27"/>
        <v>2025</v>
      </c>
      <c r="B570" s="18" t="s">
        <v>1220</v>
      </c>
      <c r="C570" s="18" t="s">
        <v>595</v>
      </c>
      <c r="D570" s="12">
        <v>6331</v>
      </c>
      <c r="E570" s="17">
        <v>4303424</v>
      </c>
      <c r="F570" s="12" t="s">
        <v>135</v>
      </c>
      <c r="G570" s="14">
        <v>1</v>
      </c>
      <c r="H570" s="24">
        <v>22000</v>
      </c>
      <c r="I570" s="12" t="s">
        <v>712</v>
      </c>
      <c r="J570" s="6" t="s">
        <v>608</v>
      </c>
      <c r="K570" s="6">
        <f t="shared" si="28"/>
        <v>10</v>
      </c>
      <c r="L570" s="6" t="str">
        <f t="shared" si="26"/>
        <v>OCTUBRE</v>
      </c>
    </row>
    <row r="571" spans="1:12" x14ac:dyDescent="0.25">
      <c r="A571" s="5">
        <f t="shared" si="27"/>
        <v>2025</v>
      </c>
      <c r="B571" s="18" t="s">
        <v>1220</v>
      </c>
      <c r="C571" s="18" t="s">
        <v>595</v>
      </c>
      <c r="D571" s="12">
        <v>6331</v>
      </c>
      <c r="E571" s="17" t="s">
        <v>346</v>
      </c>
      <c r="F571" s="12" t="s">
        <v>347</v>
      </c>
      <c r="G571" s="14">
        <v>1</v>
      </c>
      <c r="H571" s="24">
        <v>131000</v>
      </c>
      <c r="I571" s="12" t="s">
        <v>712</v>
      </c>
      <c r="J571" s="6" t="s">
        <v>608</v>
      </c>
      <c r="K571" s="6">
        <f t="shared" si="28"/>
        <v>10</v>
      </c>
      <c r="L571" s="6" t="str">
        <f t="shared" si="26"/>
        <v>OCTUBRE</v>
      </c>
    </row>
    <row r="572" spans="1:12" x14ac:dyDescent="0.25">
      <c r="A572" s="5">
        <f t="shared" si="27"/>
        <v>2025</v>
      </c>
      <c r="B572" s="18" t="s">
        <v>1220</v>
      </c>
      <c r="C572" s="18" t="s">
        <v>595</v>
      </c>
      <c r="D572" s="12">
        <v>6331</v>
      </c>
      <c r="E572" s="17" t="s">
        <v>119</v>
      </c>
      <c r="F572" s="12" t="s">
        <v>120</v>
      </c>
      <c r="G572" s="14">
        <v>1</v>
      </c>
      <c r="H572" s="24">
        <v>166000</v>
      </c>
      <c r="I572" s="12" t="s">
        <v>712</v>
      </c>
      <c r="J572" s="6" t="s">
        <v>608</v>
      </c>
      <c r="K572" s="6">
        <f t="shared" si="28"/>
        <v>10</v>
      </c>
      <c r="L572" s="6" t="str">
        <f t="shared" si="26"/>
        <v>OCTUBRE</v>
      </c>
    </row>
    <row r="573" spans="1:12" x14ac:dyDescent="0.25">
      <c r="A573" s="5">
        <f t="shared" si="27"/>
        <v>2025</v>
      </c>
      <c r="B573" s="18" t="s">
        <v>1220</v>
      </c>
      <c r="C573" s="18" t="s">
        <v>595</v>
      </c>
      <c r="D573" s="12">
        <v>6331</v>
      </c>
      <c r="E573" s="17" t="s">
        <v>235</v>
      </c>
      <c r="F573" s="12" t="s">
        <v>236</v>
      </c>
      <c r="G573" s="14">
        <v>2</v>
      </c>
      <c r="H573" s="24">
        <v>2528000</v>
      </c>
      <c r="I573" s="12" t="s">
        <v>712</v>
      </c>
      <c r="J573" s="6" t="s">
        <v>608</v>
      </c>
      <c r="K573" s="6">
        <f t="shared" si="28"/>
        <v>10</v>
      </c>
      <c r="L573" s="6" t="str">
        <f t="shared" si="26"/>
        <v>OCTUBRE</v>
      </c>
    </row>
    <row r="574" spans="1:12" x14ac:dyDescent="0.25">
      <c r="A574" s="5">
        <f t="shared" si="27"/>
        <v>2025</v>
      </c>
      <c r="B574" s="18" t="s">
        <v>1220</v>
      </c>
      <c r="C574" s="18" t="s">
        <v>595</v>
      </c>
      <c r="D574" s="12">
        <v>6331</v>
      </c>
      <c r="E574" s="17">
        <v>4301851</v>
      </c>
      <c r="F574" s="12" t="s">
        <v>185</v>
      </c>
      <c r="G574" s="14">
        <v>4</v>
      </c>
      <c r="H574" s="24">
        <v>420000</v>
      </c>
      <c r="I574" s="12" t="s">
        <v>712</v>
      </c>
      <c r="J574" s="6" t="s">
        <v>608</v>
      </c>
      <c r="K574" s="6">
        <f t="shared" si="28"/>
        <v>10</v>
      </c>
      <c r="L574" s="6" t="str">
        <f t="shared" si="26"/>
        <v>OCTUBRE</v>
      </c>
    </row>
    <row r="575" spans="1:12" x14ac:dyDescent="0.25">
      <c r="A575" s="5">
        <f t="shared" si="27"/>
        <v>2025</v>
      </c>
      <c r="B575" s="18" t="s">
        <v>1220</v>
      </c>
      <c r="C575" s="18" t="s">
        <v>595</v>
      </c>
      <c r="D575" s="12">
        <v>6331</v>
      </c>
      <c r="E575" s="17">
        <v>4300902</v>
      </c>
      <c r="F575" s="12" t="s">
        <v>978</v>
      </c>
      <c r="G575" s="14">
        <v>1</v>
      </c>
      <c r="H575" s="24">
        <v>300000</v>
      </c>
      <c r="I575" s="12" t="s">
        <v>712</v>
      </c>
      <c r="J575" s="6" t="s">
        <v>608</v>
      </c>
      <c r="K575" s="6">
        <f t="shared" si="28"/>
        <v>10</v>
      </c>
      <c r="L575" s="6" t="str">
        <f t="shared" si="26"/>
        <v>OCTUBRE</v>
      </c>
    </row>
    <row r="576" spans="1:12" x14ac:dyDescent="0.25">
      <c r="A576" s="5">
        <f t="shared" si="27"/>
        <v>2025</v>
      </c>
      <c r="B576" s="18" t="s">
        <v>1220</v>
      </c>
      <c r="C576" s="18" t="s">
        <v>595</v>
      </c>
      <c r="D576" s="12">
        <v>6331</v>
      </c>
      <c r="E576" s="17" t="s">
        <v>305</v>
      </c>
      <c r="F576" s="12" t="s">
        <v>306</v>
      </c>
      <c r="G576" s="14">
        <v>1</v>
      </c>
      <c r="H576" s="24">
        <v>348000</v>
      </c>
      <c r="I576" s="12" t="s">
        <v>712</v>
      </c>
      <c r="J576" s="6" t="s">
        <v>608</v>
      </c>
      <c r="K576" s="6">
        <f t="shared" si="28"/>
        <v>10</v>
      </c>
      <c r="L576" s="6" t="str">
        <f t="shared" si="26"/>
        <v>OCTUBRE</v>
      </c>
    </row>
    <row r="577" spans="1:12" x14ac:dyDescent="0.25">
      <c r="A577" s="5">
        <f t="shared" si="27"/>
        <v>2025</v>
      </c>
      <c r="B577" s="18" t="s">
        <v>1220</v>
      </c>
      <c r="C577" s="18" t="s">
        <v>595</v>
      </c>
      <c r="D577" s="12">
        <v>6331</v>
      </c>
      <c r="E577" s="17" t="s">
        <v>251</v>
      </c>
      <c r="F577" s="12" t="s">
        <v>252</v>
      </c>
      <c r="G577" s="14">
        <v>1</v>
      </c>
      <c r="H577" s="24">
        <v>60000</v>
      </c>
      <c r="I577" s="12" t="s">
        <v>712</v>
      </c>
      <c r="J577" s="6" t="s">
        <v>608</v>
      </c>
      <c r="K577" s="6">
        <f t="shared" si="28"/>
        <v>10</v>
      </c>
      <c r="L577" s="6" t="str">
        <f t="shared" si="26"/>
        <v>OCTUBRE</v>
      </c>
    </row>
    <row r="578" spans="1:12" x14ac:dyDescent="0.25">
      <c r="A578" s="5">
        <f t="shared" si="27"/>
        <v>2025</v>
      </c>
      <c r="B578" s="18" t="s">
        <v>1220</v>
      </c>
      <c r="C578" s="18" t="s">
        <v>595</v>
      </c>
      <c r="D578" s="12">
        <v>6331</v>
      </c>
      <c r="E578" s="17">
        <v>126155</v>
      </c>
      <c r="F578" s="12" t="s">
        <v>503</v>
      </c>
      <c r="G578" s="14">
        <v>1</v>
      </c>
      <c r="H578" s="24">
        <v>130752</v>
      </c>
      <c r="I578" s="12" t="s">
        <v>712</v>
      </c>
      <c r="J578" s="6" t="s">
        <v>608</v>
      </c>
      <c r="K578" s="6">
        <f t="shared" si="28"/>
        <v>10</v>
      </c>
      <c r="L578" s="6" t="str">
        <f t="shared" si="26"/>
        <v>OCTUBRE</v>
      </c>
    </row>
    <row r="579" spans="1:12" x14ac:dyDescent="0.25">
      <c r="A579" s="5">
        <f t="shared" si="27"/>
        <v>2025</v>
      </c>
      <c r="B579" s="18" t="s">
        <v>1220</v>
      </c>
      <c r="C579" s="18" t="s">
        <v>595</v>
      </c>
      <c r="D579" s="12">
        <v>6331</v>
      </c>
      <c r="E579" s="17" t="s">
        <v>910</v>
      </c>
      <c r="F579" s="12" t="s">
        <v>911</v>
      </c>
      <c r="G579" s="14">
        <v>1</v>
      </c>
      <c r="H579" s="24">
        <v>325087</v>
      </c>
      <c r="I579" s="12" t="s">
        <v>712</v>
      </c>
      <c r="J579" s="6" t="s">
        <v>608</v>
      </c>
      <c r="K579" s="6">
        <f t="shared" si="28"/>
        <v>10</v>
      </c>
      <c r="L579" s="6" t="str">
        <f t="shared" ref="L579:L642" si="29">VLOOKUP(K579,N:O,2,0)</f>
        <v>OCTUBRE</v>
      </c>
    </row>
    <row r="580" spans="1:12" x14ac:dyDescent="0.25">
      <c r="A580" s="5">
        <f t="shared" si="27"/>
        <v>2025</v>
      </c>
      <c r="B580" s="18" t="s">
        <v>1174</v>
      </c>
      <c r="C580" s="18" t="s">
        <v>595</v>
      </c>
      <c r="D580" s="12">
        <v>6256</v>
      </c>
      <c r="E580" s="17">
        <v>85994</v>
      </c>
      <c r="F580" s="12" t="s">
        <v>130</v>
      </c>
      <c r="G580" s="14">
        <v>1</v>
      </c>
      <c r="H580" s="24">
        <v>5000</v>
      </c>
      <c r="I580" s="12" t="s">
        <v>712</v>
      </c>
      <c r="J580" s="6" t="s">
        <v>608</v>
      </c>
      <c r="K580" s="6">
        <f t="shared" si="28"/>
        <v>9</v>
      </c>
      <c r="L580" s="6" t="str">
        <f t="shared" si="29"/>
        <v>SEPTIEMBRE</v>
      </c>
    </row>
    <row r="581" spans="1:12" x14ac:dyDescent="0.25">
      <c r="A581" s="5">
        <f t="shared" si="27"/>
        <v>2025</v>
      </c>
      <c r="B581" s="18" t="s">
        <v>1174</v>
      </c>
      <c r="C581" s="18" t="s">
        <v>595</v>
      </c>
      <c r="D581" s="12">
        <v>6256</v>
      </c>
      <c r="E581" s="17">
        <v>51228</v>
      </c>
      <c r="F581" s="12" t="s">
        <v>160</v>
      </c>
      <c r="G581" s="14">
        <v>1</v>
      </c>
      <c r="H581" s="24">
        <v>15000</v>
      </c>
      <c r="I581" s="12" t="s">
        <v>712</v>
      </c>
      <c r="J581" s="6" t="s">
        <v>608</v>
      </c>
      <c r="K581" s="6">
        <f t="shared" si="28"/>
        <v>9</v>
      </c>
      <c r="L581" s="6" t="str">
        <f t="shared" si="29"/>
        <v>SEPTIEMBRE</v>
      </c>
    </row>
    <row r="582" spans="1:12" x14ac:dyDescent="0.25">
      <c r="A582" s="5">
        <f t="shared" si="27"/>
        <v>2025</v>
      </c>
      <c r="B582" s="18" t="s">
        <v>1174</v>
      </c>
      <c r="C582" s="18" t="s">
        <v>595</v>
      </c>
      <c r="D582" s="12">
        <v>6256</v>
      </c>
      <c r="E582" s="17">
        <v>127095</v>
      </c>
      <c r="F582" s="12" t="s">
        <v>155</v>
      </c>
      <c r="G582" s="14">
        <v>1</v>
      </c>
      <c r="H582" s="24">
        <v>14000</v>
      </c>
      <c r="I582" s="12" t="s">
        <v>712</v>
      </c>
      <c r="J582" s="6" t="s">
        <v>608</v>
      </c>
      <c r="K582" s="6">
        <f t="shared" si="28"/>
        <v>9</v>
      </c>
      <c r="L582" s="6" t="str">
        <f t="shared" si="29"/>
        <v>SEPTIEMBRE</v>
      </c>
    </row>
    <row r="583" spans="1:12" x14ac:dyDescent="0.25">
      <c r="A583" s="5">
        <f t="shared" si="27"/>
        <v>2025</v>
      </c>
      <c r="B583" s="18" t="s">
        <v>1174</v>
      </c>
      <c r="C583" s="18" t="s">
        <v>595</v>
      </c>
      <c r="D583" s="12">
        <v>6256</v>
      </c>
      <c r="E583" s="17" t="s">
        <v>395</v>
      </c>
      <c r="F583" s="12" t="s">
        <v>396</v>
      </c>
      <c r="G583" s="14">
        <v>2</v>
      </c>
      <c r="H583" s="24">
        <v>316000</v>
      </c>
      <c r="I583" s="12" t="s">
        <v>712</v>
      </c>
      <c r="J583" s="6" t="s">
        <v>608</v>
      </c>
      <c r="K583" s="6">
        <f t="shared" si="28"/>
        <v>9</v>
      </c>
      <c r="L583" s="6" t="str">
        <f t="shared" si="29"/>
        <v>SEPTIEMBRE</v>
      </c>
    </row>
    <row r="584" spans="1:12" x14ac:dyDescent="0.25">
      <c r="A584" s="5">
        <f t="shared" si="27"/>
        <v>2025</v>
      </c>
      <c r="B584" s="18" t="s">
        <v>1174</v>
      </c>
      <c r="C584" s="18" t="s">
        <v>595</v>
      </c>
      <c r="D584" s="12">
        <v>6256</v>
      </c>
      <c r="E584" s="17">
        <v>58</v>
      </c>
      <c r="F584" s="12" t="s">
        <v>574</v>
      </c>
      <c r="G584" s="14">
        <v>1</v>
      </c>
      <c r="H584" s="24">
        <v>66000</v>
      </c>
      <c r="I584" s="12" t="s">
        <v>712</v>
      </c>
      <c r="J584" s="6" t="s">
        <v>608</v>
      </c>
      <c r="K584" s="6">
        <f t="shared" si="28"/>
        <v>9</v>
      </c>
      <c r="L584" s="6" t="str">
        <f t="shared" si="29"/>
        <v>SEPTIEMBRE</v>
      </c>
    </row>
    <row r="585" spans="1:12" x14ac:dyDescent="0.25">
      <c r="A585" s="5">
        <f t="shared" si="27"/>
        <v>2025</v>
      </c>
      <c r="B585" s="18" t="s">
        <v>1144</v>
      </c>
      <c r="C585" s="18" t="s">
        <v>595</v>
      </c>
      <c r="D585" s="12">
        <v>6222</v>
      </c>
      <c r="E585" s="17">
        <v>85003</v>
      </c>
      <c r="F585" s="12" t="s">
        <v>449</v>
      </c>
      <c r="G585" s="14">
        <v>1</v>
      </c>
      <c r="H585" s="24">
        <v>21000</v>
      </c>
      <c r="I585" s="12" t="s">
        <v>712</v>
      </c>
      <c r="J585" s="6" t="s">
        <v>608</v>
      </c>
      <c r="K585" s="6">
        <f t="shared" si="28"/>
        <v>8</v>
      </c>
      <c r="L585" s="6" t="str">
        <f t="shared" si="29"/>
        <v>AGOSTO</v>
      </c>
    </row>
    <row r="586" spans="1:12" x14ac:dyDescent="0.25">
      <c r="A586" s="5">
        <f t="shared" si="27"/>
        <v>2025</v>
      </c>
      <c r="B586" s="18" t="s">
        <v>1144</v>
      </c>
      <c r="C586" s="18" t="s">
        <v>595</v>
      </c>
      <c r="D586" s="12">
        <v>6222</v>
      </c>
      <c r="E586" s="17" t="s">
        <v>649</v>
      </c>
      <c r="F586" s="12" t="s">
        <v>491</v>
      </c>
      <c r="G586" s="14">
        <v>2</v>
      </c>
      <c r="H586" s="24">
        <v>34000</v>
      </c>
      <c r="I586" s="12" t="s">
        <v>712</v>
      </c>
      <c r="J586" s="6" t="s">
        <v>608</v>
      </c>
      <c r="K586" s="6">
        <f t="shared" si="28"/>
        <v>8</v>
      </c>
      <c r="L586" s="6" t="str">
        <f t="shared" si="29"/>
        <v>AGOSTO</v>
      </c>
    </row>
    <row r="587" spans="1:12" x14ac:dyDescent="0.25">
      <c r="A587" s="5">
        <f t="shared" si="27"/>
        <v>2025</v>
      </c>
      <c r="B587" s="18" t="s">
        <v>1144</v>
      </c>
      <c r="C587" s="18" t="s">
        <v>595</v>
      </c>
      <c r="D587" s="12">
        <v>6222</v>
      </c>
      <c r="E587" s="17" t="s">
        <v>329</v>
      </c>
      <c r="F587" s="12" t="s">
        <v>330</v>
      </c>
      <c r="G587" s="14">
        <v>1</v>
      </c>
      <c r="H587" s="24">
        <v>385000</v>
      </c>
      <c r="I587" s="12" t="s">
        <v>712</v>
      </c>
      <c r="J587" s="6" t="s">
        <v>608</v>
      </c>
      <c r="K587" s="6">
        <f t="shared" si="28"/>
        <v>8</v>
      </c>
      <c r="L587" s="6" t="str">
        <f t="shared" si="29"/>
        <v>AGOSTO</v>
      </c>
    </row>
    <row r="588" spans="1:12" x14ac:dyDescent="0.25">
      <c r="A588" s="5">
        <f t="shared" si="27"/>
        <v>2025</v>
      </c>
      <c r="B588" s="18" t="s">
        <v>1144</v>
      </c>
      <c r="C588" s="18" t="s">
        <v>595</v>
      </c>
      <c r="D588" s="12">
        <v>6222</v>
      </c>
      <c r="E588" s="17" t="s">
        <v>116</v>
      </c>
      <c r="F588" s="12" t="s">
        <v>117</v>
      </c>
      <c r="G588" s="14">
        <v>1</v>
      </c>
      <c r="H588" s="24">
        <v>722000</v>
      </c>
      <c r="I588" s="12" t="s">
        <v>712</v>
      </c>
      <c r="J588" s="6" t="s">
        <v>608</v>
      </c>
      <c r="K588" s="6">
        <f t="shared" si="28"/>
        <v>8</v>
      </c>
      <c r="L588" s="6" t="str">
        <f t="shared" si="29"/>
        <v>AGOSTO</v>
      </c>
    </row>
    <row r="589" spans="1:12" x14ac:dyDescent="0.25">
      <c r="A589" s="5">
        <f t="shared" si="27"/>
        <v>2025</v>
      </c>
      <c r="B589" s="18" t="s">
        <v>1144</v>
      </c>
      <c r="C589" s="18" t="s">
        <v>595</v>
      </c>
      <c r="D589" s="12">
        <v>6222</v>
      </c>
      <c r="E589" s="17" t="s">
        <v>537</v>
      </c>
      <c r="F589" s="12" t="s">
        <v>538</v>
      </c>
      <c r="G589" s="14">
        <v>2</v>
      </c>
      <c r="H589" s="24">
        <v>190000</v>
      </c>
      <c r="I589" s="12" t="s">
        <v>712</v>
      </c>
      <c r="J589" s="6" t="s">
        <v>608</v>
      </c>
      <c r="K589" s="6">
        <f t="shared" si="28"/>
        <v>8</v>
      </c>
      <c r="L589" s="6" t="str">
        <f t="shared" si="29"/>
        <v>AGOSTO</v>
      </c>
    </row>
    <row r="590" spans="1:12" x14ac:dyDescent="0.25">
      <c r="A590" s="5">
        <f t="shared" si="27"/>
        <v>2025</v>
      </c>
      <c r="B590" s="18" t="s">
        <v>1064</v>
      </c>
      <c r="C590" s="18" t="s">
        <v>595</v>
      </c>
      <c r="D590" s="12">
        <v>6130</v>
      </c>
      <c r="E590" s="17">
        <v>21236</v>
      </c>
      <c r="F590" s="12" t="s">
        <v>288</v>
      </c>
      <c r="G590" s="14">
        <v>1</v>
      </c>
      <c r="H590" s="24">
        <v>183900</v>
      </c>
      <c r="I590" s="12" t="s">
        <v>712</v>
      </c>
      <c r="J590" s="6" t="s">
        <v>608</v>
      </c>
      <c r="K590" s="6">
        <f t="shared" si="28"/>
        <v>7</v>
      </c>
      <c r="L590" s="6" t="str">
        <f t="shared" si="29"/>
        <v>JULIO</v>
      </c>
    </row>
    <row r="591" spans="1:12" x14ac:dyDescent="0.25">
      <c r="A591" s="5">
        <f t="shared" si="27"/>
        <v>2025</v>
      </c>
      <c r="B591" s="18" t="s">
        <v>1064</v>
      </c>
      <c r="C591" s="18" t="s">
        <v>595</v>
      </c>
      <c r="D591" s="12">
        <v>6130</v>
      </c>
      <c r="E591" s="17" t="s">
        <v>432</v>
      </c>
      <c r="F591" s="12" t="s">
        <v>433</v>
      </c>
      <c r="G591" s="14">
        <v>1</v>
      </c>
      <c r="H591" s="24">
        <v>55000</v>
      </c>
      <c r="I591" s="12" t="s">
        <v>712</v>
      </c>
      <c r="J591" s="6" t="s">
        <v>608</v>
      </c>
      <c r="K591" s="6">
        <f t="shared" si="28"/>
        <v>7</v>
      </c>
      <c r="L591" s="6" t="str">
        <f t="shared" si="29"/>
        <v>JULIO</v>
      </c>
    </row>
    <row r="592" spans="1:12" x14ac:dyDescent="0.25">
      <c r="A592" s="5">
        <f t="shared" si="27"/>
        <v>2025</v>
      </c>
      <c r="B592" s="18" t="s">
        <v>1369</v>
      </c>
      <c r="C592" s="18" t="s">
        <v>595</v>
      </c>
      <c r="D592" s="12">
        <v>6421</v>
      </c>
      <c r="E592" s="17">
        <v>994349</v>
      </c>
      <c r="F592" s="12" t="s">
        <v>70</v>
      </c>
      <c r="G592" s="14">
        <v>3</v>
      </c>
      <c r="H592" s="24">
        <v>942000</v>
      </c>
      <c r="I592" s="12" t="s">
        <v>712</v>
      </c>
      <c r="J592" s="6" t="s">
        <v>608</v>
      </c>
      <c r="K592" s="6">
        <f t="shared" si="28"/>
        <v>12</v>
      </c>
      <c r="L592" s="6" t="str">
        <f t="shared" si="29"/>
        <v>DICIEMBRE</v>
      </c>
    </row>
    <row r="593" spans="1:12" x14ac:dyDescent="0.25">
      <c r="A593" s="5">
        <f t="shared" si="27"/>
        <v>2025</v>
      </c>
      <c r="B593" s="18" t="s">
        <v>1142</v>
      </c>
      <c r="C593" s="18" t="s">
        <v>595</v>
      </c>
      <c r="D593" s="12">
        <v>6226</v>
      </c>
      <c r="E593" s="17">
        <v>4302321</v>
      </c>
      <c r="F593" s="12" t="s">
        <v>444</v>
      </c>
      <c r="G593" s="14">
        <v>1</v>
      </c>
      <c r="H593" s="24">
        <v>65000</v>
      </c>
      <c r="I593" s="12" t="s">
        <v>712</v>
      </c>
      <c r="J593" s="6" t="s">
        <v>608</v>
      </c>
      <c r="K593" s="6">
        <f t="shared" si="28"/>
        <v>8</v>
      </c>
      <c r="L593" s="6" t="str">
        <f t="shared" si="29"/>
        <v>AGOSTO</v>
      </c>
    </row>
    <row r="594" spans="1:12" x14ac:dyDescent="0.25">
      <c r="A594" s="5">
        <f t="shared" si="27"/>
        <v>2025</v>
      </c>
      <c r="B594" s="18" t="s">
        <v>1142</v>
      </c>
      <c r="C594" s="18" t="s">
        <v>595</v>
      </c>
      <c r="D594" s="12">
        <v>6226</v>
      </c>
      <c r="E594" s="17" t="s">
        <v>899</v>
      </c>
      <c r="F594" s="12" t="s">
        <v>900</v>
      </c>
      <c r="G594" s="14">
        <v>2</v>
      </c>
      <c r="H594" s="24">
        <v>88000</v>
      </c>
      <c r="I594" s="12" t="s">
        <v>712</v>
      </c>
      <c r="J594" s="6" t="s">
        <v>608</v>
      </c>
      <c r="K594" s="6">
        <f t="shared" si="28"/>
        <v>8</v>
      </c>
      <c r="L594" s="6" t="str">
        <f t="shared" si="29"/>
        <v>AGOSTO</v>
      </c>
    </row>
    <row r="595" spans="1:12" x14ac:dyDescent="0.25">
      <c r="A595" s="5">
        <f t="shared" si="27"/>
        <v>2025</v>
      </c>
      <c r="B595" s="18" t="s">
        <v>1064</v>
      </c>
      <c r="C595" s="18" t="s">
        <v>595</v>
      </c>
      <c r="D595" s="12">
        <v>6134</v>
      </c>
      <c r="E595" s="17" t="s">
        <v>556</v>
      </c>
      <c r="F595" s="12" t="s">
        <v>557</v>
      </c>
      <c r="G595" s="14">
        <v>1</v>
      </c>
      <c r="H595" s="24">
        <v>7600000</v>
      </c>
      <c r="I595" s="12" t="s">
        <v>704</v>
      </c>
      <c r="J595" s="6" t="s">
        <v>706</v>
      </c>
      <c r="K595" s="6">
        <f t="shared" si="28"/>
        <v>7</v>
      </c>
      <c r="L595" s="6" t="str">
        <f t="shared" si="29"/>
        <v>JULIO</v>
      </c>
    </row>
    <row r="596" spans="1:12" x14ac:dyDescent="0.25">
      <c r="A596" s="5">
        <f t="shared" si="27"/>
        <v>2025</v>
      </c>
      <c r="B596" s="18" t="s">
        <v>1064</v>
      </c>
      <c r="C596" s="18" t="s">
        <v>595</v>
      </c>
      <c r="D596" s="12">
        <v>6134</v>
      </c>
      <c r="E596" s="17" t="s">
        <v>878</v>
      </c>
      <c r="F596" s="12" t="s">
        <v>694</v>
      </c>
      <c r="G596" s="14">
        <v>1</v>
      </c>
      <c r="H596" s="24">
        <v>54900</v>
      </c>
      <c r="I596" s="12" t="s">
        <v>704</v>
      </c>
      <c r="J596" s="6" t="s">
        <v>706</v>
      </c>
      <c r="K596" s="6">
        <f t="shared" si="28"/>
        <v>7</v>
      </c>
      <c r="L596" s="6" t="str">
        <f t="shared" si="29"/>
        <v>JULIO</v>
      </c>
    </row>
    <row r="597" spans="1:12" x14ac:dyDescent="0.25">
      <c r="A597" s="5">
        <f t="shared" si="27"/>
        <v>2025</v>
      </c>
      <c r="B597" s="18" t="s">
        <v>1064</v>
      </c>
      <c r="C597" s="18" t="s">
        <v>595</v>
      </c>
      <c r="D597" s="12">
        <v>6134</v>
      </c>
      <c r="E597" s="17" t="s">
        <v>158</v>
      </c>
      <c r="F597" s="12" t="s">
        <v>159</v>
      </c>
      <c r="G597" s="14">
        <v>1</v>
      </c>
      <c r="H597" s="24">
        <v>99550</v>
      </c>
      <c r="I597" s="12" t="s">
        <v>704</v>
      </c>
      <c r="J597" s="6" t="s">
        <v>706</v>
      </c>
      <c r="K597" s="6">
        <f t="shared" si="28"/>
        <v>7</v>
      </c>
      <c r="L597" s="6" t="str">
        <f t="shared" si="29"/>
        <v>JULIO</v>
      </c>
    </row>
    <row r="598" spans="1:12" x14ac:dyDescent="0.25">
      <c r="A598" s="5">
        <f t="shared" si="27"/>
        <v>2025</v>
      </c>
      <c r="B598" s="18" t="s">
        <v>1064</v>
      </c>
      <c r="C598" s="18" t="s">
        <v>595</v>
      </c>
      <c r="D598" s="12">
        <v>6134</v>
      </c>
      <c r="E598" s="17" t="s">
        <v>620</v>
      </c>
      <c r="F598" s="12" t="s">
        <v>157</v>
      </c>
      <c r="G598" s="14">
        <v>1</v>
      </c>
      <c r="H598" s="24">
        <v>526500</v>
      </c>
      <c r="I598" s="12" t="s">
        <v>704</v>
      </c>
      <c r="J598" s="6" t="s">
        <v>706</v>
      </c>
      <c r="K598" s="6">
        <f t="shared" si="28"/>
        <v>7</v>
      </c>
      <c r="L598" s="6" t="str">
        <f t="shared" si="29"/>
        <v>JULIO</v>
      </c>
    </row>
    <row r="599" spans="1:12" x14ac:dyDescent="0.25">
      <c r="A599" s="5">
        <f t="shared" si="27"/>
        <v>2025</v>
      </c>
      <c r="B599" s="18" t="s">
        <v>1064</v>
      </c>
      <c r="C599" s="18" t="s">
        <v>595</v>
      </c>
      <c r="D599" s="12">
        <v>6129</v>
      </c>
      <c r="E599" s="17" t="s">
        <v>311</v>
      </c>
      <c r="F599" s="12" t="s">
        <v>312</v>
      </c>
      <c r="G599" s="14">
        <v>1</v>
      </c>
      <c r="H599" s="24">
        <v>215000</v>
      </c>
      <c r="I599" s="12" t="s">
        <v>712</v>
      </c>
      <c r="J599" s="6" t="s">
        <v>608</v>
      </c>
      <c r="K599" s="6">
        <f t="shared" si="28"/>
        <v>7</v>
      </c>
      <c r="L599" s="6" t="str">
        <f t="shared" si="29"/>
        <v>JULIO</v>
      </c>
    </row>
    <row r="600" spans="1:12" x14ac:dyDescent="0.25">
      <c r="A600" s="5">
        <f t="shared" si="27"/>
        <v>2025</v>
      </c>
      <c r="B600" s="18" t="s">
        <v>1064</v>
      </c>
      <c r="C600" s="18" t="s">
        <v>595</v>
      </c>
      <c r="D600" s="12">
        <v>6129</v>
      </c>
      <c r="E600" s="17" t="s">
        <v>451</v>
      </c>
      <c r="F600" s="12" t="s">
        <v>452</v>
      </c>
      <c r="G600" s="14">
        <v>2</v>
      </c>
      <c r="H600" s="24">
        <v>655216</v>
      </c>
      <c r="I600" s="12" t="s">
        <v>712</v>
      </c>
      <c r="J600" s="6" t="s">
        <v>608</v>
      </c>
      <c r="K600" s="6">
        <f t="shared" si="28"/>
        <v>7</v>
      </c>
      <c r="L600" s="6" t="str">
        <f t="shared" si="29"/>
        <v>JULIO</v>
      </c>
    </row>
    <row r="601" spans="1:12" x14ac:dyDescent="0.25">
      <c r="A601" s="5">
        <f t="shared" si="27"/>
        <v>2025</v>
      </c>
      <c r="B601" s="18" t="s">
        <v>1011</v>
      </c>
      <c r="C601" s="18" t="s">
        <v>595</v>
      </c>
      <c r="D601" s="12">
        <v>6066</v>
      </c>
      <c r="E601" s="17" t="s">
        <v>599</v>
      </c>
      <c r="F601" s="12" t="s">
        <v>603</v>
      </c>
      <c r="G601" s="14">
        <v>4</v>
      </c>
      <c r="H601" s="24">
        <v>252000</v>
      </c>
      <c r="I601" s="12" t="s">
        <v>712</v>
      </c>
      <c r="J601" s="6" t="s">
        <v>608</v>
      </c>
      <c r="K601" s="6">
        <f t="shared" si="28"/>
        <v>5</v>
      </c>
      <c r="L601" s="6" t="str">
        <f t="shared" si="29"/>
        <v>MAYO</v>
      </c>
    </row>
    <row r="602" spans="1:12" x14ac:dyDescent="0.25">
      <c r="A602" s="5">
        <f t="shared" si="27"/>
        <v>2025</v>
      </c>
      <c r="B602" s="18" t="s">
        <v>1289</v>
      </c>
      <c r="C602" s="18" t="s">
        <v>595</v>
      </c>
      <c r="D602" s="12">
        <v>6395</v>
      </c>
      <c r="E602" s="17" t="s">
        <v>397</v>
      </c>
      <c r="F602" s="12" t="s">
        <v>398</v>
      </c>
      <c r="G602" s="14">
        <v>1</v>
      </c>
      <c r="H602" s="24">
        <v>960000</v>
      </c>
      <c r="I602" s="12" t="s">
        <v>546</v>
      </c>
      <c r="J602" s="6" t="s">
        <v>610</v>
      </c>
      <c r="K602" s="6">
        <f t="shared" si="28"/>
        <v>12</v>
      </c>
      <c r="L602" s="6" t="str">
        <f t="shared" si="29"/>
        <v>DICIEMBRE</v>
      </c>
    </row>
    <row r="603" spans="1:12" x14ac:dyDescent="0.25">
      <c r="A603" s="5">
        <f t="shared" si="27"/>
        <v>2025</v>
      </c>
      <c r="B603" s="18" t="s">
        <v>1289</v>
      </c>
      <c r="C603" s="18" t="s">
        <v>595</v>
      </c>
      <c r="D603" s="12">
        <v>6395</v>
      </c>
      <c r="E603" s="17" t="s">
        <v>1074</v>
      </c>
      <c r="F603" s="12" t="s">
        <v>1075</v>
      </c>
      <c r="G603" s="14">
        <v>1</v>
      </c>
      <c r="H603" s="24">
        <v>280000</v>
      </c>
      <c r="I603" s="12" t="s">
        <v>546</v>
      </c>
      <c r="J603" s="6" t="s">
        <v>610</v>
      </c>
      <c r="K603" s="6">
        <f t="shared" si="28"/>
        <v>12</v>
      </c>
      <c r="L603" s="6" t="str">
        <f t="shared" si="29"/>
        <v>DICIEMBRE</v>
      </c>
    </row>
    <row r="604" spans="1:12" x14ac:dyDescent="0.25">
      <c r="A604" s="5">
        <f t="shared" si="27"/>
        <v>2025</v>
      </c>
      <c r="B604" s="18" t="s">
        <v>1289</v>
      </c>
      <c r="C604" s="18" t="s">
        <v>595</v>
      </c>
      <c r="D604" s="12">
        <v>6395</v>
      </c>
      <c r="E604" s="17">
        <v>4088327</v>
      </c>
      <c r="F604" s="12" t="s">
        <v>1264</v>
      </c>
      <c r="G604" s="14">
        <v>3</v>
      </c>
      <c r="H604" s="24">
        <v>6360984</v>
      </c>
      <c r="I604" s="12" t="s">
        <v>546</v>
      </c>
      <c r="J604" s="6" t="s">
        <v>610</v>
      </c>
      <c r="K604" s="6">
        <f t="shared" si="28"/>
        <v>12</v>
      </c>
      <c r="L604" s="6" t="str">
        <f t="shared" si="29"/>
        <v>DICIEMBRE</v>
      </c>
    </row>
    <row r="605" spans="1:12" x14ac:dyDescent="0.25">
      <c r="A605" s="5">
        <f t="shared" si="27"/>
        <v>2025</v>
      </c>
      <c r="B605" s="18" t="s">
        <v>1289</v>
      </c>
      <c r="C605" s="18" t="s">
        <v>595</v>
      </c>
      <c r="D605" s="12">
        <v>6395</v>
      </c>
      <c r="E605" s="17" t="s">
        <v>319</v>
      </c>
      <c r="F605" s="12" t="s">
        <v>320</v>
      </c>
      <c r="G605" s="14">
        <v>15</v>
      </c>
      <c r="H605" s="24">
        <v>7510425</v>
      </c>
      <c r="I605" s="12" t="s">
        <v>546</v>
      </c>
      <c r="J605" s="6" t="s">
        <v>610</v>
      </c>
      <c r="K605" s="6">
        <f t="shared" si="28"/>
        <v>12</v>
      </c>
      <c r="L605" s="6" t="str">
        <f t="shared" si="29"/>
        <v>DICIEMBRE</v>
      </c>
    </row>
    <row r="606" spans="1:12" x14ac:dyDescent="0.25">
      <c r="A606" s="5">
        <f t="shared" si="27"/>
        <v>2025</v>
      </c>
      <c r="B606" s="18" t="s">
        <v>1289</v>
      </c>
      <c r="C606" s="18" t="s">
        <v>595</v>
      </c>
      <c r="D606" s="12">
        <v>6395</v>
      </c>
      <c r="E606" s="17">
        <v>2892986</v>
      </c>
      <c r="F606" s="12" t="s">
        <v>1201</v>
      </c>
      <c r="G606" s="14">
        <v>12</v>
      </c>
      <c r="H606" s="24">
        <v>679248</v>
      </c>
      <c r="I606" s="12" t="s">
        <v>546</v>
      </c>
      <c r="J606" s="6" t="s">
        <v>610</v>
      </c>
      <c r="K606" s="6">
        <f t="shared" si="28"/>
        <v>12</v>
      </c>
      <c r="L606" s="6" t="str">
        <f t="shared" si="29"/>
        <v>DICIEMBRE</v>
      </c>
    </row>
    <row r="607" spans="1:12" x14ac:dyDescent="0.25">
      <c r="A607" s="5">
        <f t="shared" si="27"/>
        <v>2025</v>
      </c>
      <c r="B607" s="18" t="s">
        <v>1289</v>
      </c>
      <c r="C607" s="18" t="s">
        <v>595</v>
      </c>
      <c r="D607" s="12">
        <v>6395</v>
      </c>
      <c r="E607" s="17" t="s">
        <v>490</v>
      </c>
      <c r="F607" s="12" t="s">
        <v>491</v>
      </c>
      <c r="G607" s="14">
        <v>4</v>
      </c>
      <c r="H607" s="24">
        <v>34792</v>
      </c>
      <c r="I607" s="12" t="s">
        <v>546</v>
      </c>
      <c r="J607" s="6" t="s">
        <v>610</v>
      </c>
      <c r="K607" s="6">
        <f t="shared" si="28"/>
        <v>12</v>
      </c>
      <c r="L607" s="6" t="str">
        <f t="shared" si="29"/>
        <v>DICIEMBRE</v>
      </c>
    </row>
    <row r="608" spans="1:12" x14ac:dyDescent="0.25">
      <c r="A608" s="5">
        <f t="shared" si="27"/>
        <v>2025</v>
      </c>
      <c r="B608" s="18" t="s">
        <v>1289</v>
      </c>
      <c r="C608" s="18" t="s">
        <v>595</v>
      </c>
      <c r="D608" s="12">
        <v>6395</v>
      </c>
      <c r="E608" s="17" t="s">
        <v>163</v>
      </c>
      <c r="F608" s="12" t="s">
        <v>164</v>
      </c>
      <c r="G608" s="14">
        <v>3</v>
      </c>
      <c r="H608" s="24">
        <v>4995000</v>
      </c>
      <c r="I608" s="12" t="s">
        <v>546</v>
      </c>
      <c r="J608" s="6" t="s">
        <v>610</v>
      </c>
      <c r="K608" s="6">
        <f t="shared" si="28"/>
        <v>12</v>
      </c>
      <c r="L608" s="6" t="str">
        <f t="shared" si="29"/>
        <v>DICIEMBRE</v>
      </c>
    </row>
    <row r="609" spans="1:12" x14ac:dyDescent="0.25">
      <c r="A609" s="5">
        <f t="shared" si="27"/>
        <v>2025</v>
      </c>
      <c r="B609" s="18" t="s">
        <v>1289</v>
      </c>
      <c r="C609" s="18" t="s">
        <v>595</v>
      </c>
      <c r="D609" s="12">
        <v>6395</v>
      </c>
      <c r="E609" s="17" t="s">
        <v>421</v>
      </c>
      <c r="F609" s="12" t="s">
        <v>422</v>
      </c>
      <c r="G609" s="14">
        <v>4</v>
      </c>
      <c r="H609" s="24">
        <v>1472000</v>
      </c>
      <c r="I609" s="12" t="s">
        <v>546</v>
      </c>
      <c r="J609" s="6" t="s">
        <v>610</v>
      </c>
      <c r="K609" s="6">
        <f t="shared" si="28"/>
        <v>12</v>
      </c>
      <c r="L609" s="6" t="str">
        <f t="shared" si="29"/>
        <v>DICIEMBRE</v>
      </c>
    </row>
    <row r="610" spans="1:12" x14ac:dyDescent="0.25">
      <c r="A610" s="5">
        <f t="shared" si="27"/>
        <v>2025</v>
      </c>
      <c r="B610" s="18" t="s">
        <v>1011</v>
      </c>
      <c r="C610" s="18" t="s">
        <v>595</v>
      </c>
      <c r="D610" s="12">
        <v>6069</v>
      </c>
      <c r="E610" s="17" t="s">
        <v>680</v>
      </c>
      <c r="F610" s="12" t="s">
        <v>697</v>
      </c>
      <c r="G610" s="14">
        <v>1</v>
      </c>
      <c r="H610" s="24">
        <v>114166</v>
      </c>
      <c r="I610" s="12" t="s">
        <v>704</v>
      </c>
      <c r="J610" s="6" t="s">
        <v>706</v>
      </c>
      <c r="K610" s="6">
        <f t="shared" si="28"/>
        <v>5</v>
      </c>
      <c r="L610" s="6" t="str">
        <f t="shared" si="29"/>
        <v>MAYO</v>
      </c>
    </row>
    <row r="611" spans="1:12" x14ac:dyDescent="0.25">
      <c r="A611" s="5">
        <f t="shared" si="27"/>
        <v>2025</v>
      </c>
      <c r="B611" s="18" t="s">
        <v>1011</v>
      </c>
      <c r="C611" s="18" t="s">
        <v>595</v>
      </c>
      <c r="D611" s="12">
        <v>6069</v>
      </c>
      <c r="E611" s="17" t="s">
        <v>660</v>
      </c>
      <c r="F611" s="12" t="s">
        <v>663</v>
      </c>
      <c r="G611" s="14">
        <v>1</v>
      </c>
      <c r="H611" s="24">
        <v>977200</v>
      </c>
      <c r="I611" s="12" t="s">
        <v>704</v>
      </c>
      <c r="J611" s="6" t="s">
        <v>706</v>
      </c>
      <c r="K611" s="6">
        <f t="shared" si="28"/>
        <v>5</v>
      </c>
      <c r="L611" s="6" t="str">
        <f t="shared" si="29"/>
        <v>MAYO</v>
      </c>
    </row>
    <row r="612" spans="1:12" x14ac:dyDescent="0.25">
      <c r="A612" s="5">
        <f t="shared" si="27"/>
        <v>2025</v>
      </c>
      <c r="B612" s="18" t="s">
        <v>1011</v>
      </c>
      <c r="C612" s="18" t="s">
        <v>595</v>
      </c>
      <c r="D612" s="12">
        <v>6069</v>
      </c>
      <c r="E612" s="17" t="s">
        <v>158</v>
      </c>
      <c r="F612" s="12" t="s">
        <v>159</v>
      </c>
      <c r="G612" s="14">
        <v>3</v>
      </c>
      <c r="H612" s="24">
        <v>284400</v>
      </c>
      <c r="I612" s="12" t="s">
        <v>704</v>
      </c>
      <c r="J612" s="6" t="s">
        <v>706</v>
      </c>
      <c r="K612" s="6">
        <f t="shared" si="28"/>
        <v>5</v>
      </c>
      <c r="L612" s="6" t="str">
        <f t="shared" si="29"/>
        <v>MAYO</v>
      </c>
    </row>
    <row r="613" spans="1:12" x14ac:dyDescent="0.25">
      <c r="A613" s="5">
        <f t="shared" si="27"/>
        <v>2025</v>
      </c>
      <c r="B613" s="18" t="s">
        <v>1254</v>
      </c>
      <c r="C613" s="18" t="s">
        <v>595</v>
      </c>
      <c r="D613" s="12">
        <v>6335</v>
      </c>
      <c r="E613" s="17" t="s">
        <v>218</v>
      </c>
      <c r="F613" s="12" t="s">
        <v>219</v>
      </c>
      <c r="G613" s="14">
        <v>2</v>
      </c>
      <c r="H613" s="24">
        <v>59822</v>
      </c>
      <c r="I613" s="12" t="s">
        <v>704</v>
      </c>
      <c r="J613" s="6" t="s">
        <v>1101</v>
      </c>
      <c r="K613" s="6">
        <f t="shared" si="28"/>
        <v>10</v>
      </c>
      <c r="L613" s="6" t="str">
        <f t="shared" si="29"/>
        <v>OCTUBRE</v>
      </c>
    </row>
    <row r="614" spans="1:12" x14ac:dyDescent="0.25">
      <c r="A614" s="5">
        <f t="shared" si="27"/>
        <v>2025</v>
      </c>
      <c r="B614" s="18" t="s">
        <v>1254</v>
      </c>
      <c r="C614" s="18" t="s">
        <v>595</v>
      </c>
      <c r="D614" s="12">
        <v>6335</v>
      </c>
      <c r="E614" s="17" t="s">
        <v>642</v>
      </c>
      <c r="F614" s="12" t="s">
        <v>643</v>
      </c>
      <c r="G614" s="14">
        <v>3</v>
      </c>
      <c r="H614" s="24">
        <v>1058787</v>
      </c>
      <c r="I614" s="12" t="s">
        <v>704</v>
      </c>
      <c r="J614" s="6" t="s">
        <v>1101</v>
      </c>
      <c r="K614" s="6">
        <f t="shared" si="28"/>
        <v>10</v>
      </c>
      <c r="L614" s="6" t="str">
        <f t="shared" si="29"/>
        <v>OCTUBRE</v>
      </c>
    </row>
    <row r="615" spans="1:12" x14ac:dyDescent="0.25">
      <c r="A615" s="5">
        <f t="shared" si="27"/>
        <v>2025</v>
      </c>
      <c r="B615" s="18" t="s">
        <v>1254</v>
      </c>
      <c r="C615" s="18" t="s">
        <v>595</v>
      </c>
      <c r="D615" s="12">
        <v>6335</v>
      </c>
      <c r="E615" s="17" t="s">
        <v>303</v>
      </c>
      <c r="F615" s="12" t="s">
        <v>304</v>
      </c>
      <c r="G615" s="14">
        <v>2</v>
      </c>
      <c r="H615" s="24">
        <v>63106</v>
      </c>
      <c r="I615" s="12" t="s">
        <v>704</v>
      </c>
      <c r="J615" s="6" t="s">
        <v>1101</v>
      </c>
      <c r="K615" s="6">
        <f t="shared" si="28"/>
        <v>10</v>
      </c>
      <c r="L615" s="6" t="str">
        <f t="shared" si="29"/>
        <v>OCTUBRE</v>
      </c>
    </row>
    <row r="616" spans="1:12" x14ac:dyDescent="0.25">
      <c r="A616" s="5">
        <f t="shared" si="27"/>
        <v>2025</v>
      </c>
      <c r="B616" s="18" t="s">
        <v>1254</v>
      </c>
      <c r="C616" s="18" t="s">
        <v>595</v>
      </c>
      <c r="D616" s="12">
        <v>6335</v>
      </c>
      <c r="E616" s="17" t="s">
        <v>451</v>
      </c>
      <c r="F616" s="12" t="s">
        <v>452</v>
      </c>
      <c r="G616" s="14">
        <v>1</v>
      </c>
      <c r="H616" s="24">
        <v>327400</v>
      </c>
      <c r="I616" s="12" t="s">
        <v>704</v>
      </c>
      <c r="J616" s="6" t="s">
        <v>1101</v>
      </c>
      <c r="K616" s="6">
        <f t="shared" si="28"/>
        <v>10</v>
      </c>
      <c r="L616" s="6" t="str">
        <f t="shared" si="29"/>
        <v>OCTUBRE</v>
      </c>
    </row>
    <row r="617" spans="1:12" x14ac:dyDescent="0.25">
      <c r="A617" s="5">
        <f t="shared" si="27"/>
        <v>2025</v>
      </c>
      <c r="B617" s="18" t="s">
        <v>1254</v>
      </c>
      <c r="C617" s="18" t="s">
        <v>595</v>
      </c>
      <c r="D617" s="12">
        <v>6335</v>
      </c>
      <c r="E617" s="17" t="s">
        <v>319</v>
      </c>
      <c r="F617" s="12" t="s">
        <v>320</v>
      </c>
      <c r="G617" s="14">
        <v>1</v>
      </c>
      <c r="H617" s="24">
        <v>560900</v>
      </c>
      <c r="I617" s="12" t="s">
        <v>704</v>
      </c>
      <c r="J617" s="6" t="s">
        <v>1101</v>
      </c>
      <c r="K617" s="6">
        <f t="shared" si="28"/>
        <v>10</v>
      </c>
      <c r="L617" s="6" t="str">
        <f t="shared" si="29"/>
        <v>OCTUBRE</v>
      </c>
    </row>
    <row r="618" spans="1:12" x14ac:dyDescent="0.25">
      <c r="A618" s="5">
        <f t="shared" si="27"/>
        <v>2025</v>
      </c>
      <c r="B618" s="18" t="s">
        <v>1254</v>
      </c>
      <c r="C618" s="18" t="s">
        <v>595</v>
      </c>
      <c r="D618" s="12">
        <v>6335</v>
      </c>
      <c r="E618" s="17">
        <v>4302398</v>
      </c>
      <c r="F618" s="12" t="s">
        <v>412</v>
      </c>
      <c r="G618" s="14">
        <v>3</v>
      </c>
      <c r="H618" s="24">
        <v>89700</v>
      </c>
      <c r="I618" s="12" t="s">
        <v>704</v>
      </c>
      <c r="J618" s="6" t="s">
        <v>1101</v>
      </c>
      <c r="K618" s="6">
        <f t="shared" si="28"/>
        <v>10</v>
      </c>
      <c r="L618" s="6" t="str">
        <f t="shared" si="29"/>
        <v>OCTUBRE</v>
      </c>
    </row>
    <row r="619" spans="1:12" x14ac:dyDescent="0.25">
      <c r="A619" s="5">
        <f t="shared" si="27"/>
        <v>2025</v>
      </c>
      <c r="B619" s="18" t="s">
        <v>1254</v>
      </c>
      <c r="C619" s="18" t="s">
        <v>595</v>
      </c>
      <c r="D619" s="12">
        <v>6335</v>
      </c>
      <c r="E619" s="17" t="s">
        <v>413</v>
      </c>
      <c r="F619" s="12" t="s">
        <v>414</v>
      </c>
      <c r="G619" s="14">
        <v>1</v>
      </c>
      <c r="H619" s="24">
        <v>82100</v>
      </c>
      <c r="I619" s="12" t="s">
        <v>704</v>
      </c>
      <c r="J619" s="6" t="s">
        <v>1101</v>
      </c>
      <c r="K619" s="6">
        <f t="shared" si="28"/>
        <v>10</v>
      </c>
      <c r="L619" s="6" t="str">
        <f t="shared" si="29"/>
        <v>OCTUBRE</v>
      </c>
    </row>
    <row r="620" spans="1:12" x14ac:dyDescent="0.25">
      <c r="A620" s="5">
        <f t="shared" si="27"/>
        <v>2025</v>
      </c>
      <c r="B620" s="18" t="s">
        <v>1254</v>
      </c>
      <c r="C620" s="18" t="s">
        <v>595</v>
      </c>
      <c r="D620" s="12">
        <v>6335</v>
      </c>
      <c r="E620" s="17">
        <v>994346</v>
      </c>
      <c r="F620" s="12" t="s">
        <v>408</v>
      </c>
      <c r="G620" s="14">
        <v>1</v>
      </c>
      <c r="H620" s="24">
        <v>398913</v>
      </c>
      <c r="I620" s="12" t="s">
        <v>704</v>
      </c>
      <c r="J620" s="6" t="s">
        <v>1101</v>
      </c>
      <c r="K620" s="6">
        <f t="shared" si="28"/>
        <v>10</v>
      </c>
      <c r="L620" s="6" t="str">
        <f t="shared" si="29"/>
        <v>OCTUBRE</v>
      </c>
    </row>
    <row r="621" spans="1:12" x14ac:dyDescent="0.25">
      <c r="A621" s="5">
        <f t="shared" si="27"/>
        <v>2025</v>
      </c>
      <c r="B621" s="18" t="s">
        <v>1254</v>
      </c>
      <c r="C621" s="18" t="s">
        <v>595</v>
      </c>
      <c r="D621" s="12">
        <v>6335</v>
      </c>
      <c r="E621" s="17" t="s">
        <v>305</v>
      </c>
      <c r="F621" s="12" t="s">
        <v>306</v>
      </c>
      <c r="G621" s="14">
        <v>1</v>
      </c>
      <c r="H621" s="24">
        <v>313400</v>
      </c>
      <c r="I621" s="12" t="s">
        <v>704</v>
      </c>
      <c r="J621" s="6" t="s">
        <v>1101</v>
      </c>
      <c r="K621" s="6">
        <f t="shared" si="28"/>
        <v>10</v>
      </c>
      <c r="L621" s="6" t="str">
        <f t="shared" si="29"/>
        <v>OCTUBRE</v>
      </c>
    </row>
    <row r="622" spans="1:12" x14ac:dyDescent="0.25">
      <c r="A622" s="5">
        <f t="shared" si="27"/>
        <v>2025</v>
      </c>
      <c r="B622" s="18" t="s">
        <v>1254</v>
      </c>
      <c r="C622" s="18" t="s">
        <v>595</v>
      </c>
      <c r="D622" s="12">
        <v>6335</v>
      </c>
      <c r="E622" s="17" t="s">
        <v>683</v>
      </c>
      <c r="F622" s="12" t="s">
        <v>700</v>
      </c>
      <c r="G622" s="14">
        <v>1</v>
      </c>
      <c r="H622" s="24">
        <v>38485</v>
      </c>
      <c r="I622" s="12" t="s">
        <v>704</v>
      </c>
      <c r="J622" s="6" t="s">
        <v>1101</v>
      </c>
      <c r="K622" s="6">
        <f t="shared" si="28"/>
        <v>10</v>
      </c>
      <c r="L622" s="6" t="str">
        <f t="shared" si="29"/>
        <v>OCTUBRE</v>
      </c>
    </row>
    <row r="623" spans="1:12" x14ac:dyDescent="0.25">
      <c r="A623" s="5">
        <f t="shared" si="27"/>
        <v>2025</v>
      </c>
      <c r="B623" s="18" t="s">
        <v>1254</v>
      </c>
      <c r="C623" s="18" t="s">
        <v>595</v>
      </c>
      <c r="D623" s="12">
        <v>6335</v>
      </c>
      <c r="E623" s="17" t="s">
        <v>338</v>
      </c>
      <c r="F623" s="12" t="s">
        <v>339</v>
      </c>
      <c r="G623" s="14">
        <v>2</v>
      </c>
      <c r="H623" s="24">
        <v>30146</v>
      </c>
      <c r="I623" s="12" t="s">
        <v>704</v>
      </c>
      <c r="J623" s="6" t="s">
        <v>1101</v>
      </c>
      <c r="K623" s="6">
        <f t="shared" si="28"/>
        <v>10</v>
      </c>
      <c r="L623" s="6" t="str">
        <f t="shared" si="29"/>
        <v>OCTUBRE</v>
      </c>
    </row>
    <row r="624" spans="1:12" x14ac:dyDescent="0.25">
      <c r="A624" s="5">
        <f t="shared" si="27"/>
        <v>2025</v>
      </c>
      <c r="B624" s="18" t="s">
        <v>1254</v>
      </c>
      <c r="C624" s="18" t="s">
        <v>595</v>
      </c>
      <c r="D624" s="12">
        <v>6335</v>
      </c>
      <c r="E624" s="17" t="s">
        <v>311</v>
      </c>
      <c r="F624" s="12" t="s">
        <v>312</v>
      </c>
      <c r="G624" s="14">
        <v>1</v>
      </c>
      <c r="H624" s="24">
        <v>220500</v>
      </c>
      <c r="I624" s="12" t="s">
        <v>704</v>
      </c>
      <c r="J624" s="6" t="s">
        <v>1101</v>
      </c>
      <c r="K624" s="6">
        <f t="shared" si="28"/>
        <v>10</v>
      </c>
      <c r="L624" s="6" t="str">
        <f t="shared" si="29"/>
        <v>OCTUBRE</v>
      </c>
    </row>
    <row r="625" spans="1:12" x14ac:dyDescent="0.25">
      <c r="A625" s="5">
        <f t="shared" si="27"/>
        <v>2025</v>
      </c>
      <c r="B625" s="18" t="s">
        <v>1078</v>
      </c>
      <c r="C625" s="18" t="s">
        <v>595</v>
      </c>
      <c r="D625" s="12">
        <v>6160</v>
      </c>
      <c r="E625" s="17" t="s">
        <v>158</v>
      </c>
      <c r="F625" s="12" t="s">
        <v>159</v>
      </c>
      <c r="G625" s="14">
        <v>2</v>
      </c>
      <c r="H625" s="24">
        <v>199200</v>
      </c>
      <c r="I625" s="12" t="s">
        <v>704</v>
      </c>
      <c r="J625" s="6" t="s">
        <v>1101</v>
      </c>
      <c r="K625" s="6">
        <f t="shared" si="28"/>
        <v>7</v>
      </c>
      <c r="L625" s="6" t="str">
        <f t="shared" si="29"/>
        <v>JULIO</v>
      </c>
    </row>
    <row r="626" spans="1:12" x14ac:dyDescent="0.25">
      <c r="A626" s="5">
        <f t="shared" si="27"/>
        <v>2025</v>
      </c>
      <c r="B626" s="18" t="s">
        <v>1192</v>
      </c>
      <c r="C626" s="18" t="s">
        <v>595</v>
      </c>
      <c r="D626" s="12">
        <v>6288</v>
      </c>
      <c r="E626" s="17" t="s">
        <v>982</v>
      </c>
      <c r="F626" s="12" t="s">
        <v>983</v>
      </c>
      <c r="G626" s="14">
        <v>3</v>
      </c>
      <c r="H626" s="24">
        <v>1143000</v>
      </c>
      <c r="I626" s="12" t="s">
        <v>712</v>
      </c>
      <c r="J626" s="6" t="s">
        <v>608</v>
      </c>
      <c r="K626" s="6">
        <f t="shared" si="28"/>
        <v>10</v>
      </c>
      <c r="L626" s="6" t="str">
        <f t="shared" si="29"/>
        <v>OCTUBRE</v>
      </c>
    </row>
    <row r="627" spans="1:12" x14ac:dyDescent="0.25">
      <c r="A627" s="5">
        <f t="shared" si="27"/>
        <v>2025</v>
      </c>
      <c r="B627" s="18" t="s">
        <v>1192</v>
      </c>
      <c r="C627" s="18" t="s">
        <v>595</v>
      </c>
      <c r="D627" s="12">
        <v>6288</v>
      </c>
      <c r="E627" s="17" t="s">
        <v>76</v>
      </c>
      <c r="F627" s="12" t="s">
        <v>77</v>
      </c>
      <c r="G627" s="14">
        <v>2</v>
      </c>
      <c r="H627" s="24">
        <v>3200</v>
      </c>
      <c r="I627" s="12" t="s">
        <v>712</v>
      </c>
      <c r="J627" s="6" t="s">
        <v>608</v>
      </c>
      <c r="K627" s="6">
        <f t="shared" si="28"/>
        <v>10</v>
      </c>
      <c r="L627" s="6" t="str">
        <f t="shared" si="29"/>
        <v>OCTUBRE</v>
      </c>
    </row>
    <row r="628" spans="1:12" x14ac:dyDescent="0.25">
      <c r="A628" s="5">
        <f t="shared" si="27"/>
        <v>2025</v>
      </c>
      <c r="B628" s="18" t="s">
        <v>1048</v>
      </c>
      <c r="C628" s="18" t="s">
        <v>595</v>
      </c>
      <c r="D628" s="12">
        <v>6099</v>
      </c>
      <c r="E628" s="17" t="s">
        <v>716</v>
      </c>
      <c r="F628" s="12" t="s">
        <v>945</v>
      </c>
      <c r="G628" s="14">
        <v>1</v>
      </c>
      <c r="H628" s="24">
        <v>103152</v>
      </c>
      <c r="I628" s="12" t="s">
        <v>704</v>
      </c>
      <c r="J628" s="6" t="s">
        <v>706</v>
      </c>
      <c r="K628" s="6">
        <f t="shared" si="28"/>
        <v>6</v>
      </c>
      <c r="L628" s="6" t="str">
        <f t="shared" si="29"/>
        <v>JUNIO</v>
      </c>
    </row>
    <row r="629" spans="1:12" x14ac:dyDescent="0.25">
      <c r="A629" s="5">
        <f t="shared" ref="A629:A692" si="30">+YEAR(B629)</f>
        <v>2025</v>
      </c>
      <c r="B629" s="18" t="s">
        <v>968</v>
      </c>
      <c r="C629" s="18" t="s">
        <v>595</v>
      </c>
      <c r="D629" s="12">
        <v>6011</v>
      </c>
      <c r="E629" s="17">
        <v>4308012</v>
      </c>
      <c r="F629" s="12" t="s">
        <v>693</v>
      </c>
      <c r="G629" s="14">
        <v>1</v>
      </c>
      <c r="H629" s="24">
        <v>71300</v>
      </c>
      <c r="I629" s="12" t="s">
        <v>704</v>
      </c>
      <c r="J629" s="6" t="s">
        <v>706</v>
      </c>
      <c r="K629" s="6">
        <f t="shared" ref="K629:K692" si="31">+MONTH(B629)</f>
        <v>4</v>
      </c>
      <c r="L629" s="6" t="str">
        <f t="shared" si="29"/>
        <v>ABRIL</v>
      </c>
    </row>
    <row r="630" spans="1:12" x14ac:dyDescent="0.25">
      <c r="A630" s="5">
        <f t="shared" si="30"/>
        <v>2025</v>
      </c>
      <c r="B630" s="18" t="s">
        <v>1141</v>
      </c>
      <c r="C630" s="18" t="s">
        <v>595</v>
      </c>
      <c r="D630" s="12">
        <v>6225</v>
      </c>
      <c r="E630" s="17" t="s">
        <v>490</v>
      </c>
      <c r="F630" s="12" t="s">
        <v>491</v>
      </c>
      <c r="G630" s="14">
        <v>4</v>
      </c>
      <c r="H630" s="24">
        <v>36064</v>
      </c>
      <c r="I630" s="12" t="s">
        <v>704</v>
      </c>
      <c r="J630" s="6" t="s">
        <v>1101</v>
      </c>
      <c r="K630" s="6">
        <f t="shared" si="31"/>
        <v>8</v>
      </c>
      <c r="L630" s="6" t="str">
        <f t="shared" si="29"/>
        <v>AGOSTO</v>
      </c>
    </row>
    <row r="631" spans="1:12" x14ac:dyDescent="0.25">
      <c r="A631" s="5">
        <f t="shared" si="30"/>
        <v>2025</v>
      </c>
      <c r="B631" s="18" t="s">
        <v>1114</v>
      </c>
      <c r="C631" s="18" t="s">
        <v>595</v>
      </c>
      <c r="D631" s="12">
        <v>6198</v>
      </c>
      <c r="E631" s="17" t="s">
        <v>338</v>
      </c>
      <c r="F631" s="12" t="s">
        <v>339</v>
      </c>
      <c r="G631" s="14">
        <v>1</v>
      </c>
      <c r="H631" s="24">
        <v>14700</v>
      </c>
      <c r="I631" s="12" t="s">
        <v>704</v>
      </c>
      <c r="J631" s="6" t="s">
        <v>1101</v>
      </c>
      <c r="K631" s="6">
        <f t="shared" si="31"/>
        <v>8</v>
      </c>
      <c r="L631" s="6" t="str">
        <f t="shared" si="29"/>
        <v>AGOSTO</v>
      </c>
    </row>
    <row r="632" spans="1:12" x14ac:dyDescent="0.25">
      <c r="A632" s="5">
        <f t="shared" si="30"/>
        <v>2025</v>
      </c>
      <c r="B632" s="18" t="s">
        <v>1114</v>
      </c>
      <c r="C632" s="18" t="s">
        <v>595</v>
      </c>
      <c r="D632" s="12">
        <v>6198</v>
      </c>
      <c r="E632" s="17" t="s">
        <v>490</v>
      </c>
      <c r="F632" s="12" t="s">
        <v>491</v>
      </c>
      <c r="G632" s="14">
        <v>1</v>
      </c>
      <c r="H632" s="24">
        <v>8880</v>
      </c>
      <c r="I632" s="12" t="s">
        <v>704</v>
      </c>
      <c r="J632" s="6" t="s">
        <v>1101</v>
      </c>
      <c r="K632" s="6">
        <f t="shared" si="31"/>
        <v>8</v>
      </c>
      <c r="L632" s="6" t="str">
        <f t="shared" si="29"/>
        <v>AGOSTO</v>
      </c>
    </row>
    <row r="633" spans="1:12" x14ac:dyDescent="0.25">
      <c r="A633" s="5">
        <f t="shared" si="30"/>
        <v>2025</v>
      </c>
      <c r="B633" s="18" t="s">
        <v>1114</v>
      </c>
      <c r="C633" s="18" t="s">
        <v>595</v>
      </c>
      <c r="D633" s="12">
        <v>6198</v>
      </c>
      <c r="E633" s="17">
        <v>127760</v>
      </c>
      <c r="F633" s="12" t="s">
        <v>382</v>
      </c>
      <c r="G633" s="14">
        <v>1</v>
      </c>
      <c r="H633" s="24">
        <v>105900</v>
      </c>
      <c r="I633" s="12" t="s">
        <v>704</v>
      </c>
      <c r="J633" s="6" t="s">
        <v>1101</v>
      </c>
      <c r="K633" s="6">
        <f t="shared" si="31"/>
        <v>8</v>
      </c>
      <c r="L633" s="6" t="str">
        <f t="shared" si="29"/>
        <v>AGOSTO</v>
      </c>
    </row>
    <row r="634" spans="1:12" x14ac:dyDescent="0.25">
      <c r="A634" s="5">
        <f t="shared" si="30"/>
        <v>2025</v>
      </c>
      <c r="B634" s="18" t="s">
        <v>1114</v>
      </c>
      <c r="C634" s="18" t="s">
        <v>595</v>
      </c>
      <c r="D634" s="12">
        <v>6198</v>
      </c>
      <c r="E634" s="17" t="s">
        <v>124</v>
      </c>
      <c r="F634" s="12" t="s">
        <v>125</v>
      </c>
      <c r="G634" s="14">
        <v>1</v>
      </c>
      <c r="H634" s="24">
        <v>16900</v>
      </c>
      <c r="I634" s="12" t="s">
        <v>704</v>
      </c>
      <c r="J634" s="6" t="s">
        <v>1101</v>
      </c>
      <c r="K634" s="6">
        <f t="shared" si="31"/>
        <v>8</v>
      </c>
      <c r="L634" s="6" t="str">
        <f t="shared" si="29"/>
        <v>AGOSTO</v>
      </c>
    </row>
    <row r="635" spans="1:12" x14ac:dyDescent="0.25">
      <c r="A635" s="5">
        <f t="shared" si="30"/>
        <v>2025</v>
      </c>
      <c r="B635" s="18" t="s">
        <v>1114</v>
      </c>
      <c r="C635" s="18" t="s">
        <v>595</v>
      </c>
      <c r="D635" s="12">
        <v>6198</v>
      </c>
      <c r="E635" s="17" t="s">
        <v>365</v>
      </c>
      <c r="F635" s="12" t="s">
        <v>366</v>
      </c>
      <c r="G635" s="14">
        <v>2</v>
      </c>
      <c r="H635" s="24">
        <v>11000</v>
      </c>
      <c r="I635" s="12" t="s">
        <v>704</v>
      </c>
      <c r="J635" s="6" t="s">
        <v>1101</v>
      </c>
      <c r="K635" s="6">
        <f t="shared" si="31"/>
        <v>8</v>
      </c>
      <c r="L635" s="6" t="str">
        <f t="shared" si="29"/>
        <v>AGOSTO</v>
      </c>
    </row>
    <row r="636" spans="1:12" x14ac:dyDescent="0.25">
      <c r="A636" s="5">
        <f t="shared" si="30"/>
        <v>2025</v>
      </c>
      <c r="B636" s="18" t="s">
        <v>997</v>
      </c>
      <c r="C636" s="18" t="s">
        <v>595</v>
      </c>
      <c r="D636" s="12">
        <v>6036</v>
      </c>
      <c r="E636" s="17" t="s">
        <v>423</v>
      </c>
      <c r="F636" s="12" t="s">
        <v>424</v>
      </c>
      <c r="G636" s="14">
        <v>4</v>
      </c>
      <c r="H636" s="24">
        <v>360000</v>
      </c>
      <c r="I636" s="12" t="s">
        <v>631</v>
      </c>
      <c r="J636" s="6" t="s">
        <v>609</v>
      </c>
      <c r="K636" s="6">
        <f t="shared" si="31"/>
        <v>5</v>
      </c>
      <c r="L636" s="6" t="str">
        <f t="shared" si="29"/>
        <v>MAYO</v>
      </c>
    </row>
    <row r="637" spans="1:12" x14ac:dyDescent="0.25">
      <c r="A637" s="5">
        <f t="shared" si="30"/>
        <v>2025</v>
      </c>
      <c r="B637" s="18" t="s">
        <v>1368</v>
      </c>
      <c r="C637" s="18" t="s">
        <v>595</v>
      </c>
      <c r="D637" s="12">
        <v>6412</v>
      </c>
      <c r="E637" s="17" t="s">
        <v>1085</v>
      </c>
      <c r="F637" s="12" t="s">
        <v>1055</v>
      </c>
      <c r="G637" s="14">
        <v>30</v>
      </c>
      <c r="H637" s="24">
        <v>1743150</v>
      </c>
      <c r="I637" s="12" t="s">
        <v>546</v>
      </c>
      <c r="J637" s="6" t="s">
        <v>610</v>
      </c>
      <c r="K637" s="6">
        <f t="shared" si="31"/>
        <v>12</v>
      </c>
      <c r="L637" s="6" t="str">
        <f t="shared" si="29"/>
        <v>DICIEMBRE</v>
      </c>
    </row>
    <row r="638" spans="1:12" x14ac:dyDescent="0.25">
      <c r="A638" s="5">
        <f t="shared" si="30"/>
        <v>2025</v>
      </c>
      <c r="B638" s="18" t="s">
        <v>1368</v>
      </c>
      <c r="C638" s="18" t="s">
        <v>595</v>
      </c>
      <c r="D638" s="12">
        <v>6412</v>
      </c>
      <c r="E638" s="17" t="s">
        <v>1420</v>
      </c>
      <c r="F638" s="12" t="s">
        <v>1112</v>
      </c>
      <c r="G638" s="14">
        <v>25</v>
      </c>
      <c r="H638" s="24">
        <v>198450</v>
      </c>
      <c r="I638" s="12" t="s">
        <v>546</v>
      </c>
      <c r="J638" s="6" t="s">
        <v>610</v>
      </c>
      <c r="K638" s="6">
        <f t="shared" si="31"/>
        <v>12</v>
      </c>
      <c r="L638" s="6" t="str">
        <f t="shared" si="29"/>
        <v>DICIEMBRE</v>
      </c>
    </row>
    <row r="639" spans="1:12" x14ac:dyDescent="0.25">
      <c r="A639" s="5">
        <f t="shared" si="30"/>
        <v>2025</v>
      </c>
      <c r="B639" s="18" t="s">
        <v>1368</v>
      </c>
      <c r="C639" s="18" t="s">
        <v>595</v>
      </c>
      <c r="D639" s="12">
        <v>6412</v>
      </c>
      <c r="E639" s="17" t="s">
        <v>299</v>
      </c>
      <c r="F639" s="12" t="s">
        <v>300</v>
      </c>
      <c r="G639" s="14">
        <v>30</v>
      </c>
      <c r="H639" s="24">
        <v>1841190</v>
      </c>
      <c r="I639" s="12" t="s">
        <v>546</v>
      </c>
      <c r="J639" s="6" t="s">
        <v>610</v>
      </c>
      <c r="K639" s="6">
        <f t="shared" si="31"/>
        <v>12</v>
      </c>
      <c r="L639" s="6" t="str">
        <f t="shared" si="29"/>
        <v>DICIEMBRE</v>
      </c>
    </row>
    <row r="640" spans="1:12" x14ac:dyDescent="0.25">
      <c r="A640" s="5">
        <f t="shared" si="30"/>
        <v>2025</v>
      </c>
      <c r="B640" s="18" t="s">
        <v>1368</v>
      </c>
      <c r="C640" s="18" t="s">
        <v>595</v>
      </c>
      <c r="D640" s="12">
        <v>6412</v>
      </c>
      <c r="E640" s="17" t="s">
        <v>932</v>
      </c>
      <c r="F640" s="12" t="s">
        <v>933</v>
      </c>
      <c r="G640" s="14">
        <v>7</v>
      </c>
      <c r="H640" s="24">
        <v>651000</v>
      </c>
      <c r="I640" s="12" t="s">
        <v>546</v>
      </c>
      <c r="J640" s="6" t="s">
        <v>610</v>
      </c>
      <c r="K640" s="6">
        <f t="shared" si="31"/>
        <v>12</v>
      </c>
      <c r="L640" s="6" t="str">
        <f t="shared" si="29"/>
        <v>DICIEMBRE</v>
      </c>
    </row>
    <row r="641" spans="1:12" x14ac:dyDescent="0.25">
      <c r="A641" s="5">
        <f t="shared" si="30"/>
        <v>2025</v>
      </c>
      <c r="B641" s="18" t="s">
        <v>1368</v>
      </c>
      <c r="C641" s="18" t="s">
        <v>595</v>
      </c>
      <c r="D641" s="12">
        <v>6412</v>
      </c>
      <c r="E641" s="17" t="s">
        <v>930</v>
      </c>
      <c r="F641" s="12" t="s">
        <v>931</v>
      </c>
      <c r="G641" s="14">
        <v>40</v>
      </c>
      <c r="H641" s="24">
        <v>2600000</v>
      </c>
      <c r="I641" s="12" t="s">
        <v>546</v>
      </c>
      <c r="J641" s="6" t="s">
        <v>610</v>
      </c>
      <c r="K641" s="6">
        <f t="shared" si="31"/>
        <v>12</v>
      </c>
      <c r="L641" s="6" t="str">
        <f t="shared" si="29"/>
        <v>DICIEMBRE</v>
      </c>
    </row>
    <row r="642" spans="1:12" x14ac:dyDescent="0.25">
      <c r="A642" s="5">
        <f t="shared" si="30"/>
        <v>2025</v>
      </c>
      <c r="B642" s="18" t="s">
        <v>1368</v>
      </c>
      <c r="C642" s="18" t="s">
        <v>595</v>
      </c>
      <c r="D642" s="12">
        <v>6412</v>
      </c>
      <c r="E642" s="17" t="s">
        <v>488</v>
      </c>
      <c r="F642" s="12" t="s">
        <v>489</v>
      </c>
      <c r="G642" s="14">
        <v>4</v>
      </c>
      <c r="H642" s="24">
        <v>840000</v>
      </c>
      <c r="I642" s="12" t="s">
        <v>546</v>
      </c>
      <c r="J642" s="6" t="s">
        <v>610</v>
      </c>
      <c r="K642" s="6">
        <f t="shared" si="31"/>
        <v>12</v>
      </c>
      <c r="L642" s="6" t="str">
        <f t="shared" si="29"/>
        <v>DICIEMBRE</v>
      </c>
    </row>
    <row r="643" spans="1:12" x14ac:dyDescent="0.25">
      <c r="A643" s="5">
        <f t="shared" si="30"/>
        <v>2025</v>
      </c>
      <c r="B643" s="18" t="s">
        <v>1368</v>
      </c>
      <c r="C643" s="18" t="s">
        <v>595</v>
      </c>
      <c r="D643" s="12">
        <v>6412</v>
      </c>
      <c r="E643" s="17" t="s">
        <v>484</v>
      </c>
      <c r="F643" s="12" t="s">
        <v>485</v>
      </c>
      <c r="G643" s="14">
        <v>6</v>
      </c>
      <c r="H643" s="24">
        <v>198000</v>
      </c>
      <c r="I643" s="12" t="s">
        <v>546</v>
      </c>
      <c r="J643" s="6" t="s">
        <v>610</v>
      </c>
      <c r="K643" s="6">
        <f t="shared" si="31"/>
        <v>12</v>
      </c>
      <c r="L643" s="6" t="str">
        <f t="shared" ref="L643:L706" si="32">VLOOKUP(K643,N:O,2,0)</f>
        <v>DICIEMBRE</v>
      </c>
    </row>
    <row r="644" spans="1:12" x14ac:dyDescent="0.25">
      <c r="A644" s="5">
        <f t="shared" si="30"/>
        <v>2025</v>
      </c>
      <c r="B644" s="18" t="s">
        <v>1368</v>
      </c>
      <c r="C644" s="18" t="s">
        <v>595</v>
      </c>
      <c r="D644" s="12">
        <v>6412</v>
      </c>
      <c r="E644" s="17" t="s">
        <v>92</v>
      </c>
      <c r="F644" s="12" t="s">
        <v>93</v>
      </c>
      <c r="G644" s="14">
        <v>2</v>
      </c>
      <c r="H644" s="24">
        <v>72520</v>
      </c>
      <c r="I644" s="12" t="s">
        <v>546</v>
      </c>
      <c r="J644" s="6" t="s">
        <v>610</v>
      </c>
      <c r="K644" s="6">
        <f t="shared" si="31"/>
        <v>12</v>
      </c>
      <c r="L644" s="6" t="str">
        <f t="shared" si="32"/>
        <v>DICIEMBRE</v>
      </c>
    </row>
    <row r="645" spans="1:12" x14ac:dyDescent="0.25">
      <c r="A645" s="5">
        <f t="shared" si="30"/>
        <v>2025</v>
      </c>
      <c r="B645" s="18" t="s">
        <v>1368</v>
      </c>
      <c r="C645" s="18" t="s">
        <v>595</v>
      </c>
      <c r="D645" s="12">
        <v>6412</v>
      </c>
      <c r="E645" s="17" t="s">
        <v>1120</v>
      </c>
      <c r="F645" s="12" t="s">
        <v>1123</v>
      </c>
      <c r="G645" s="14">
        <v>4</v>
      </c>
      <c r="H645" s="24">
        <v>260000</v>
      </c>
      <c r="I645" s="12" t="s">
        <v>546</v>
      </c>
      <c r="J645" s="6" t="s">
        <v>610</v>
      </c>
      <c r="K645" s="6">
        <f t="shared" si="31"/>
        <v>12</v>
      </c>
      <c r="L645" s="6" t="str">
        <f t="shared" si="32"/>
        <v>DICIEMBRE</v>
      </c>
    </row>
    <row r="646" spans="1:12" x14ac:dyDescent="0.25">
      <c r="A646" s="5">
        <f t="shared" si="30"/>
        <v>2025</v>
      </c>
      <c r="B646" s="18" t="s">
        <v>1368</v>
      </c>
      <c r="C646" s="18" t="s">
        <v>595</v>
      </c>
      <c r="D646" s="12">
        <v>6412</v>
      </c>
      <c r="E646" s="17" t="s">
        <v>936</v>
      </c>
      <c r="F646" s="12" t="s">
        <v>937</v>
      </c>
      <c r="G646" s="14">
        <v>1</v>
      </c>
      <c r="H646" s="24">
        <v>60000</v>
      </c>
      <c r="I646" s="12" t="s">
        <v>546</v>
      </c>
      <c r="J646" s="6" t="s">
        <v>610</v>
      </c>
      <c r="K646" s="6">
        <f t="shared" si="31"/>
        <v>12</v>
      </c>
      <c r="L646" s="6" t="str">
        <f t="shared" si="32"/>
        <v>DICIEMBRE</v>
      </c>
    </row>
    <row r="647" spans="1:12" x14ac:dyDescent="0.25">
      <c r="A647" s="5">
        <f t="shared" si="30"/>
        <v>2025</v>
      </c>
      <c r="B647" s="18" t="s">
        <v>1368</v>
      </c>
      <c r="C647" s="18" t="s">
        <v>595</v>
      </c>
      <c r="D647" s="12">
        <v>6412</v>
      </c>
      <c r="E647" s="17" t="s">
        <v>486</v>
      </c>
      <c r="F647" s="12" t="s">
        <v>487</v>
      </c>
      <c r="G647" s="14">
        <v>2</v>
      </c>
      <c r="H647" s="24">
        <v>530000</v>
      </c>
      <c r="I647" s="12" t="s">
        <v>546</v>
      </c>
      <c r="J647" s="6" t="s">
        <v>610</v>
      </c>
      <c r="K647" s="6">
        <f t="shared" si="31"/>
        <v>12</v>
      </c>
      <c r="L647" s="6" t="str">
        <f t="shared" si="32"/>
        <v>DICIEMBRE</v>
      </c>
    </row>
    <row r="648" spans="1:12" x14ac:dyDescent="0.25">
      <c r="A648" s="5">
        <f t="shared" si="30"/>
        <v>2025</v>
      </c>
      <c r="B648" s="18" t="s">
        <v>1368</v>
      </c>
      <c r="C648" s="18" t="s">
        <v>595</v>
      </c>
      <c r="D648" s="12">
        <v>6412</v>
      </c>
      <c r="E648" s="17" t="s">
        <v>492</v>
      </c>
      <c r="F648" s="12" t="s">
        <v>493</v>
      </c>
      <c r="G648" s="14">
        <v>6</v>
      </c>
      <c r="H648" s="24">
        <v>468000</v>
      </c>
      <c r="I648" s="12" t="s">
        <v>546</v>
      </c>
      <c r="J648" s="6" t="s">
        <v>610</v>
      </c>
      <c r="K648" s="6">
        <f t="shared" si="31"/>
        <v>12</v>
      </c>
      <c r="L648" s="6" t="str">
        <f t="shared" si="32"/>
        <v>DICIEMBRE</v>
      </c>
    </row>
    <row r="649" spans="1:12" x14ac:dyDescent="0.25">
      <c r="A649" s="5">
        <f t="shared" si="30"/>
        <v>2025</v>
      </c>
      <c r="B649" s="18" t="s">
        <v>1368</v>
      </c>
      <c r="C649" s="18" t="s">
        <v>595</v>
      </c>
      <c r="D649" s="12">
        <v>6412</v>
      </c>
      <c r="E649" s="17">
        <v>4300382</v>
      </c>
      <c r="F649" s="12" t="s">
        <v>411</v>
      </c>
      <c r="G649" s="14">
        <v>3</v>
      </c>
      <c r="H649" s="24">
        <v>105000</v>
      </c>
      <c r="I649" s="12" t="s">
        <v>546</v>
      </c>
      <c r="J649" s="6" t="s">
        <v>610</v>
      </c>
      <c r="K649" s="6">
        <f t="shared" si="31"/>
        <v>12</v>
      </c>
      <c r="L649" s="6" t="str">
        <f t="shared" si="32"/>
        <v>DICIEMBRE</v>
      </c>
    </row>
    <row r="650" spans="1:12" x14ac:dyDescent="0.25">
      <c r="A650" s="5">
        <f t="shared" si="30"/>
        <v>2025</v>
      </c>
      <c r="B650" s="18" t="s">
        <v>1368</v>
      </c>
      <c r="C650" s="18" t="s">
        <v>595</v>
      </c>
      <c r="D650" s="12">
        <v>6412</v>
      </c>
      <c r="E650" s="17" t="s">
        <v>295</v>
      </c>
      <c r="F650" s="12" t="s">
        <v>296</v>
      </c>
      <c r="G650" s="14">
        <v>6</v>
      </c>
      <c r="H650" s="24">
        <v>846000</v>
      </c>
      <c r="I650" s="12" t="s">
        <v>546</v>
      </c>
      <c r="J650" s="6" t="s">
        <v>610</v>
      </c>
      <c r="K650" s="6">
        <f t="shared" si="31"/>
        <v>12</v>
      </c>
      <c r="L650" s="6" t="str">
        <f t="shared" si="32"/>
        <v>DICIEMBRE</v>
      </c>
    </row>
    <row r="651" spans="1:12" x14ac:dyDescent="0.25">
      <c r="A651" s="5">
        <f t="shared" si="30"/>
        <v>2025</v>
      </c>
      <c r="B651" s="18" t="s">
        <v>1368</v>
      </c>
      <c r="C651" s="18" t="s">
        <v>595</v>
      </c>
      <c r="D651" s="12">
        <v>6412</v>
      </c>
      <c r="E651" s="17" t="s">
        <v>309</v>
      </c>
      <c r="F651" s="12" t="s">
        <v>310</v>
      </c>
      <c r="G651" s="14">
        <v>4</v>
      </c>
      <c r="H651" s="24">
        <v>8428000</v>
      </c>
      <c r="I651" s="12" t="s">
        <v>546</v>
      </c>
      <c r="J651" s="6" t="s">
        <v>610</v>
      </c>
      <c r="K651" s="6">
        <f t="shared" si="31"/>
        <v>12</v>
      </c>
      <c r="L651" s="6" t="str">
        <f t="shared" si="32"/>
        <v>DICIEMBRE</v>
      </c>
    </row>
    <row r="652" spans="1:12" x14ac:dyDescent="0.25">
      <c r="A652" s="5">
        <f t="shared" si="30"/>
        <v>2025</v>
      </c>
      <c r="B652" s="18" t="s">
        <v>1368</v>
      </c>
      <c r="C652" s="18" t="s">
        <v>595</v>
      </c>
      <c r="D652" s="12">
        <v>6412</v>
      </c>
      <c r="E652" s="17" t="s">
        <v>220</v>
      </c>
      <c r="F652" s="12" t="s">
        <v>221</v>
      </c>
      <c r="G652" s="14">
        <v>1</v>
      </c>
      <c r="H652" s="24">
        <v>446767</v>
      </c>
      <c r="I652" s="12" t="s">
        <v>546</v>
      </c>
      <c r="J652" s="6" t="s">
        <v>610</v>
      </c>
      <c r="K652" s="6">
        <f t="shared" si="31"/>
        <v>12</v>
      </c>
      <c r="L652" s="6" t="str">
        <f t="shared" si="32"/>
        <v>DICIEMBRE</v>
      </c>
    </row>
    <row r="653" spans="1:12" x14ac:dyDescent="0.25">
      <c r="A653" s="5">
        <f t="shared" si="30"/>
        <v>2025</v>
      </c>
      <c r="B653" s="18" t="s">
        <v>1368</v>
      </c>
      <c r="C653" s="18" t="s">
        <v>595</v>
      </c>
      <c r="D653" s="12">
        <v>6412</v>
      </c>
      <c r="E653" s="17" t="s">
        <v>1157</v>
      </c>
      <c r="F653" s="12" t="s">
        <v>1163</v>
      </c>
      <c r="G653" s="14">
        <v>1</v>
      </c>
      <c r="H653" s="24">
        <v>60000</v>
      </c>
      <c r="I653" s="12" t="s">
        <v>546</v>
      </c>
      <c r="J653" s="6" t="s">
        <v>610</v>
      </c>
      <c r="K653" s="6">
        <f t="shared" si="31"/>
        <v>12</v>
      </c>
      <c r="L653" s="6" t="str">
        <f t="shared" si="32"/>
        <v>DICIEMBRE</v>
      </c>
    </row>
    <row r="654" spans="1:12" x14ac:dyDescent="0.25">
      <c r="A654" s="5">
        <f t="shared" si="30"/>
        <v>2025</v>
      </c>
      <c r="B654" s="18" t="s">
        <v>1368</v>
      </c>
      <c r="C654" s="18" t="s">
        <v>595</v>
      </c>
      <c r="D654" s="12">
        <v>6412</v>
      </c>
      <c r="E654" s="17" t="s">
        <v>1158</v>
      </c>
      <c r="F654" s="12" t="s">
        <v>1164</v>
      </c>
      <c r="G654" s="14">
        <v>60</v>
      </c>
      <c r="H654" s="24">
        <v>7920000</v>
      </c>
      <c r="I654" s="12" t="s">
        <v>546</v>
      </c>
      <c r="J654" s="6" t="s">
        <v>610</v>
      </c>
      <c r="K654" s="6">
        <f t="shared" si="31"/>
        <v>12</v>
      </c>
      <c r="L654" s="6" t="str">
        <f t="shared" si="32"/>
        <v>DICIEMBRE</v>
      </c>
    </row>
    <row r="655" spans="1:12" x14ac:dyDescent="0.25">
      <c r="A655" s="5">
        <f t="shared" si="30"/>
        <v>2025</v>
      </c>
      <c r="B655" s="18" t="s">
        <v>1150</v>
      </c>
      <c r="C655" s="18" t="s">
        <v>595</v>
      </c>
      <c r="D655" s="12">
        <v>6234</v>
      </c>
      <c r="E655" s="17" t="s">
        <v>678</v>
      </c>
      <c r="F655" s="12" t="s">
        <v>695</v>
      </c>
      <c r="G655" s="14">
        <v>2</v>
      </c>
      <c r="H655" s="24">
        <v>150000</v>
      </c>
      <c r="I655" s="12" t="s">
        <v>704</v>
      </c>
      <c r="J655" s="6" t="s">
        <v>1101</v>
      </c>
      <c r="K655" s="6">
        <f t="shared" si="31"/>
        <v>8</v>
      </c>
      <c r="L655" s="6" t="str">
        <f t="shared" si="32"/>
        <v>AGOSTO</v>
      </c>
    </row>
    <row r="656" spans="1:12" x14ac:dyDescent="0.25">
      <c r="A656" s="5">
        <f t="shared" si="30"/>
        <v>2025</v>
      </c>
      <c r="B656" s="18" t="s">
        <v>1150</v>
      </c>
      <c r="C656" s="18" t="s">
        <v>595</v>
      </c>
      <c r="D656" s="12">
        <v>6234</v>
      </c>
      <c r="E656" s="17" t="s">
        <v>685</v>
      </c>
      <c r="F656" s="12" t="s">
        <v>702</v>
      </c>
      <c r="G656" s="14">
        <v>2</v>
      </c>
      <c r="H656" s="24">
        <v>593820</v>
      </c>
      <c r="I656" s="12" t="s">
        <v>704</v>
      </c>
      <c r="J656" s="6" t="s">
        <v>1101</v>
      </c>
      <c r="K656" s="6">
        <f t="shared" si="31"/>
        <v>8</v>
      </c>
      <c r="L656" s="6" t="str">
        <f t="shared" si="32"/>
        <v>AGOSTO</v>
      </c>
    </row>
    <row r="657" spans="1:12" x14ac:dyDescent="0.25">
      <c r="A657" s="5">
        <f t="shared" si="30"/>
        <v>2025</v>
      </c>
      <c r="B657" s="18" t="s">
        <v>1150</v>
      </c>
      <c r="C657" s="18" t="s">
        <v>595</v>
      </c>
      <c r="D657" s="12">
        <v>6234</v>
      </c>
      <c r="E657" s="17" t="s">
        <v>365</v>
      </c>
      <c r="F657" s="12" t="s">
        <v>366</v>
      </c>
      <c r="G657" s="14">
        <v>2</v>
      </c>
      <c r="H657" s="24">
        <v>11476</v>
      </c>
      <c r="I657" s="12" t="s">
        <v>704</v>
      </c>
      <c r="J657" s="6" t="s">
        <v>1101</v>
      </c>
      <c r="K657" s="6">
        <f t="shared" si="31"/>
        <v>8</v>
      </c>
      <c r="L657" s="6" t="str">
        <f t="shared" si="32"/>
        <v>AGOSTO</v>
      </c>
    </row>
    <row r="658" spans="1:12" x14ac:dyDescent="0.25">
      <c r="A658" s="5">
        <f t="shared" si="30"/>
        <v>2025</v>
      </c>
      <c r="B658" s="18" t="s">
        <v>1153</v>
      </c>
      <c r="C658" s="18" t="s">
        <v>595</v>
      </c>
      <c r="D658" s="12">
        <v>6237</v>
      </c>
      <c r="E658" s="17">
        <v>85003</v>
      </c>
      <c r="F658" s="12" t="s">
        <v>449</v>
      </c>
      <c r="G658" s="14">
        <v>1</v>
      </c>
      <c r="H658" s="24">
        <v>21000</v>
      </c>
      <c r="I658" s="12" t="s">
        <v>712</v>
      </c>
      <c r="J658" s="6" t="s">
        <v>608</v>
      </c>
      <c r="K658" s="6">
        <f t="shared" si="31"/>
        <v>9</v>
      </c>
      <c r="L658" s="6" t="str">
        <f t="shared" si="32"/>
        <v>SEPTIEMBRE</v>
      </c>
    </row>
    <row r="659" spans="1:12" x14ac:dyDescent="0.25">
      <c r="A659" s="5">
        <f t="shared" si="30"/>
        <v>2025</v>
      </c>
      <c r="B659" s="18" t="s">
        <v>1153</v>
      </c>
      <c r="C659" s="18" t="s">
        <v>595</v>
      </c>
      <c r="D659" s="12">
        <v>6237</v>
      </c>
      <c r="E659" s="17" t="s">
        <v>653</v>
      </c>
      <c r="F659" s="12" t="s">
        <v>654</v>
      </c>
      <c r="G659" s="14">
        <v>1</v>
      </c>
      <c r="H659" s="24">
        <v>440000</v>
      </c>
      <c r="I659" s="12" t="s">
        <v>712</v>
      </c>
      <c r="J659" s="6" t="s">
        <v>608</v>
      </c>
      <c r="K659" s="6">
        <f t="shared" si="31"/>
        <v>9</v>
      </c>
      <c r="L659" s="6" t="str">
        <f t="shared" si="32"/>
        <v>SEPTIEMBRE</v>
      </c>
    </row>
    <row r="660" spans="1:12" x14ac:dyDescent="0.25">
      <c r="A660" s="5">
        <f t="shared" si="30"/>
        <v>2025</v>
      </c>
      <c r="B660" s="18" t="s">
        <v>1153</v>
      </c>
      <c r="C660" s="18" t="s">
        <v>595</v>
      </c>
      <c r="D660" s="12">
        <v>6237</v>
      </c>
      <c r="E660" s="17" t="s">
        <v>472</v>
      </c>
      <c r="F660" s="12" t="s">
        <v>473</v>
      </c>
      <c r="G660" s="14">
        <v>2</v>
      </c>
      <c r="H660" s="24">
        <v>98000</v>
      </c>
      <c r="I660" s="12" t="s">
        <v>712</v>
      </c>
      <c r="J660" s="6" t="s">
        <v>608</v>
      </c>
      <c r="K660" s="6">
        <f t="shared" si="31"/>
        <v>9</v>
      </c>
      <c r="L660" s="6" t="str">
        <f t="shared" si="32"/>
        <v>SEPTIEMBRE</v>
      </c>
    </row>
    <row r="661" spans="1:12" x14ac:dyDescent="0.25">
      <c r="A661" s="5">
        <f t="shared" si="30"/>
        <v>2025</v>
      </c>
      <c r="B661" s="18" t="s">
        <v>1153</v>
      </c>
      <c r="C661" s="18" t="s">
        <v>595</v>
      </c>
      <c r="D661" s="12">
        <v>6237</v>
      </c>
      <c r="E661" s="17" t="s">
        <v>715</v>
      </c>
      <c r="F661" s="12" t="s">
        <v>721</v>
      </c>
      <c r="G661" s="14">
        <v>1</v>
      </c>
      <c r="H661" s="24">
        <v>384000</v>
      </c>
      <c r="I661" s="12" t="s">
        <v>712</v>
      </c>
      <c r="J661" s="6" t="s">
        <v>608</v>
      </c>
      <c r="K661" s="6">
        <f t="shared" si="31"/>
        <v>9</v>
      </c>
      <c r="L661" s="6" t="str">
        <f t="shared" si="32"/>
        <v>SEPTIEMBRE</v>
      </c>
    </row>
    <row r="662" spans="1:12" x14ac:dyDescent="0.25">
      <c r="A662" s="5">
        <f t="shared" si="30"/>
        <v>2025</v>
      </c>
      <c r="B662" s="18" t="s">
        <v>1153</v>
      </c>
      <c r="C662" s="18" t="s">
        <v>595</v>
      </c>
      <c r="D662" s="12">
        <v>6237</v>
      </c>
      <c r="E662" s="17" t="s">
        <v>211</v>
      </c>
      <c r="F662" s="12" t="s">
        <v>212</v>
      </c>
      <c r="G662" s="14">
        <v>1</v>
      </c>
      <c r="H662" s="24">
        <v>155000</v>
      </c>
      <c r="I662" s="12" t="s">
        <v>712</v>
      </c>
      <c r="J662" s="6" t="s">
        <v>608</v>
      </c>
      <c r="K662" s="6">
        <f t="shared" si="31"/>
        <v>9</v>
      </c>
      <c r="L662" s="6" t="str">
        <f t="shared" si="32"/>
        <v>SEPTIEMBRE</v>
      </c>
    </row>
    <row r="663" spans="1:12" x14ac:dyDescent="0.25">
      <c r="A663" s="5">
        <f t="shared" si="30"/>
        <v>2025</v>
      </c>
      <c r="B663" s="18" t="s">
        <v>1153</v>
      </c>
      <c r="C663" s="18" t="s">
        <v>595</v>
      </c>
      <c r="D663" s="12">
        <v>6237</v>
      </c>
      <c r="E663" s="17">
        <v>7400750005</v>
      </c>
      <c r="F663" s="12" t="s">
        <v>1039</v>
      </c>
      <c r="G663" s="14">
        <v>1</v>
      </c>
      <c r="H663" s="24">
        <v>95000</v>
      </c>
      <c r="I663" s="12" t="s">
        <v>712</v>
      </c>
      <c r="J663" s="6" t="s">
        <v>608</v>
      </c>
      <c r="K663" s="6">
        <f t="shared" si="31"/>
        <v>9</v>
      </c>
      <c r="L663" s="6" t="str">
        <f t="shared" si="32"/>
        <v>SEPTIEMBRE</v>
      </c>
    </row>
    <row r="664" spans="1:12" x14ac:dyDescent="0.25">
      <c r="A664" s="5">
        <f t="shared" si="30"/>
        <v>2025</v>
      </c>
      <c r="B664" s="18" t="s">
        <v>1175</v>
      </c>
      <c r="C664" s="18" t="s">
        <v>595</v>
      </c>
      <c r="D664" s="12">
        <v>6262</v>
      </c>
      <c r="E664" s="17" t="s">
        <v>436</v>
      </c>
      <c r="F664" s="12" t="s">
        <v>437</v>
      </c>
      <c r="G664" s="14">
        <v>1</v>
      </c>
      <c r="H664" s="24">
        <v>57000</v>
      </c>
      <c r="I664" s="12" t="s">
        <v>712</v>
      </c>
      <c r="J664" s="6" t="s">
        <v>608</v>
      </c>
      <c r="K664" s="6">
        <f t="shared" si="31"/>
        <v>9</v>
      </c>
      <c r="L664" s="6" t="str">
        <f t="shared" si="32"/>
        <v>SEPTIEMBRE</v>
      </c>
    </row>
    <row r="665" spans="1:12" x14ac:dyDescent="0.25">
      <c r="A665" s="5">
        <f t="shared" si="30"/>
        <v>2025</v>
      </c>
      <c r="B665" s="18" t="s">
        <v>1175</v>
      </c>
      <c r="C665" s="18" t="s">
        <v>595</v>
      </c>
      <c r="D665" s="12">
        <v>6262</v>
      </c>
      <c r="E665" s="17" t="s">
        <v>333</v>
      </c>
      <c r="F665" s="12" t="s">
        <v>334</v>
      </c>
      <c r="G665" s="14">
        <v>2</v>
      </c>
      <c r="H665" s="24">
        <v>960000</v>
      </c>
      <c r="I665" s="12" t="s">
        <v>712</v>
      </c>
      <c r="J665" s="6" t="s">
        <v>608</v>
      </c>
      <c r="K665" s="6">
        <f t="shared" si="31"/>
        <v>9</v>
      </c>
      <c r="L665" s="6" t="str">
        <f t="shared" si="32"/>
        <v>SEPTIEMBRE</v>
      </c>
    </row>
    <row r="666" spans="1:12" x14ac:dyDescent="0.25">
      <c r="A666" s="5">
        <f t="shared" si="30"/>
        <v>2025</v>
      </c>
      <c r="B666" s="18" t="s">
        <v>1175</v>
      </c>
      <c r="C666" s="18" t="s">
        <v>595</v>
      </c>
      <c r="D666" s="12">
        <v>6262</v>
      </c>
      <c r="E666" s="17" t="s">
        <v>99</v>
      </c>
      <c r="F666" s="12" t="s">
        <v>100</v>
      </c>
      <c r="G666" s="14">
        <v>2</v>
      </c>
      <c r="H666" s="24">
        <v>276000</v>
      </c>
      <c r="I666" s="12" t="s">
        <v>712</v>
      </c>
      <c r="J666" s="6" t="s">
        <v>608</v>
      </c>
      <c r="K666" s="6">
        <f t="shared" si="31"/>
        <v>9</v>
      </c>
      <c r="L666" s="6" t="str">
        <f t="shared" si="32"/>
        <v>SEPTIEMBRE</v>
      </c>
    </row>
    <row r="667" spans="1:12" x14ac:dyDescent="0.25">
      <c r="A667" s="5">
        <f t="shared" si="30"/>
        <v>2025</v>
      </c>
      <c r="B667" s="18" t="s">
        <v>1276</v>
      </c>
      <c r="C667" s="18" t="s">
        <v>595</v>
      </c>
      <c r="D667" s="12">
        <v>6369</v>
      </c>
      <c r="E667" s="17" t="s">
        <v>971</v>
      </c>
      <c r="F667" s="12" t="s">
        <v>972</v>
      </c>
      <c r="G667" s="14">
        <v>3</v>
      </c>
      <c r="H667" s="24">
        <v>104400</v>
      </c>
      <c r="I667" s="12" t="s">
        <v>546</v>
      </c>
      <c r="J667" s="6" t="s">
        <v>610</v>
      </c>
      <c r="K667" s="6">
        <f t="shared" si="31"/>
        <v>11</v>
      </c>
      <c r="L667" s="6" t="str">
        <f t="shared" si="32"/>
        <v>NOVIEMBRE</v>
      </c>
    </row>
    <row r="668" spans="1:12" x14ac:dyDescent="0.25">
      <c r="A668" s="5">
        <f t="shared" si="30"/>
        <v>2025</v>
      </c>
      <c r="B668" s="18" t="s">
        <v>1305</v>
      </c>
      <c r="C668" s="18" t="s">
        <v>595</v>
      </c>
      <c r="D668" s="12">
        <v>6396</v>
      </c>
      <c r="E668" s="17" t="s">
        <v>359</v>
      </c>
      <c r="F668" s="12" t="s">
        <v>360</v>
      </c>
      <c r="G668" s="14">
        <v>1</v>
      </c>
      <c r="H668" s="24">
        <v>64000</v>
      </c>
      <c r="I668" s="12" t="s">
        <v>712</v>
      </c>
      <c r="J668" s="6" t="s">
        <v>608</v>
      </c>
      <c r="K668" s="6">
        <f t="shared" si="31"/>
        <v>12</v>
      </c>
      <c r="L668" s="6" t="str">
        <f t="shared" si="32"/>
        <v>DICIEMBRE</v>
      </c>
    </row>
    <row r="669" spans="1:12" x14ac:dyDescent="0.25">
      <c r="A669" s="5">
        <f t="shared" si="30"/>
        <v>2025</v>
      </c>
      <c r="B669" s="18" t="s">
        <v>1305</v>
      </c>
      <c r="C669" s="18" t="s">
        <v>595</v>
      </c>
      <c r="D669" s="12">
        <v>6396</v>
      </c>
      <c r="E669" s="17" t="s">
        <v>500</v>
      </c>
      <c r="F669" s="12" t="s">
        <v>501</v>
      </c>
      <c r="G669" s="14">
        <v>1</v>
      </c>
      <c r="H669" s="24">
        <v>90000</v>
      </c>
      <c r="I669" s="12" t="s">
        <v>712</v>
      </c>
      <c r="J669" s="6" t="s">
        <v>608</v>
      </c>
      <c r="K669" s="6">
        <f t="shared" si="31"/>
        <v>12</v>
      </c>
      <c r="L669" s="6" t="str">
        <f t="shared" si="32"/>
        <v>DICIEMBRE</v>
      </c>
    </row>
    <row r="670" spans="1:12" x14ac:dyDescent="0.25">
      <c r="A670" s="5">
        <f t="shared" si="30"/>
        <v>2025</v>
      </c>
      <c r="B670" s="18" t="s">
        <v>1305</v>
      </c>
      <c r="C670" s="18" t="s">
        <v>595</v>
      </c>
      <c r="D670" s="12">
        <v>6396</v>
      </c>
      <c r="E670" s="17" t="s">
        <v>204</v>
      </c>
      <c r="F670" s="12" t="s">
        <v>205</v>
      </c>
      <c r="G670" s="14">
        <v>3</v>
      </c>
      <c r="H670" s="24">
        <v>141000</v>
      </c>
      <c r="I670" s="12" t="s">
        <v>712</v>
      </c>
      <c r="J670" s="6" t="s">
        <v>608</v>
      </c>
      <c r="K670" s="6">
        <f t="shared" si="31"/>
        <v>12</v>
      </c>
      <c r="L670" s="6" t="str">
        <f t="shared" si="32"/>
        <v>DICIEMBRE</v>
      </c>
    </row>
    <row r="671" spans="1:12" x14ac:dyDescent="0.25">
      <c r="A671" s="5">
        <f t="shared" si="30"/>
        <v>2025</v>
      </c>
      <c r="B671" s="18" t="s">
        <v>1305</v>
      </c>
      <c r="C671" s="18" t="s">
        <v>595</v>
      </c>
      <c r="D671" s="12">
        <v>6396</v>
      </c>
      <c r="E671" s="17">
        <v>9373</v>
      </c>
      <c r="F671" s="12" t="s">
        <v>128</v>
      </c>
      <c r="G671" s="14">
        <v>1</v>
      </c>
      <c r="H671" s="24">
        <v>460000</v>
      </c>
      <c r="I671" s="12" t="s">
        <v>712</v>
      </c>
      <c r="J671" s="6" t="s">
        <v>608</v>
      </c>
      <c r="K671" s="6">
        <f t="shared" si="31"/>
        <v>12</v>
      </c>
      <c r="L671" s="6" t="str">
        <f t="shared" si="32"/>
        <v>DICIEMBRE</v>
      </c>
    </row>
    <row r="672" spans="1:12" x14ac:dyDescent="0.25">
      <c r="A672" s="5">
        <f t="shared" si="30"/>
        <v>2025</v>
      </c>
      <c r="B672" s="18" t="s">
        <v>1305</v>
      </c>
      <c r="C672" s="18" t="s">
        <v>595</v>
      </c>
      <c r="D672" s="12">
        <v>6396</v>
      </c>
      <c r="E672" s="17" t="s">
        <v>482</v>
      </c>
      <c r="F672" s="12" t="s">
        <v>483</v>
      </c>
      <c r="G672" s="14">
        <v>2</v>
      </c>
      <c r="H672" s="24">
        <v>890000</v>
      </c>
      <c r="I672" s="12" t="s">
        <v>712</v>
      </c>
      <c r="J672" s="6" t="s">
        <v>608</v>
      </c>
      <c r="K672" s="6">
        <f t="shared" si="31"/>
        <v>12</v>
      </c>
      <c r="L672" s="6" t="str">
        <f t="shared" si="32"/>
        <v>DICIEMBRE</v>
      </c>
    </row>
    <row r="673" spans="1:12" x14ac:dyDescent="0.25">
      <c r="A673" s="5">
        <f t="shared" si="30"/>
        <v>2025</v>
      </c>
      <c r="B673" s="18" t="s">
        <v>1305</v>
      </c>
      <c r="C673" s="18" t="s">
        <v>595</v>
      </c>
      <c r="D673" s="12">
        <v>6396</v>
      </c>
      <c r="E673" s="17" t="s">
        <v>228</v>
      </c>
      <c r="F673" s="12" t="s">
        <v>229</v>
      </c>
      <c r="G673" s="14">
        <v>1</v>
      </c>
      <c r="H673" s="24">
        <v>120000</v>
      </c>
      <c r="I673" s="12" t="s">
        <v>712</v>
      </c>
      <c r="J673" s="6" t="s">
        <v>608</v>
      </c>
      <c r="K673" s="6">
        <f t="shared" si="31"/>
        <v>12</v>
      </c>
      <c r="L673" s="6" t="str">
        <f t="shared" si="32"/>
        <v>DICIEMBRE</v>
      </c>
    </row>
    <row r="674" spans="1:12" x14ac:dyDescent="0.25">
      <c r="A674" s="5">
        <f t="shared" si="30"/>
        <v>2025</v>
      </c>
      <c r="B674" s="18" t="s">
        <v>1305</v>
      </c>
      <c r="C674" s="18" t="s">
        <v>595</v>
      </c>
      <c r="D674" s="12">
        <v>6396</v>
      </c>
      <c r="E674" s="17" t="s">
        <v>432</v>
      </c>
      <c r="F674" s="12" t="s">
        <v>433</v>
      </c>
      <c r="G674" s="14">
        <v>3</v>
      </c>
      <c r="H674" s="24">
        <v>189000</v>
      </c>
      <c r="I674" s="12" t="s">
        <v>712</v>
      </c>
      <c r="J674" s="6" t="s">
        <v>608</v>
      </c>
      <c r="K674" s="6">
        <f t="shared" si="31"/>
        <v>12</v>
      </c>
      <c r="L674" s="6" t="str">
        <f t="shared" si="32"/>
        <v>DICIEMBRE</v>
      </c>
    </row>
    <row r="675" spans="1:12" x14ac:dyDescent="0.25">
      <c r="A675" s="5">
        <f t="shared" si="30"/>
        <v>2025</v>
      </c>
      <c r="B675" s="18" t="s">
        <v>1305</v>
      </c>
      <c r="C675" s="18" t="s">
        <v>595</v>
      </c>
      <c r="D675" s="12">
        <v>6396</v>
      </c>
      <c r="E675" s="17" t="s">
        <v>319</v>
      </c>
      <c r="F675" s="12" t="s">
        <v>320</v>
      </c>
      <c r="G675" s="14">
        <v>2</v>
      </c>
      <c r="H675" s="24">
        <v>1060000</v>
      </c>
      <c r="I675" s="12" t="s">
        <v>712</v>
      </c>
      <c r="J675" s="6" t="s">
        <v>608</v>
      </c>
      <c r="K675" s="6">
        <f t="shared" si="31"/>
        <v>12</v>
      </c>
      <c r="L675" s="6" t="str">
        <f t="shared" si="32"/>
        <v>DICIEMBRE</v>
      </c>
    </row>
    <row r="676" spans="1:12" x14ac:dyDescent="0.25">
      <c r="A676" s="5">
        <f t="shared" si="30"/>
        <v>2025</v>
      </c>
      <c r="B676" s="18" t="s">
        <v>1305</v>
      </c>
      <c r="C676" s="18" t="s">
        <v>595</v>
      </c>
      <c r="D676" s="12">
        <v>6396</v>
      </c>
      <c r="E676" s="17" t="s">
        <v>299</v>
      </c>
      <c r="F676" s="12" t="s">
        <v>300</v>
      </c>
      <c r="G676" s="14">
        <v>2</v>
      </c>
      <c r="H676" s="24">
        <v>130000</v>
      </c>
      <c r="I676" s="12" t="s">
        <v>712</v>
      </c>
      <c r="J676" s="6" t="s">
        <v>608</v>
      </c>
      <c r="K676" s="6">
        <f t="shared" si="31"/>
        <v>12</v>
      </c>
      <c r="L676" s="6" t="str">
        <f t="shared" si="32"/>
        <v>DICIEMBRE</v>
      </c>
    </row>
    <row r="677" spans="1:12" x14ac:dyDescent="0.25">
      <c r="A677" s="5">
        <f t="shared" si="30"/>
        <v>2025</v>
      </c>
      <c r="B677" s="18" t="s">
        <v>1305</v>
      </c>
      <c r="C677" s="18" t="s">
        <v>595</v>
      </c>
      <c r="D677" s="12">
        <v>6396</v>
      </c>
      <c r="E677" s="17" t="s">
        <v>156</v>
      </c>
      <c r="F677" s="12" t="s">
        <v>157</v>
      </c>
      <c r="G677" s="14">
        <v>2</v>
      </c>
      <c r="H677" s="24">
        <v>920000</v>
      </c>
      <c r="I677" s="12" t="s">
        <v>712</v>
      </c>
      <c r="J677" s="6" t="s">
        <v>608</v>
      </c>
      <c r="K677" s="6">
        <f t="shared" si="31"/>
        <v>12</v>
      </c>
      <c r="L677" s="6" t="str">
        <f t="shared" si="32"/>
        <v>DICIEMBRE</v>
      </c>
    </row>
    <row r="678" spans="1:12" x14ac:dyDescent="0.25">
      <c r="A678" s="5">
        <f t="shared" si="30"/>
        <v>2025</v>
      </c>
      <c r="B678" s="18" t="s">
        <v>1305</v>
      </c>
      <c r="C678" s="18" t="s">
        <v>595</v>
      </c>
      <c r="D678" s="12">
        <v>6396</v>
      </c>
      <c r="E678" s="17">
        <v>127760</v>
      </c>
      <c r="F678" s="12" t="s">
        <v>382</v>
      </c>
      <c r="G678" s="14">
        <v>1</v>
      </c>
      <c r="H678" s="24">
        <v>97000</v>
      </c>
      <c r="I678" s="12" t="s">
        <v>712</v>
      </c>
      <c r="J678" s="6" t="s">
        <v>608</v>
      </c>
      <c r="K678" s="6">
        <f t="shared" si="31"/>
        <v>12</v>
      </c>
      <c r="L678" s="6" t="str">
        <f t="shared" si="32"/>
        <v>DICIEMBRE</v>
      </c>
    </row>
    <row r="679" spans="1:12" x14ac:dyDescent="0.25">
      <c r="A679" s="5">
        <f t="shared" si="30"/>
        <v>2025</v>
      </c>
      <c r="B679" s="18" t="s">
        <v>1305</v>
      </c>
      <c r="C679" s="18" t="s">
        <v>595</v>
      </c>
      <c r="D679" s="12">
        <v>6396</v>
      </c>
      <c r="E679" s="17" t="s">
        <v>188</v>
      </c>
      <c r="F679" s="12" t="s">
        <v>189</v>
      </c>
      <c r="G679" s="14">
        <v>1</v>
      </c>
      <c r="H679" s="24">
        <v>34000</v>
      </c>
      <c r="I679" s="12" t="s">
        <v>712</v>
      </c>
      <c r="J679" s="6" t="s">
        <v>608</v>
      </c>
      <c r="K679" s="6">
        <f t="shared" si="31"/>
        <v>12</v>
      </c>
      <c r="L679" s="6" t="str">
        <f t="shared" si="32"/>
        <v>DICIEMBRE</v>
      </c>
    </row>
    <row r="680" spans="1:12" x14ac:dyDescent="0.25">
      <c r="A680" s="5">
        <f t="shared" si="30"/>
        <v>2025</v>
      </c>
      <c r="B680" s="18" t="s">
        <v>1305</v>
      </c>
      <c r="C680" s="18" t="s">
        <v>595</v>
      </c>
      <c r="D680" s="12">
        <v>6396</v>
      </c>
      <c r="E680" s="17" t="s">
        <v>542</v>
      </c>
      <c r="F680" s="12" t="s">
        <v>543</v>
      </c>
      <c r="G680" s="14">
        <v>1</v>
      </c>
      <c r="H680" s="24">
        <v>18000</v>
      </c>
      <c r="I680" s="12" t="s">
        <v>712</v>
      </c>
      <c r="J680" s="6" t="s">
        <v>608</v>
      </c>
      <c r="K680" s="6">
        <f t="shared" si="31"/>
        <v>12</v>
      </c>
      <c r="L680" s="6" t="str">
        <f t="shared" si="32"/>
        <v>DICIEMBRE</v>
      </c>
    </row>
    <row r="681" spans="1:12" x14ac:dyDescent="0.25">
      <c r="A681" s="5">
        <f t="shared" si="30"/>
        <v>2025</v>
      </c>
      <c r="B681" s="18" t="s">
        <v>1305</v>
      </c>
      <c r="C681" s="18" t="s">
        <v>595</v>
      </c>
      <c r="D681" s="12">
        <v>6396</v>
      </c>
      <c r="E681" s="17" t="s">
        <v>342</v>
      </c>
      <c r="F681" s="12" t="s">
        <v>343</v>
      </c>
      <c r="G681" s="14">
        <v>1</v>
      </c>
      <c r="H681" s="24">
        <v>240000</v>
      </c>
      <c r="I681" s="12" t="s">
        <v>712</v>
      </c>
      <c r="J681" s="6" t="s">
        <v>608</v>
      </c>
      <c r="K681" s="6">
        <f t="shared" si="31"/>
        <v>12</v>
      </c>
      <c r="L681" s="6" t="str">
        <f t="shared" si="32"/>
        <v>DICIEMBRE</v>
      </c>
    </row>
    <row r="682" spans="1:12" x14ac:dyDescent="0.25">
      <c r="A682" s="5">
        <f t="shared" si="30"/>
        <v>2025</v>
      </c>
      <c r="B682" s="18" t="s">
        <v>1305</v>
      </c>
      <c r="C682" s="18" t="s">
        <v>595</v>
      </c>
      <c r="D682" s="12">
        <v>6396</v>
      </c>
      <c r="E682" s="17">
        <v>4304023</v>
      </c>
      <c r="F682" s="12" t="s">
        <v>284</v>
      </c>
      <c r="G682" s="14">
        <v>1</v>
      </c>
      <c r="H682" s="24">
        <v>17500</v>
      </c>
      <c r="I682" s="12" t="s">
        <v>712</v>
      </c>
      <c r="J682" s="6" t="s">
        <v>608</v>
      </c>
      <c r="K682" s="6">
        <f t="shared" si="31"/>
        <v>12</v>
      </c>
      <c r="L682" s="6" t="str">
        <f t="shared" si="32"/>
        <v>DICIEMBRE</v>
      </c>
    </row>
    <row r="683" spans="1:12" x14ac:dyDescent="0.25">
      <c r="A683" s="5">
        <f t="shared" si="30"/>
        <v>2025</v>
      </c>
      <c r="B683" s="18" t="s">
        <v>1305</v>
      </c>
      <c r="C683" s="18" t="s">
        <v>595</v>
      </c>
      <c r="D683" s="12">
        <v>6396</v>
      </c>
      <c r="E683" s="17">
        <v>210737</v>
      </c>
      <c r="F683" s="12" t="s">
        <v>506</v>
      </c>
      <c r="G683" s="14">
        <v>2</v>
      </c>
      <c r="H683" s="24">
        <v>256000</v>
      </c>
      <c r="I683" s="12" t="s">
        <v>712</v>
      </c>
      <c r="J683" s="6" t="s">
        <v>608</v>
      </c>
      <c r="K683" s="6">
        <f t="shared" si="31"/>
        <v>12</v>
      </c>
      <c r="L683" s="6" t="str">
        <f t="shared" si="32"/>
        <v>DICIEMBRE</v>
      </c>
    </row>
    <row r="684" spans="1:12" x14ac:dyDescent="0.25">
      <c r="A684" s="5">
        <f t="shared" si="30"/>
        <v>2025</v>
      </c>
      <c r="B684" s="18" t="s">
        <v>1305</v>
      </c>
      <c r="C684" s="18" t="s">
        <v>595</v>
      </c>
      <c r="D684" s="12">
        <v>6396</v>
      </c>
      <c r="E684" s="17">
        <v>210736</v>
      </c>
      <c r="F684" s="12" t="s">
        <v>504</v>
      </c>
      <c r="G684" s="14">
        <v>1</v>
      </c>
      <c r="H684" s="24">
        <v>155000</v>
      </c>
      <c r="I684" s="12" t="s">
        <v>712</v>
      </c>
      <c r="J684" s="6" t="s">
        <v>608</v>
      </c>
      <c r="K684" s="6">
        <f t="shared" si="31"/>
        <v>12</v>
      </c>
      <c r="L684" s="6" t="str">
        <f t="shared" si="32"/>
        <v>DICIEMBRE</v>
      </c>
    </row>
    <row r="685" spans="1:12" x14ac:dyDescent="0.25">
      <c r="A685" s="5">
        <f t="shared" si="30"/>
        <v>2025</v>
      </c>
      <c r="B685" s="18" t="s">
        <v>1305</v>
      </c>
      <c r="C685" s="18" t="s">
        <v>595</v>
      </c>
      <c r="D685" s="12">
        <v>6396</v>
      </c>
      <c r="E685" s="17" t="s">
        <v>494</v>
      </c>
      <c r="F685" s="12" t="s">
        <v>495</v>
      </c>
      <c r="G685" s="14">
        <v>1</v>
      </c>
      <c r="H685" s="24">
        <v>45000</v>
      </c>
      <c r="I685" s="12" t="s">
        <v>712</v>
      </c>
      <c r="J685" s="6" t="s">
        <v>608</v>
      </c>
      <c r="K685" s="6">
        <f t="shared" si="31"/>
        <v>12</v>
      </c>
      <c r="L685" s="6" t="str">
        <f t="shared" si="32"/>
        <v>DICIEMBRE</v>
      </c>
    </row>
    <row r="686" spans="1:12" x14ac:dyDescent="0.25">
      <c r="A686" s="5">
        <f t="shared" si="30"/>
        <v>2025</v>
      </c>
      <c r="B686" s="18" t="s">
        <v>1305</v>
      </c>
      <c r="C686" s="18" t="s">
        <v>595</v>
      </c>
      <c r="D686" s="12">
        <v>6396</v>
      </c>
      <c r="E686" s="17" t="s">
        <v>423</v>
      </c>
      <c r="F686" s="12" t="s">
        <v>424</v>
      </c>
      <c r="G686" s="14">
        <v>3</v>
      </c>
      <c r="H686" s="24">
        <v>246000</v>
      </c>
      <c r="I686" s="12" t="s">
        <v>712</v>
      </c>
      <c r="J686" s="6" t="s">
        <v>608</v>
      </c>
      <c r="K686" s="6">
        <f t="shared" si="31"/>
        <v>12</v>
      </c>
      <c r="L686" s="6" t="str">
        <f t="shared" si="32"/>
        <v>DICIEMBRE</v>
      </c>
    </row>
    <row r="687" spans="1:12" x14ac:dyDescent="0.25">
      <c r="A687" s="5">
        <f t="shared" si="30"/>
        <v>2025</v>
      </c>
      <c r="B687" s="18" t="s">
        <v>1305</v>
      </c>
      <c r="C687" s="18" t="s">
        <v>595</v>
      </c>
      <c r="D687" s="12">
        <v>6396</v>
      </c>
      <c r="E687" s="17" t="s">
        <v>484</v>
      </c>
      <c r="F687" s="12" t="s">
        <v>485</v>
      </c>
      <c r="G687" s="14">
        <v>5</v>
      </c>
      <c r="H687" s="24">
        <v>150000</v>
      </c>
      <c r="I687" s="12" t="s">
        <v>712</v>
      </c>
      <c r="J687" s="6" t="s">
        <v>608</v>
      </c>
      <c r="K687" s="6">
        <f t="shared" si="31"/>
        <v>12</v>
      </c>
      <c r="L687" s="6" t="str">
        <f t="shared" si="32"/>
        <v>DICIEMBRE</v>
      </c>
    </row>
    <row r="688" spans="1:12" x14ac:dyDescent="0.25">
      <c r="A688" s="5">
        <f t="shared" si="30"/>
        <v>2025</v>
      </c>
      <c r="B688" s="18" t="s">
        <v>1175</v>
      </c>
      <c r="C688" s="18" t="s">
        <v>595</v>
      </c>
      <c r="D688" s="12">
        <v>6262</v>
      </c>
      <c r="E688" s="17" t="s">
        <v>1003</v>
      </c>
      <c r="F688" s="12" t="s">
        <v>1004</v>
      </c>
      <c r="G688" s="14">
        <v>11</v>
      </c>
      <c r="H688" s="24">
        <v>418000</v>
      </c>
      <c r="I688" s="12" t="s">
        <v>712</v>
      </c>
      <c r="J688" s="6" t="s">
        <v>608</v>
      </c>
      <c r="K688" s="6">
        <f t="shared" si="31"/>
        <v>9</v>
      </c>
      <c r="L688" s="6" t="str">
        <f t="shared" si="32"/>
        <v>SEPTIEMBRE</v>
      </c>
    </row>
    <row r="689" spans="1:12" x14ac:dyDescent="0.25">
      <c r="A689" s="5">
        <f t="shared" si="30"/>
        <v>2025</v>
      </c>
      <c r="B689" s="18" t="s">
        <v>1106</v>
      </c>
      <c r="C689" s="18" t="s">
        <v>595</v>
      </c>
      <c r="D689" s="12">
        <v>6188</v>
      </c>
      <c r="E689" s="17" t="s">
        <v>348</v>
      </c>
      <c r="F689" s="12" t="s">
        <v>349</v>
      </c>
      <c r="G689" s="14">
        <v>20</v>
      </c>
      <c r="H689" s="24">
        <v>24000</v>
      </c>
      <c r="I689" s="12" t="s">
        <v>712</v>
      </c>
      <c r="J689" s="6" t="s">
        <v>608</v>
      </c>
      <c r="K689" s="6">
        <f t="shared" si="31"/>
        <v>7</v>
      </c>
      <c r="L689" s="6" t="str">
        <f t="shared" si="32"/>
        <v>JULIO</v>
      </c>
    </row>
    <row r="690" spans="1:12" x14ac:dyDescent="0.25">
      <c r="A690" s="5">
        <f t="shared" si="30"/>
        <v>2025</v>
      </c>
      <c r="B690" s="18" t="s">
        <v>1370</v>
      </c>
      <c r="C690" s="18" t="s">
        <v>595</v>
      </c>
      <c r="D690" s="12">
        <v>6422</v>
      </c>
      <c r="E690" s="17">
        <v>56929000</v>
      </c>
      <c r="F690" s="12" t="s">
        <v>461</v>
      </c>
      <c r="G690" s="14">
        <v>3</v>
      </c>
      <c r="H690" s="24">
        <v>123000</v>
      </c>
      <c r="I690" s="12" t="s">
        <v>712</v>
      </c>
      <c r="J690" s="6" t="s">
        <v>608</v>
      </c>
      <c r="K690" s="6">
        <f t="shared" si="31"/>
        <v>12</v>
      </c>
      <c r="L690" s="6" t="str">
        <f t="shared" si="32"/>
        <v>DICIEMBRE</v>
      </c>
    </row>
    <row r="691" spans="1:12" x14ac:dyDescent="0.25">
      <c r="A691" s="5">
        <f t="shared" si="30"/>
        <v>2025</v>
      </c>
      <c r="B691" s="18" t="s">
        <v>1253</v>
      </c>
      <c r="C691" s="18" t="s">
        <v>595</v>
      </c>
      <c r="D691" s="12">
        <v>6337</v>
      </c>
      <c r="E691" s="17" t="s">
        <v>1195</v>
      </c>
      <c r="F691" s="12" t="s">
        <v>1196</v>
      </c>
      <c r="G691" s="14">
        <v>2</v>
      </c>
      <c r="H691" s="24">
        <v>380000</v>
      </c>
      <c r="I691" s="12" t="s">
        <v>634</v>
      </c>
      <c r="J691" s="6" t="s">
        <v>614</v>
      </c>
      <c r="K691" s="6">
        <f t="shared" si="31"/>
        <v>10</v>
      </c>
      <c r="L691" s="6" t="str">
        <f t="shared" si="32"/>
        <v>OCTUBRE</v>
      </c>
    </row>
    <row r="692" spans="1:12" x14ac:dyDescent="0.25">
      <c r="A692" s="5">
        <f t="shared" si="30"/>
        <v>2025</v>
      </c>
      <c r="B692" s="18" t="s">
        <v>1219</v>
      </c>
      <c r="C692" s="18" t="s">
        <v>595</v>
      </c>
      <c r="D692" s="12">
        <v>6327</v>
      </c>
      <c r="E692" s="17" t="s">
        <v>600</v>
      </c>
      <c r="F692" s="12" t="s">
        <v>604</v>
      </c>
      <c r="G692" s="14">
        <v>2</v>
      </c>
      <c r="H692" s="24">
        <v>152232</v>
      </c>
      <c r="I692" s="12" t="s">
        <v>634</v>
      </c>
      <c r="J692" s="6" t="s">
        <v>614</v>
      </c>
      <c r="K692" s="6">
        <f t="shared" si="31"/>
        <v>10</v>
      </c>
      <c r="L692" s="6" t="str">
        <f t="shared" si="32"/>
        <v>OCTUBRE</v>
      </c>
    </row>
    <row r="693" spans="1:12" x14ac:dyDescent="0.25">
      <c r="A693" s="5">
        <f t="shared" ref="A693:A756" si="33">+YEAR(B693)</f>
        <v>2025</v>
      </c>
      <c r="B693" s="18" t="s">
        <v>1219</v>
      </c>
      <c r="C693" s="18" t="s">
        <v>595</v>
      </c>
      <c r="D693" s="12">
        <v>6327</v>
      </c>
      <c r="E693" s="17" t="s">
        <v>901</v>
      </c>
      <c r="F693" s="12" t="s">
        <v>902</v>
      </c>
      <c r="G693" s="14">
        <v>2</v>
      </c>
      <c r="H693" s="24">
        <v>1486464</v>
      </c>
      <c r="I693" s="12" t="s">
        <v>634</v>
      </c>
      <c r="J693" s="6" t="s">
        <v>614</v>
      </c>
      <c r="K693" s="6">
        <f t="shared" ref="K693:K756" si="34">+MONTH(B693)</f>
        <v>10</v>
      </c>
      <c r="L693" s="6" t="str">
        <f t="shared" si="32"/>
        <v>OCTUBRE</v>
      </c>
    </row>
    <row r="694" spans="1:12" x14ac:dyDescent="0.25">
      <c r="A694" s="5">
        <f t="shared" si="33"/>
        <v>2025</v>
      </c>
      <c r="B694" s="18" t="s">
        <v>997</v>
      </c>
      <c r="C694" s="18" t="s">
        <v>595</v>
      </c>
      <c r="D694" s="12">
        <v>6035</v>
      </c>
      <c r="E694" s="17" t="s">
        <v>56</v>
      </c>
      <c r="F694" s="12" t="s">
        <v>57</v>
      </c>
      <c r="G694" s="14">
        <v>1</v>
      </c>
      <c r="H694" s="24">
        <v>22049</v>
      </c>
      <c r="I694" s="12" t="s">
        <v>712</v>
      </c>
      <c r="J694" s="6" t="s">
        <v>608</v>
      </c>
      <c r="K694" s="6">
        <f t="shared" si="34"/>
        <v>5</v>
      </c>
      <c r="L694" s="6" t="str">
        <f t="shared" si="32"/>
        <v>MAYO</v>
      </c>
    </row>
    <row r="695" spans="1:12" x14ac:dyDescent="0.25">
      <c r="A695" s="5">
        <f t="shared" si="33"/>
        <v>2025</v>
      </c>
      <c r="B695" s="18" t="s">
        <v>965</v>
      </c>
      <c r="C695" s="18" t="s">
        <v>595</v>
      </c>
      <c r="D695" s="12">
        <v>5994</v>
      </c>
      <c r="E695" s="17">
        <v>8017</v>
      </c>
      <c r="F695" s="12" t="s">
        <v>391</v>
      </c>
      <c r="G695" s="14">
        <v>2</v>
      </c>
      <c r="H695" s="24">
        <v>17400</v>
      </c>
      <c r="I695" s="12" t="s">
        <v>712</v>
      </c>
      <c r="J695" s="6" t="s">
        <v>608</v>
      </c>
      <c r="K695" s="6">
        <f t="shared" si="34"/>
        <v>4</v>
      </c>
      <c r="L695" s="6" t="str">
        <f t="shared" si="32"/>
        <v>ABRIL</v>
      </c>
    </row>
    <row r="696" spans="1:12" x14ac:dyDescent="0.25">
      <c r="A696" s="5">
        <f t="shared" si="33"/>
        <v>2025</v>
      </c>
      <c r="B696" s="18" t="s">
        <v>965</v>
      </c>
      <c r="C696" s="18" t="s">
        <v>595</v>
      </c>
      <c r="D696" s="12">
        <v>5994</v>
      </c>
      <c r="E696" s="17" t="s">
        <v>317</v>
      </c>
      <c r="F696" s="12" t="s">
        <v>318</v>
      </c>
      <c r="G696" s="14">
        <v>1</v>
      </c>
      <c r="H696" s="24">
        <v>12000</v>
      </c>
      <c r="I696" s="12" t="s">
        <v>712</v>
      </c>
      <c r="J696" s="6" t="s">
        <v>608</v>
      </c>
      <c r="K696" s="6">
        <f t="shared" si="34"/>
        <v>4</v>
      </c>
      <c r="L696" s="6" t="str">
        <f t="shared" si="32"/>
        <v>ABRIL</v>
      </c>
    </row>
    <row r="697" spans="1:12" x14ac:dyDescent="0.25">
      <c r="A697" s="5">
        <f t="shared" si="33"/>
        <v>2025</v>
      </c>
      <c r="B697" s="18" t="s">
        <v>965</v>
      </c>
      <c r="C697" s="18" t="s">
        <v>595</v>
      </c>
      <c r="D697" s="12">
        <v>5994</v>
      </c>
      <c r="E697" s="17" t="s">
        <v>979</v>
      </c>
      <c r="F697" s="12" t="s">
        <v>980</v>
      </c>
      <c r="G697" s="14">
        <v>1</v>
      </c>
      <c r="H697" s="24">
        <v>744000</v>
      </c>
      <c r="I697" s="12" t="s">
        <v>712</v>
      </c>
      <c r="J697" s="6" t="s">
        <v>608</v>
      </c>
      <c r="K697" s="6">
        <f t="shared" si="34"/>
        <v>4</v>
      </c>
      <c r="L697" s="6" t="str">
        <f t="shared" si="32"/>
        <v>ABRIL</v>
      </c>
    </row>
    <row r="698" spans="1:12" x14ac:dyDescent="0.25">
      <c r="A698" s="5">
        <f t="shared" si="33"/>
        <v>2025</v>
      </c>
      <c r="B698" s="18" t="s">
        <v>1370</v>
      </c>
      <c r="C698" s="18" t="s">
        <v>595</v>
      </c>
      <c r="D698" s="12">
        <v>6422</v>
      </c>
      <c r="E698" s="17" t="s">
        <v>204</v>
      </c>
      <c r="F698" s="12" t="s">
        <v>205</v>
      </c>
      <c r="G698" s="14">
        <v>1</v>
      </c>
      <c r="H698" s="24">
        <v>47000</v>
      </c>
      <c r="I698" s="12" t="s">
        <v>712</v>
      </c>
      <c r="J698" s="6" t="s">
        <v>608</v>
      </c>
      <c r="K698" s="6">
        <f t="shared" si="34"/>
        <v>12</v>
      </c>
      <c r="L698" s="6" t="str">
        <f t="shared" si="32"/>
        <v>DICIEMBRE</v>
      </c>
    </row>
    <row r="699" spans="1:12" x14ac:dyDescent="0.25">
      <c r="A699" s="5">
        <f t="shared" si="33"/>
        <v>2025</v>
      </c>
      <c r="B699" s="18" t="s">
        <v>1370</v>
      </c>
      <c r="C699" s="18" t="s">
        <v>595</v>
      </c>
      <c r="D699" s="12">
        <v>6422</v>
      </c>
      <c r="E699" s="17" t="s">
        <v>136</v>
      </c>
      <c r="F699" s="12" t="s">
        <v>137</v>
      </c>
      <c r="G699" s="14">
        <v>3</v>
      </c>
      <c r="H699" s="24">
        <v>108000</v>
      </c>
      <c r="I699" s="12" t="s">
        <v>712</v>
      </c>
      <c r="J699" s="6" t="s">
        <v>608</v>
      </c>
      <c r="K699" s="6">
        <f t="shared" si="34"/>
        <v>12</v>
      </c>
      <c r="L699" s="6" t="str">
        <f t="shared" si="32"/>
        <v>DICIEMBRE</v>
      </c>
    </row>
    <row r="700" spans="1:12" x14ac:dyDescent="0.25">
      <c r="A700" s="5">
        <f t="shared" si="33"/>
        <v>2025</v>
      </c>
      <c r="B700" s="18" t="s">
        <v>1370</v>
      </c>
      <c r="C700" s="18" t="s">
        <v>595</v>
      </c>
      <c r="D700" s="12">
        <v>6422</v>
      </c>
      <c r="E700" s="17" t="s">
        <v>494</v>
      </c>
      <c r="F700" s="12" t="s">
        <v>495</v>
      </c>
      <c r="G700" s="14">
        <v>2</v>
      </c>
      <c r="H700" s="24">
        <v>90000</v>
      </c>
      <c r="I700" s="12" t="s">
        <v>712</v>
      </c>
      <c r="J700" s="6" t="s">
        <v>608</v>
      </c>
      <c r="K700" s="6">
        <f t="shared" si="34"/>
        <v>12</v>
      </c>
      <c r="L700" s="6" t="str">
        <f t="shared" si="32"/>
        <v>DICIEMBRE</v>
      </c>
    </row>
    <row r="701" spans="1:12" x14ac:dyDescent="0.25">
      <c r="A701" s="5">
        <f t="shared" si="33"/>
        <v>2025</v>
      </c>
      <c r="B701" s="18" t="s">
        <v>1370</v>
      </c>
      <c r="C701" s="18" t="s">
        <v>595</v>
      </c>
      <c r="D701" s="12">
        <v>6422</v>
      </c>
      <c r="E701" s="17" t="s">
        <v>23</v>
      </c>
      <c r="F701" s="12" t="s">
        <v>24</v>
      </c>
      <c r="G701" s="14">
        <v>2</v>
      </c>
      <c r="H701" s="24">
        <v>560000</v>
      </c>
      <c r="I701" s="12" t="s">
        <v>712</v>
      </c>
      <c r="J701" s="6" t="s">
        <v>608</v>
      </c>
      <c r="K701" s="6">
        <f t="shared" si="34"/>
        <v>12</v>
      </c>
      <c r="L701" s="6" t="str">
        <f t="shared" si="32"/>
        <v>DICIEMBRE</v>
      </c>
    </row>
    <row r="702" spans="1:12" x14ac:dyDescent="0.25">
      <c r="A702" s="5">
        <f t="shared" si="33"/>
        <v>2025</v>
      </c>
      <c r="B702" s="18" t="s">
        <v>1370</v>
      </c>
      <c r="C702" s="18" t="s">
        <v>595</v>
      </c>
      <c r="D702" s="12">
        <v>6422</v>
      </c>
      <c r="E702" s="17" t="s">
        <v>484</v>
      </c>
      <c r="F702" s="12" t="s">
        <v>485</v>
      </c>
      <c r="G702" s="14">
        <v>3</v>
      </c>
      <c r="H702" s="24">
        <v>90000</v>
      </c>
      <c r="I702" s="12" t="s">
        <v>712</v>
      </c>
      <c r="J702" s="6" t="s">
        <v>608</v>
      </c>
      <c r="K702" s="6">
        <f t="shared" si="34"/>
        <v>12</v>
      </c>
      <c r="L702" s="6" t="str">
        <f t="shared" si="32"/>
        <v>DICIEMBRE</v>
      </c>
    </row>
    <row r="703" spans="1:12" x14ac:dyDescent="0.25">
      <c r="A703" s="5">
        <f t="shared" si="33"/>
        <v>2025</v>
      </c>
      <c r="B703" s="18" t="s">
        <v>1305</v>
      </c>
      <c r="C703" s="18" t="s">
        <v>595</v>
      </c>
      <c r="D703" s="12">
        <v>6397</v>
      </c>
      <c r="E703" s="17" t="s">
        <v>350</v>
      </c>
      <c r="F703" s="12" t="s">
        <v>351</v>
      </c>
      <c r="G703" s="14">
        <v>1</v>
      </c>
      <c r="H703" s="24">
        <v>650000</v>
      </c>
      <c r="I703" s="12" t="s">
        <v>712</v>
      </c>
      <c r="J703" s="6" t="s">
        <v>608</v>
      </c>
      <c r="K703" s="6">
        <f t="shared" si="34"/>
        <v>12</v>
      </c>
      <c r="L703" s="6" t="str">
        <f t="shared" si="32"/>
        <v>DICIEMBRE</v>
      </c>
    </row>
    <row r="704" spans="1:12" x14ac:dyDescent="0.25">
      <c r="A704" s="5">
        <f t="shared" si="33"/>
        <v>2025</v>
      </c>
      <c r="B704" s="18" t="s">
        <v>1370</v>
      </c>
      <c r="C704" s="18" t="s">
        <v>595</v>
      </c>
      <c r="D704" s="12">
        <v>6422</v>
      </c>
      <c r="E704" s="17" t="s">
        <v>253</v>
      </c>
      <c r="F704" s="12" t="s">
        <v>254</v>
      </c>
      <c r="G704" s="14">
        <v>1</v>
      </c>
      <c r="H704" s="24">
        <v>24000</v>
      </c>
      <c r="I704" s="12" t="s">
        <v>712</v>
      </c>
      <c r="J704" s="6" t="s">
        <v>608</v>
      </c>
      <c r="K704" s="6">
        <f t="shared" si="34"/>
        <v>12</v>
      </c>
      <c r="L704" s="6" t="str">
        <f t="shared" si="32"/>
        <v>DICIEMBRE</v>
      </c>
    </row>
    <row r="705" spans="1:12" x14ac:dyDescent="0.25">
      <c r="A705" s="5">
        <f t="shared" si="33"/>
        <v>2025</v>
      </c>
      <c r="B705" s="18" t="s">
        <v>1370</v>
      </c>
      <c r="C705" s="18" t="s">
        <v>595</v>
      </c>
      <c r="D705" s="12">
        <v>6422</v>
      </c>
      <c r="E705" s="17" t="s">
        <v>371</v>
      </c>
      <c r="F705" s="12" t="s">
        <v>372</v>
      </c>
      <c r="G705" s="14">
        <v>1</v>
      </c>
      <c r="H705" s="24">
        <v>188000</v>
      </c>
      <c r="I705" s="12" t="s">
        <v>712</v>
      </c>
      <c r="J705" s="6" t="s">
        <v>608</v>
      </c>
      <c r="K705" s="6">
        <f t="shared" si="34"/>
        <v>12</v>
      </c>
      <c r="L705" s="6" t="str">
        <f t="shared" si="32"/>
        <v>DICIEMBRE</v>
      </c>
    </row>
    <row r="706" spans="1:12" x14ac:dyDescent="0.25">
      <c r="A706" s="5">
        <f t="shared" si="33"/>
        <v>2025</v>
      </c>
      <c r="B706" s="18" t="s">
        <v>1370</v>
      </c>
      <c r="C706" s="18" t="s">
        <v>595</v>
      </c>
      <c r="D706" s="12">
        <v>6422</v>
      </c>
      <c r="E706" s="17">
        <v>995550</v>
      </c>
      <c r="F706" s="12" t="s">
        <v>629</v>
      </c>
      <c r="G706" s="14">
        <v>1</v>
      </c>
      <c r="H706" s="24">
        <v>708000</v>
      </c>
      <c r="I706" s="12" t="s">
        <v>712</v>
      </c>
      <c r="J706" s="6" t="s">
        <v>608</v>
      </c>
      <c r="K706" s="6">
        <f t="shared" si="34"/>
        <v>12</v>
      </c>
      <c r="L706" s="6" t="str">
        <f t="shared" si="32"/>
        <v>DICIEMBRE</v>
      </c>
    </row>
    <row r="707" spans="1:12" x14ac:dyDescent="0.25">
      <c r="A707" s="5">
        <f t="shared" si="33"/>
        <v>2025</v>
      </c>
      <c r="B707" s="18" t="s">
        <v>1370</v>
      </c>
      <c r="C707" s="18" t="s">
        <v>595</v>
      </c>
      <c r="D707" s="12">
        <v>6422</v>
      </c>
      <c r="E707" s="17">
        <v>994346</v>
      </c>
      <c r="F707" s="12" t="s">
        <v>408</v>
      </c>
      <c r="G707" s="14">
        <v>1</v>
      </c>
      <c r="H707" s="24">
        <v>475000</v>
      </c>
      <c r="I707" s="12" t="s">
        <v>712</v>
      </c>
      <c r="J707" s="6" t="s">
        <v>608</v>
      </c>
      <c r="K707" s="6">
        <f t="shared" si="34"/>
        <v>12</v>
      </c>
      <c r="L707" s="6" t="str">
        <f t="shared" ref="L707:L770" si="35">VLOOKUP(K707,N:O,2,0)</f>
        <v>DICIEMBRE</v>
      </c>
    </row>
    <row r="708" spans="1:12" x14ac:dyDescent="0.25">
      <c r="A708" s="5">
        <f t="shared" si="33"/>
        <v>2025</v>
      </c>
      <c r="B708" s="18" t="s">
        <v>1370</v>
      </c>
      <c r="C708" s="18" t="s">
        <v>595</v>
      </c>
      <c r="D708" s="12">
        <v>6422</v>
      </c>
      <c r="E708" s="17">
        <v>8774</v>
      </c>
      <c r="F708" s="12" t="s">
        <v>720</v>
      </c>
      <c r="G708" s="14">
        <v>2</v>
      </c>
      <c r="H708" s="24">
        <v>1460000</v>
      </c>
      <c r="I708" s="12" t="s">
        <v>712</v>
      </c>
      <c r="J708" s="6" t="s">
        <v>608</v>
      </c>
      <c r="K708" s="6">
        <f t="shared" si="34"/>
        <v>12</v>
      </c>
      <c r="L708" s="6" t="str">
        <f t="shared" si="35"/>
        <v>DICIEMBRE</v>
      </c>
    </row>
    <row r="709" spans="1:12" x14ac:dyDescent="0.25">
      <c r="A709" s="5">
        <f t="shared" si="33"/>
        <v>2025</v>
      </c>
      <c r="B709" s="18" t="s">
        <v>1005</v>
      </c>
      <c r="C709" s="18" t="s">
        <v>595</v>
      </c>
      <c r="D709" s="12">
        <v>6047</v>
      </c>
      <c r="E709" s="17" t="s">
        <v>375</v>
      </c>
      <c r="F709" s="12" t="s">
        <v>376</v>
      </c>
      <c r="G709" s="14">
        <v>1</v>
      </c>
      <c r="H709" s="24">
        <v>20000</v>
      </c>
      <c r="I709" s="12" t="s">
        <v>712</v>
      </c>
      <c r="J709" s="6" t="s">
        <v>608</v>
      </c>
      <c r="K709" s="6">
        <f t="shared" si="34"/>
        <v>5</v>
      </c>
      <c r="L709" s="6" t="str">
        <f t="shared" si="35"/>
        <v>MAYO</v>
      </c>
    </row>
    <row r="710" spans="1:12" x14ac:dyDescent="0.25">
      <c r="A710" s="5">
        <f t="shared" si="33"/>
        <v>2025</v>
      </c>
      <c r="B710" s="18" t="s">
        <v>1370</v>
      </c>
      <c r="C710" s="18" t="s">
        <v>595</v>
      </c>
      <c r="D710" s="12">
        <v>6422</v>
      </c>
      <c r="E710" s="17" t="s">
        <v>897</v>
      </c>
      <c r="F710" s="12" t="s">
        <v>898</v>
      </c>
      <c r="G710" s="14">
        <v>1</v>
      </c>
      <c r="H710" s="24">
        <v>287000</v>
      </c>
      <c r="I710" s="12" t="s">
        <v>712</v>
      </c>
      <c r="J710" s="6" t="s">
        <v>608</v>
      </c>
      <c r="K710" s="6">
        <f t="shared" si="34"/>
        <v>12</v>
      </c>
      <c r="L710" s="6" t="str">
        <f t="shared" si="35"/>
        <v>DICIEMBRE</v>
      </c>
    </row>
    <row r="711" spans="1:12" x14ac:dyDescent="0.25">
      <c r="A711" s="5">
        <f t="shared" si="33"/>
        <v>2025</v>
      </c>
      <c r="B711" s="18" t="s">
        <v>1005</v>
      </c>
      <c r="C711" s="18" t="s">
        <v>595</v>
      </c>
      <c r="D711" s="12">
        <v>6047</v>
      </c>
      <c r="E711" s="17">
        <v>7059</v>
      </c>
      <c r="F711" s="12" t="s">
        <v>27</v>
      </c>
      <c r="G711" s="14">
        <v>1</v>
      </c>
      <c r="H711" s="24">
        <v>175000</v>
      </c>
      <c r="I711" s="12" t="s">
        <v>712</v>
      </c>
      <c r="J711" s="6" t="s">
        <v>608</v>
      </c>
      <c r="K711" s="6">
        <f t="shared" si="34"/>
        <v>5</v>
      </c>
      <c r="L711" s="6" t="str">
        <f t="shared" si="35"/>
        <v>MAYO</v>
      </c>
    </row>
    <row r="712" spans="1:12" x14ac:dyDescent="0.25">
      <c r="A712" s="5">
        <f t="shared" si="33"/>
        <v>2025</v>
      </c>
      <c r="B712" s="18" t="s">
        <v>1370</v>
      </c>
      <c r="C712" s="18" t="s">
        <v>595</v>
      </c>
      <c r="D712" s="12">
        <v>6422</v>
      </c>
      <c r="E712" s="17" t="s">
        <v>419</v>
      </c>
      <c r="F712" s="12" t="s">
        <v>420</v>
      </c>
      <c r="G712" s="14">
        <v>1</v>
      </c>
      <c r="H712" s="24">
        <v>215000</v>
      </c>
      <c r="I712" s="12" t="s">
        <v>712</v>
      </c>
      <c r="J712" s="6" t="s">
        <v>608</v>
      </c>
      <c r="K712" s="6">
        <f t="shared" si="34"/>
        <v>12</v>
      </c>
      <c r="L712" s="6" t="str">
        <f t="shared" si="35"/>
        <v>DICIEMBRE</v>
      </c>
    </row>
    <row r="713" spans="1:12" x14ac:dyDescent="0.25">
      <c r="A713" s="5">
        <f t="shared" si="33"/>
        <v>2025</v>
      </c>
      <c r="B713" s="18" t="s">
        <v>1370</v>
      </c>
      <c r="C713" s="18" t="s">
        <v>595</v>
      </c>
      <c r="D713" s="12">
        <v>6422</v>
      </c>
      <c r="E713" s="17" t="s">
        <v>986</v>
      </c>
      <c r="F713" s="12" t="s">
        <v>987</v>
      </c>
      <c r="G713" s="14">
        <v>3</v>
      </c>
      <c r="H713" s="24">
        <v>24000</v>
      </c>
      <c r="I713" s="12" t="s">
        <v>712</v>
      </c>
      <c r="J713" s="6" t="s">
        <v>608</v>
      </c>
      <c r="K713" s="6">
        <f t="shared" si="34"/>
        <v>12</v>
      </c>
      <c r="L713" s="6" t="str">
        <f t="shared" si="35"/>
        <v>DICIEMBRE</v>
      </c>
    </row>
    <row r="714" spans="1:12" x14ac:dyDescent="0.25">
      <c r="A714" s="5">
        <f t="shared" si="33"/>
        <v>2025</v>
      </c>
      <c r="B714" s="18" t="s">
        <v>1370</v>
      </c>
      <c r="C714" s="18" t="s">
        <v>595</v>
      </c>
      <c r="D714" s="12">
        <v>6422</v>
      </c>
      <c r="E714" s="17" t="s">
        <v>348</v>
      </c>
      <c r="F714" s="12" t="s">
        <v>349</v>
      </c>
      <c r="G714" s="14">
        <v>4</v>
      </c>
      <c r="H714" s="24">
        <v>4800</v>
      </c>
      <c r="I714" s="12" t="s">
        <v>712</v>
      </c>
      <c r="J714" s="6" t="s">
        <v>608</v>
      </c>
      <c r="K714" s="6">
        <f t="shared" si="34"/>
        <v>12</v>
      </c>
      <c r="L714" s="6" t="str">
        <f t="shared" si="35"/>
        <v>DICIEMBRE</v>
      </c>
    </row>
    <row r="715" spans="1:12" x14ac:dyDescent="0.25">
      <c r="A715" s="5">
        <f t="shared" si="33"/>
        <v>2025</v>
      </c>
      <c r="B715" s="18" t="s">
        <v>1370</v>
      </c>
      <c r="C715" s="18" t="s">
        <v>595</v>
      </c>
      <c r="D715" s="12">
        <v>6422</v>
      </c>
      <c r="E715" s="17" t="s">
        <v>436</v>
      </c>
      <c r="F715" s="12" t="s">
        <v>437</v>
      </c>
      <c r="G715" s="14">
        <v>1</v>
      </c>
      <c r="H715" s="24">
        <v>57000</v>
      </c>
      <c r="I715" s="12" t="s">
        <v>712</v>
      </c>
      <c r="J715" s="6" t="s">
        <v>608</v>
      </c>
      <c r="K715" s="6">
        <f t="shared" si="34"/>
        <v>12</v>
      </c>
      <c r="L715" s="6" t="str">
        <f t="shared" si="35"/>
        <v>DICIEMBRE</v>
      </c>
    </row>
    <row r="716" spans="1:12" x14ac:dyDescent="0.25">
      <c r="A716" s="5">
        <f t="shared" si="33"/>
        <v>2025</v>
      </c>
      <c r="B716" s="18" t="s">
        <v>1370</v>
      </c>
      <c r="C716" s="18" t="s">
        <v>595</v>
      </c>
      <c r="D716" s="12">
        <v>6422</v>
      </c>
      <c r="E716" s="17" t="s">
        <v>245</v>
      </c>
      <c r="F716" s="12" t="s">
        <v>246</v>
      </c>
      <c r="G716" s="14">
        <v>8</v>
      </c>
      <c r="H716" s="24">
        <v>44000</v>
      </c>
      <c r="I716" s="12" t="s">
        <v>712</v>
      </c>
      <c r="J716" s="6" t="s">
        <v>608</v>
      </c>
      <c r="K716" s="6">
        <f t="shared" si="34"/>
        <v>12</v>
      </c>
      <c r="L716" s="6" t="str">
        <f t="shared" si="35"/>
        <v>DICIEMBRE</v>
      </c>
    </row>
    <row r="717" spans="1:12" x14ac:dyDescent="0.25">
      <c r="A717" s="5">
        <f t="shared" si="33"/>
        <v>2025</v>
      </c>
      <c r="B717" s="18" t="s">
        <v>1190</v>
      </c>
      <c r="C717" s="18" t="s">
        <v>595</v>
      </c>
      <c r="D717" s="12">
        <v>6301</v>
      </c>
      <c r="E717" s="17" t="s">
        <v>1195</v>
      </c>
      <c r="F717" s="12" t="s">
        <v>1196</v>
      </c>
      <c r="G717" s="14">
        <v>2</v>
      </c>
      <c r="H717" s="24">
        <v>380000</v>
      </c>
      <c r="I717" s="12" t="s">
        <v>634</v>
      </c>
      <c r="J717" s="6" t="s">
        <v>614</v>
      </c>
      <c r="K717" s="6">
        <f t="shared" si="34"/>
        <v>10</v>
      </c>
      <c r="L717" s="6" t="str">
        <f t="shared" si="35"/>
        <v>OCTUBRE</v>
      </c>
    </row>
    <row r="718" spans="1:12" x14ac:dyDescent="0.25">
      <c r="A718" s="5">
        <f t="shared" si="33"/>
        <v>2025</v>
      </c>
      <c r="B718" s="18" t="s">
        <v>1190</v>
      </c>
      <c r="C718" s="18" t="s">
        <v>595</v>
      </c>
      <c r="D718" s="12">
        <v>6301</v>
      </c>
      <c r="E718" s="17" t="s">
        <v>562</v>
      </c>
      <c r="F718" s="12" t="s">
        <v>577</v>
      </c>
      <c r="G718" s="14">
        <v>2</v>
      </c>
      <c r="H718" s="24">
        <v>6240000</v>
      </c>
      <c r="I718" s="12" t="s">
        <v>634</v>
      </c>
      <c r="J718" s="6" t="s">
        <v>614</v>
      </c>
      <c r="K718" s="6">
        <f t="shared" si="34"/>
        <v>10</v>
      </c>
      <c r="L718" s="6" t="str">
        <f t="shared" si="35"/>
        <v>OCTUBRE</v>
      </c>
    </row>
    <row r="719" spans="1:12" x14ac:dyDescent="0.25">
      <c r="A719" s="5">
        <f t="shared" si="33"/>
        <v>2025</v>
      </c>
      <c r="B719" s="18" t="s">
        <v>1370</v>
      </c>
      <c r="C719" s="18" t="s">
        <v>595</v>
      </c>
      <c r="D719" s="12">
        <v>6422</v>
      </c>
      <c r="E719" s="17" t="s">
        <v>357</v>
      </c>
      <c r="F719" s="12" t="s">
        <v>358</v>
      </c>
      <c r="G719" s="14">
        <v>1</v>
      </c>
      <c r="H719" s="24">
        <v>99000</v>
      </c>
      <c r="I719" s="12" t="s">
        <v>712</v>
      </c>
      <c r="J719" s="6" t="s">
        <v>608</v>
      </c>
      <c r="K719" s="6">
        <f t="shared" si="34"/>
        <v>12</v>
      </c>
      <c r="L719" s="6" t="str">
        <f t="shared" si="35"/>
        <v>DICIEMBRE</v>
      </c>
    </row>
    <row r="720" spans="1:12" x14ac:dyDescent="0.25">
      <c r="A720" s="5">
        <f t="shared" si="33"/>
        <v>2025</v>
      </c>
      <c r="B720" s="18" t="s">
        <v>1370</v>
      </c>
      <c r="C720" s="18" t="s">
        <v>595</v>
      </c>
      <c r="D720" s="12">
        <v>6424</v>
      </c>
      <c r="E720" s="17" t="s">
        <v>556</v>
      </c>
      <c r="F720" s="12" t="s">
        <v>557</v>
      </c>
      <c r="G720" s="14">
        <v>1</v>
      </c>
      <c r="H720" s="24">
        <v>8500000</v>
      </c>
      <c r="I720" s="12" t="s">
        <v>634</v>
      </c>
      <c r="J720" s="6" t="s">
        <v>614</v>
      </c>
      <c r="K720" s="6">
        <f t="shared" si="34"/>
        <v>12</v>
      </c>
      <c r="L720" s="6" t="str">
        <f t="shared" si="35"/>
        <v>DICIEMBRE</v>
      </c>
    </row>
    <row r="721" spans="1:12" x14ac:dyDescent="0.25">
      <c r="A721" s="5">
        <f t="shared" si="33"/>
        <v>2025</v>
      </c>
      <c r="B721" s="18" t="s">
        <v>1076</v>
      </c>
      <c r="C721" s="18" t="s">
        <v>595</v>
      </c>
      <c r="D721" s="12">
        <v>6173</v>
      </c>
      <c r="E721" s="17" t="s">
        <v>1086</v>
      </c>
      <c r="F721" s="12" t="s">
        <v>1087</v>
      </c>
      <c r="G721" s="14">
        <v>4</v>
      </c>
      <c r="H721" s="24">
        <v>1200000</v>
      </c>
      <c r="I721" s="12" t="s">
        <v>634</v>
      </c>
      <c r="J721" s="6" t="s">
        <v>614</v>
      </c>
      <c r="K721" s="6">
        <f t="shared" si="34"/>
        <v>7</v>
      </c>
      <c r="L721" s="6" t="str">
        <f t="shared" si="35"/>
        <v>JULIO</v>
      </c>
    </row>
    <row r="722" spans="1:12" x14ac:dyDescent="0.25">
      <c r="A722" s="5">
        <f t="shared" si="33"/>
        <v>2025</v>
      </c>
      <c r="B722" s="18" t="s">
        <v>1176</v>
      </c>
      <c r="C722" s="18" t="s">
        <v>595</v>
      </c>
      <c r="D722" s="12">
        <v>6265</v>
      </c>
      <c r="E722" s="17" t="s">
        <v>23</v>
      </c>
      <c r="F722" s="12" t="s">
        <v>24</v>
      </c>
      <c r="G722" s="14">
        <v>1</v>
      </c>
      <c r="H722" s="24">
        <v>280000</v>
      </c>
      <c r="I722" s="12" t="s">
        <v>712</v>
      </c>
      <c r="J722" s="6" t="s">
        <v>608</v>
      </c>
      <c r="K722" s="6">
        <f t="shared" si="34"/>
        <v>9</v>
      </c>
      <c r="L722" s="6" t="str">
        <f t="shared" si="35"/>
        <v>SEPTIEMBRE</v>
      </c>
    </row>
    <row r="723" spans="1:12" x14ac:dyDescent="0.25">
      <c r="A723" s="5">
        <f t="shared" si="33"/>
        <v>2025</v>
      </c>
      <c r="B723" s="18" t="s">
        <v>1176</v>
      </c>
      <c r="C723" s="18" t="s">
        <v>595</v>
      </c>
      <c r="D723" s="12">
        <v>6265</v>
      </c>
      <c r="E723" s="17" t="s">
        <v>375</v>
      </c>
      <c r="F723" s="12" t="s">
        <v>376</v>
      </c>
      <c r="G723" s="14">
        <v>2</v>
      </c>
      <c r="H723" s="24">
        <v>44000</v>
      </c>
      <c r="I723" s="12" t="s">
        <v>712</v>
      </c>
      <c r="J723" s="6" t="s">
        <v>608</v>
      </c>
      <c r="K723" s="6">
        <f t="shared" si="34"/>
        <v>9</v>
      </c>
      <c r="L723" s="6" t="str">
        <f t="shared" si="35"/>
        <v>SEPTIEMBRE</v>
      </c>
    </row>
    <row r="724" spans="1:12" x14ac:dyDescent="0.25">
      <c r="A724" s="5">
        <f t="shared" si="33"/>
        <v>2025</v>
      </c>
      <c r="B724" s="18" t="s">
        <v>1176</v>
      </c>
      <c r="C724" s="18" t="s">
        <v>595</v>
      </c>
      <c r="D724" s="12">
        <v>6265</v>
      </c>
      <c r="E724" s="17" t="s">
        <v>715</v>
      </c>
      <c r="F724" s="12" t="s">
        <v>721</v>
      </c>
      <c r="G724" s="14">
        <v>1</v>
      </c>
      <c r="H724" s="24">
        <v>384000</v>
      </c>
      <c r="I724" s="12" t="s">
        <v>712</v>
      </c>
      <c r="J724" s="6" t="s">
        <v>608</v>
      </c>
      <c r="K724" s="6">
        <f t="shared" si="34"/>
        <v>9</v>
      </c>
      <c r="L724" s="6" t="str">
        <f t="shared" si="35"/>
        <v>SEPTIEMBRE</v>
      </c>
    </row>
    <row r="725" spans="1:12" x14ac:dyDescent="0.25">
      <c r="A725" s="5">
        <f t="shared" si="33"/>
        <v>2025</v>
      </c>
      <c r="B725" s="18" t="s">
        <v>1271</v>
      </c>
      <c r="C725" s="18" t="s">
        <v>595</v>
      </c>
      <c r="D725" s="12">
        <v>6361</v>
      </c>
      <c r="E725" s="17" t="s">
        <v>305</v>
      </c>
      <c r="F725" s="12" t="s">
        <v>306</v>
      </c>
      <c r="G725" s="14">
        <v>1</v>
      </c>
      <c r="H725" s="24">
        <v>309000</v>
      </c>
      <c r="I725" s="12" t="s">
        <v>634</v>
      </c>
      <c r="J725" s="6" t="s">
        <v>614</v>
      </c>
      <c r="K725" s="6">
        <f t="shared" si="34"/>
        <v>11</v>
      </c>
      <c r="L725" s="6" t="str">
        <f t="shared" si="35"/>
        <v>NOVIEMBRE</v>
      </c>
    </row>
    <row r="726" spans="1:12" x14ac:dyDescent="0.25">
      <c r="A726" s="5">
        <f t="shared" si="33"/>
        <v>2025</v>
      </c>
      <c r="B726" s="18" t="s">
        <v>1271</v>
      </c>
      <c r="C726" s="18" t="s">
        <v>595</v>
      </c>
      <c r="D726" s="12">
        <v>6361</v>
      </c>
      <c r="E726" s="17" t="s">
        <v>562</v>
      </c>
      <c r="F726" s="12" t="s">
        <v>577</v>
      </c>
      <c r="G726" s="14">
        <v>1</v>
      </c>
      <c r="H726" s="24">
        <v>3120000</v>
      </c>
      <c r="I726" s="12" t="s">
        <v>634</v>
      </c>
      <c r="J726" s="6" t="s">
        <v>614</v>
      </c>
      <c r="K726" s="6">
        <f t="shared" si="34"/>
        <v>11</v>
      </c>
      <c r="L726" s="6" t="str">
        <f t="shared" si="35"/>
        <v>NOVIEMBRE</v>
      </c>
    </row>
    <row r="727" spans="1:12" x14ac:dyDescent="0.25">
      <c r="A727" s="5">
        <f t="shared" si="33"/>
        <v>2025</v>
      </c>
      <c r="B727" s="18" t="s">
        <v>1291</v>
      </c>
      <c r="C727" s="18" t="s">
        <v>595</v>
      </c>
      <c r="D727" s="12">
        <v>6380</v>
      </c>
      <c r="E727" s="17" t="s">
        <v>423</v>
      </c>
      <c r="F727" s="12" t="s">
        <v>424</v>
      </c>
      <c r="G727" s="14">
        <v>1</v>
      </c>
      <c r="H727" s="24">
        <v>82000</v>
      </c>
      <c r="I727" s="12" t="s">
        <v>712</v>
      </c>
      <c r="J727" s="6" t="s">
        <v>608</v>
      </c>
      <c r="K727" s="6">
        <f t="shared" si="34"/>
        <v>12</v>
      </c>
      <c r="L727" s="6" t="str">
        <f t="shared" si="35"/>
        <v>DICIEMBRE</v>
      </c>
    </row>
    <row r="728" spans="1:12" x14ac:dyDescent="0.25">
      <c r="A728" s="5">
        <f t="shared" si="33"/>
        <v>2025</v>
      </c>
      <c r="B728" s="18" t="s">
        <v>1209</v>
      </c>
      <c r="C728" s="18" t="s">
        <v>595</v>
      </c>
      <c r="D728" s="12">
        <v>6314</v>
      </c>
      <c r="E728" s="17" t="s">
        <v>432</v>
      </c>
      <c r="F728" s="12" t="s">
        <v>433</v>
      </c>
      <c r="G728" s="14">
        <v>1</v>
      </c>
      <c r="H728" s="24">
        <v>65974</v>
      </c>
      <c r="I728" s="12" t="s">
        <v>634</v>
      </c>
      <c r="J728" s="6" t="s">
        <v>614</v>
      </c>
      <c r="K728" s="6">
        <f t="shared" si="34"/>
        <v>10</v>
      </c>
      <c r="L728" s="6" t="str">
        <f t="shared" si="35"/>
        <v>OCTUBRE</v>
      </c>
    </row>
    <row r="729" spans="1:12" x14ac:dyDescent="0.25">
      <c r="A729" s="5">
        <f t="shared" si="33"/>
        <v>2025</v>
      </c>
      <c r="B729" s="18" t="s">
        <v>1209</v>
      </c>
      <c r="C729" s="18" t="s">
        <v>595</v>
      </c>
      <c r="D729" s="12">
        <v>6314</v>
      </c>
      <c r="E729" s="17" t="s">
        <v>556</v>
      </c>
      <c r="F729" s="12" t="s">
        <v>557</v>
      </c>
      <c r="G729" s="14">
        <v>1</v>
      </c>
      <c r="H729" s="24">
        <v>8500000</v>
      </c>
      <c r="I729" s="12" t="s">
        <v>634</v>
      </c>
      <c r="J729" s="6" t="s">
        <v>614</v>
      </c>
      <c r="K729" s="6">
        <f t="shared" si="34"/>
        <v>10</v>
      </c>
      <c r="L729" s="6" t="str">
        <f t="shared" si="35"/>
        <v>OCTUBRE</v>
      </c>
    </row>
    <row r="730" spans="1:12" x14ac:dyDescent="0.25">
      <c r="A730" s="5">
        <f t="shared" si="33"/>
        <v>2025</v>
      </c>
      <c r="B730" s="18" t="s">
        <v>1291</v>
      </c>
      <c r="C730" s="18" t="s">
        <v>595</v>
      </c>
      <c r="D730" s="12">
        <v>6380</v>
      </c>
      <c r="E730" s="17" t="s">
        <v>986</v>
      </c>
      <c r="F730" s="12" t="s">
        <v>987</v>
      </c>
      <c r="G730" s="14">
        <v>2</v>
      </c>
      <c r="H730" s="24">
        <v>16000</v>
      </c>
      <c r="I730" s="12" t="s">
        <v>712</v>
      </c>
      <c r="J730" s="6" t="s">
        <v>608</v>
      </c>
      <c r="K730" s="6">
        <f t="shared" si="34"/>
        <v>12</v>
      </c>
      <c r="L730" s="6" t="str">
        <f t="shared" si="35"/>
        <v>DICIEMBRE</v>
      </c>
    </row>
    <row r="731" spans="1:12" x14ac:dyDescent="0.25">
      <c r="A731" s="5">
        <f t="shared" si="33"/>
        <v>2025</v>
      </c>
      <c r="B731" s="18" t="s">
        <v>1370</v>
      </c>
      <c r="C731" s="18" t="s">
        <v>595</v>
      </c>
      <c r="D731" s="12">
        <v>6423</v>
      </c>
      <c r="E731" s="17" t="s">
        <v>1197</v>
      </c>
      <c r="F731" s="12" t="s">
        <v>166</v>
      </c>
      <c r="G731" s="14">
        <v>8</v>
      </c>
      <c r="H731" s="24">
        <v>840000</v>
      </c>
      <c r="I731" s="12" t="s">
        <v>634</v>
      </c>
      <c r="J731" s="6" t="s">
        <v>614</v>
      </c>
      <c r="K731" s="6">
        <f t="shared" si="34"/>
        <v>12</v>
      </c>
      <c r="L731" s="6" t="str">
        <f t="shared" si="35"/>
        <v>DICIEMBRE</v>
      </c>
    </row>
    <row r="732" spans="1:12" x14ac:dyDescent="0.25">
      <c r="A732" s="5">
        <f t="shared" si="33"/>
        <v>2025</v>
      </c>
      <c r="B732" s="18" t="s">
        <v>1291</v>
      </c>
      <c r="C732" s="18" t="s">
        <v>595</v>
      </c>
      <c r="D732" s="12">
        <v>6380</v>
      </c>
      <c r="E732" s="17" t="s">
        <v>889</v>
      </c>
      <c r="F732" s="12" t="s">
        <v>891</v>
      </c>
      <c r="G732" s="14">
        <v>4</v>
      </c>
      <c r="H732" s="24">
        <v>116000</v>
      </c>
      <c r="I732" s="12" t="s">
        <v>712</v>
      </c>
      <c r="J732" s="6" t="s">
        <v>608</v>
      </c>
      <c r="K732" s="6">
        <f t="shared" si="34"/>
        <v>12</v>
      </c>
      <c r="L732" s="6" t="str">
        <f t="shared" si="35"/>
        <v>DICIEMBRE</v>
      </c>
    </row>
    <row r="733" spans="1:12" x14ac:dyDescent="0.25">
      <c r="A733" s="5">
        <f t="shared" si="33"/>
        <v>2025</v>
      </c>
      <c r="B733" s="18" t="s">
        <v>1291</v>
      </c>
      <c r="C733" s="18" t="s">
        <v>595</v>
      </c>
      <c r="D733" s="12">
        <v>6380</v>
      </c>
      <c r="E733" s="17" t="s">
        <v>371</v>
      </c>
      <c r="F733" s="12" t="s">
        <v>372</v>
      </c>
      <c r="G733" s="14">
        <v>2</v>
      </c>
      <c r="H733" s="24">
        <v>376000</v>
      </c>
      <c r="I733" s="12" t="s">
        <v>712</v>
      </c>
      <c r="J733" s="6" t="s">
        <v>608</v>
      </c>
      <c r="K733" s="6">
        <f t="shared" si="34"/>
        <v>12</v>
      </c>
      <c r="L733" s="6" t="str">
        <f t="shared" si="35"/>
        <v>DICIEMBRE</v>
      </c>
    </row>
    <row r="734" spans="1:12" x14ac:dyDescent="0.25">
      <c r="A734" s="5">
        <f t="shared" si="33"/>
        <v>2025</v>
      </c>
      <c r="B734" s="18" t="s">
        <v>1291</v>
      </c>
      <c r="C734" s="18" t="s">
        <v>595</v>
      </c>
      <c r="D734" s="12">
        <v>6380</v>
      </c>
      <c r="E734" s="17" t="s">
        <v>482</v>
      </c>
      <c r="F734" s="12" t="s">
        <v>483</v>
      </c>
      <c r="G734" s="14">
        <v>1</v>
      </c>
      <c r="H734" s="24">
        <v>445000</v>
      </c>
      <c r="I734" s="12" t="s">
        <v>712</v>
      </c>
      <c r="J734" s="6" t="s">
        <v>608</v>
      </c>
      <c r="K734" s="6">
        <f t="shared" si="34"/>
        <v>12</v>
      </c>
      <c r="L734" s="6" t="str">
        <f t="shared" si="35"/>
        <v>DICIEMBRE</v>
      </c>
    </row>
    <row r="735" spans="1:12" x14ac:dyDescent="0.25">
      <c r="A735" s="5">
        <f t="shared" si="33"/>
        <v>2025</v>
      </c>
      <c r="B735" s="18" t="s">
        <v>1291</v>
      </c>
      <c r="C735" s="18" t="s">
        <v>595</v>
      </c>
      <c r="D735" s="12">
        <v>6380</v>
      </c>
      <c r="E735" s="17" t="s">
        <v>274</v>
      </c>
      <c r="F735" s="12" t="s">
        <v>275</v>
      </c>
      <c r="G735" s="14">
        <v>1</v>
      </c>
      <c r="H735" s="24">
        <v>62000</v>
      </c>
      <c r="I735" s="12" t="s">
        <v>712</v>
      </c>
      <c r="J735" s="6" t="s">
        <v>608</v>
      </c>
      <c r="K735" s="6">
        <f t="shared" si="34"/>
        <v>12</v>
      </c>
      <c r="L735" s="6" t="str">
        <f t="shared" si="35"/>
        <v>DICIEMBRE</v>
      </c>
    </row>
    <row r="736" spans="1:12" x14ac:dyDescent="0.25">
      <c r="A736" s="5">
        <f t="shared" si="33"/>
        <v>2025</v>
      </c>
      <c r="B736" s="18" t="s">
        <v>1291</v>
      </c>
      <c r="C736" s="18" t="s">
        <v>595</v>
      </c>
      <c r="D736" s="12">
        <v>6380</v>
      </c>
      <c r="E736" s="17" t="s">
        <v>213</v>
      </c>
      <c r="F736" s="12" t="s">
        <v>214</v>
      </c>
      <c r="G736" s="14">
        <v>1</v>
      </c>
      <c r="H736" s="24">
        <v>1200000</v>
      </c>
      <c r="I736" s="12" t="s">
        <v>712</v>
      </c>
      <c r="J736" s="6" t="s">
        <v>608</v>
      </c>
      <c r="K736" s="6">
        <f t="shared" si="34"/>
        <v>12</v>
      </c>
      <c r="L736" s="6" t="str">
        <f t="shared" si="35"/>
        <v>DICIEMBRE</v>
      </c>
    </row>
    <row r="737" spans="1:12" x14ac:dyDescent="0.25">
      <c r="A737" s="5">
        <f t="shared" si="33"/>
        <v>2025</v>
      </c>
      <c r="B737" s="18" t="s">
        <v>1291</v>
      </c>
      <c r="C737" s="18" t="s">
        <v>595</v>
      </c>
      <c r="D737" s="12">
        <v>6380</v>
      </c>
      <c r="E737" s="17">
        <v>57</v>
      </c>
      <c r="F737" s="12" t="s">
        <v>581</v>
      </c>
      <c r="G737" s="14">
        <v>1</v>
      </c>
      <c r="H737" s="24">
        <v>45000</v>
      </c>
      <c r="I737" s="12" t="s">
        <v>712</v>
      </c>
      <c r="J737" s="6" t="s">
        <v>608</v>
      </c>
      <c r="K737" s="6">
        <f t="shared" si="34"/>
        <v>12</v>
      </c>
      <c r="L737" s="6" t="str">
        <f t="shared" si="35"/>
        <v>DICIEMBRE</v>
      </c>
    </row>
    <row r="738" spans="1:12" x14ac:dyDescent="0.25">
      <c r="A738" s="5">
        <f t="shared" si="33"/>
        <v>2025</v>
      </c>
      <c r="B738" s="18" t="s">
        <v>1291</v>
      </c>
      <c r="C738" s="18" t="s">
        <v>595</v>
      </c>
      <c r="D738" s="12">
        <v>6380</v>
      </c>
      <c r="E738" s="17" t="s">
        <v>445</v>
      </c>
      <c r="F738" s="12" t="s">
        <v>446</v>
      </c>
      <c r="G738" s="14">
        <v>2</v>
      </c>
      <c r="H738" s="24">
        <v>30000</v>
      </c>
      <c r="I738" s="12" t="s">
        <v>712</v>
      </c>
      <c r="J738" s="6" t="s">
        <v>608</v>
      </c>
      <c r="K738" s="6">
        <f t="shared" si="34"/>
        <v>12</v>
      </c>
      <c r="L738" s="6" t="str">
        <f t="shared" si="35"/>
        <v>DICIEMBRE</v>
      </c>
    </row>
    <row r="739" spans="1:12" x14ac:dyDescent="0.25">
      <c r="A739" s="5">
        <f t="shared" si="33"/>
        <v>2025</v>
      </c>
      <c r="B739" s="18" t="s">
        <v>1291</v>
      </c>
      <c r="C739" s="18" t="s">
        <v>595</v>
      </c>
      <c r="D739" s="12">
        <v>6380</v>
      </c>
      <c r="E739" s="17" t="s">
        <v>188</v>
      </c>
      <c r="F739" s="12" t="s">
        <v>189</v>
      </c>
      <c r="G739" s="14">
        <v>1</v>
      </c>
      <c r="H739" s="24">
        <v>34000</v>
      </c>
      <c r="I739" s="12" t="s">
        <v>712</v>
      </c>
      <c r="J739" s="6" t="s">
        <v>608</v>
      </c>
      <c r="K739" s="6">
        <f t="shared" si="34"/>
        <v>12</v>
      </c>
      <c r="L739" s="6" t="str">
        <f t="shared" si="35"/>
        <v>DICIEMBRE</v>
      </c>
    </row>
    <row r="740" spans="1:12" x14ac:dyDescent="0.25">
      <c r="A740" s="5">
        <f t="shared" si="33"/>
        <v>2025</v>
      </c>
      <c r="B740" s="18" t="s">
        <v>1291</v>
      </c>
      <c r="C740" s="18" t="s">
        <v>595</v>
      </c>
      <c r="D740" s="12">
        <v>6380</v>
      </c>
      <c r="E740" s="17">
        <v>4304023</v>
      </c>
      <c r="F740" s="12" t="s">
        <v>284</v>
      </c>
      <c r="G740" s="14">
        <v>1</v>
      </c>
      <c r="H740" s="24">
        <v>17500</v>
      </c>
      <c r="I740" s="12" t="s">
        <v>712</v>
      </c>
      <c r="J740" s="6" t="s">
        <v>608</v>
      </c>
      <c r="K740" s="6">
        <f t="shared" si="34"/>
        <v>12</v>
      </c>
      <c r="L740" s="6" t="str">
        <f t="shared" si="35"/>
        <v>DICIEMBRE</v>
      </c>
    </row>
    <row r="741" spans="1:12" x14ac:dyDescent="0.25">
      <c r="A741" s="5">
        <f t="shared" si="33"/>
        <v>2025</v>
      </c>
      <c r="B741" s="18" t="s">
        <v>1061</v>
      </c>
      <c r="C741" s="18" t="s">
        <v>595</v>
      </c>
      <c r="D741" s="12">
        <v>6124</v>
      </c>
      <c r="E741" s="17" t="s">
        <v>562</v>
      </c>
      <c r="F741" s="12" t="s">
        <v>577</v>
      </c>
      <c r="G741" s="14">
        <v>1</v>
      </c>
      <c r="H741" s="24">
        <v>2875000</v>
      </c>
      <c r="I741" s="12" t="s">
        <v>712</v>
      </c>
      <c r="J741" s="6" t="s">
        <v>608</v>
      </c>
      <c r="K741" s="6">
        <f t="shared" si="34"/>
        <v>6</v>
      </c>
      <c r="L741" s="6" t="str">
        <f t="shared" si="35"/>
        <v>JUNIO</v>
      </c>
    </row>
    <row r="742" spans="1:12" x14ac:dyDescent="0.25">
      <c r="A742" s="5">
        <f t="shared" si="33"/>
        <v>2025</v>
      </c>
      <c r="B742" s="18" t="s">
        <v>1370</v>
      </c>
      <c r="C742" s="18" t="s">
        <v>595</v>
      </c>
      <c r="D742" s="12">
        <v>6423</v>
      </c>
      <c r="E742" s="17" t="s">
        <v>423</v>
      </c>
      <c r="F742" s="12" t="s">
        <v>424</v>
      </c>
      <c r="G742" s="14">
        <v>3</v>
      </c>
      <c r="H742" s="24">
        <v>264000</v>
      </c>
      <c r="I742" s="12" t="s">
        <v>634</v>
      </c>
      <c r="J742" s="6" t="s">
        <v>614</v>
      </c>
      <c r="K742" s="6">
        <f t="shared" si="34"/>
        <v>12</v>
      </c>
      <c r="L742" s="6" t="str">
        <f t="shared" si="35"/>
        <v>DICIEMBRE</v>
      </c>
    </row>
    <row r="743" spans="1:12" x14ac:dyDescent="0.25">
      <c r="A743" s="5">
        <f t="shared" si="33"/>
        <v>2025</v>
      </c>
      <c r="B743" s="18" t="s">
        <v>1370</v>
      </c>
      <c r="C743" s="18" t="s">
        <v>595</v>
      </c>
      <c r="D743" s="12">
        <v>6425</v>
      </c>
      <c r="E743" s="17" t="s">
        <v>202</v>
      </c>
      <c r="F743" s="12" t="s">
        <v>203</v>
      </c>
      <c r="G743" s="14">
        <v>1</v>
      </c>
      <c r="H743" s="24">
        <v>162000</v>
      </c>
      <c r="I743" s="12" t="s">
        <v>634</v>
      </c>
      <c r="J743" s="6" t="s">
        <v>614</v>
      </c>
      <c r="K743" s="6">
        <f t="shared" si="34"/>
        <v>12</v>
      </c>
      <c r="L743" s="6" t="str">
        <f t="shared" si="35"/>
        <v>DICIEMBRE</v>
      </c>
    </row>
    <row r="744" spans="1:12" x14ac:dyDescent="0.25">
      <c r="A744" s="5">
        <f t="shared" si="33"/>
        <v>2025</v>
      </c>
      <c r="B744" s="18" t="s">
        <v>1186</v>
      </c>
      <c r="C744" s="18" t="s">
        <v>595</v>
      </c>
      <c r="D744" s="12">
        <v>6285</v>
      </c>
      <c r="E744" s="17" t="s">
        <v>264</v>
      </c>
      <c r="F744" s="12" t="s">
        <v>265</v>
      </c>
      <c r="G744" s="14">
        <v>1</v>
      </c>
      <c r="H744" s="24">
        <v>27800</v>
      </c>
      <c r="I744" s="12" t="s">
        <v>712</v>
      </c>
      <c r="J744" s="6" t="s">
        <v>608</v>
      </c>
      <c r="K744" s="6">
        <f t="shared" si="34"/>
        <v>10</v>
      </c>
      <c r="L744" s="6" t="str">
        <f t="shared" si="35"/>
        <v>OCTUBRE</v>
      </c>
    </row>
    <row r="745" spans="1:12" x14ac:dyDescent="0.25">
      <c r="A745" s="5">
        <f t="shared" si="33"/>
        <v>2025</v>
      </c>
      <c r="B745" s="18" t="s">
        <v>1186</v>
      </c>
      <c r="C745" s="18" t="s">
        <v>595</v>
      </c>
      <c r="D745" s="12">
        <v>6285</v>
      </c>
      <c r="E745" s="17" t="s">
        <v>156</v>
      </c>
      <c r="F745" s="12" t="s">
        <v>157</v>
      </c>
      <c r="G745" s="14">
        <v>1</v>
      </c>
      <c r="H745" s="24">
        <v>400000</v>
      </c>
      <c r="I745" s="12" t="s">
        <v>712</v>
      </c>
      <c r="J745" s="6" t="s">
        <v>608</v>
      </c>
      <c r="K745" s="6">
        <f t="shared" si="34"/>
        <v>10</v>
      </c>
      <c r="L745" s="6" t="str">
        <f t="shared" si="35"/>
        <v>OCTUBRE</v>
      </c>
    </row>
    <row r="746" spans="1:12" x14ac:dyDescent="0.25">
      <c r="A746" s="5">
        <f t="shared" si="33"/>
        <v>2025</v>
      </c>
      <c r="B746" s="18" t="s">
        <v>1186</v>
      </c>
      <c r="C746" s="18" t="s">
        <v>595</v>
      </c>
      <c r="D746" s="12">
        <v>6285</v>
      </c>
      <c r="E746" s="17" t="s">
        <v>299</v>
      </c>
      <c r="F746" s="12" t="s">
        <v>300</v>
      </c>
      <c r="G746" s="14">
        <v>1</v>
      </c>
      <c r="H746" s="24">
        <v>59000</v>
      </c>
      <c r="I746" s="12" t="s">
        <v>712</v>
      </c>
      <c r="J746" s="6" t="s">
        <v>608</v>
      </c>
      <c r="K746" s="6">
        <f t="shared" si="34"/>
        <v>10</v>
      </c>
      <c r="L746" s="6" t="str">
        <f t="shared" si="35"/>
        <v>OCTUBRE</v>
      </c>
    </row>
    <row r="747" spans="1:12" x14ac:dyDescent="0.25">
      <c r="A747" s="5">
        <f t="shared" si="33"/>
        <v>2025</v>
      </c>
      <c r="B747" s="18" t="s">
        <v>1186</v>
      </c>
      <c r="C747" s="18" t="s">
        <v>595</v>
      </c>
      <c r="D747" s="12">
        <v>6285</v>
      </c>
      <c r="E747" s="17" t="s">
        <v>241</v>
      </c>
      <c r="F747" s="12" t="s">
        <v>242</v>
      </c>
      <c r="G747" s="14">
        <v>1</v>
      </c>
      <c r="H747" s="24">
        <v>475000</v>
      </c>
      <c r="I747" s="12" t="s">
        <v>712</v>
      </c>
      <c r="J747" s="6" t="s">
        <v>608</v>
      </c>
      <c r="K747" s="6">
        <f t="shared" si="34"/>
        <v>10</v>
      </c>
      <c r="L747" s="6" t="str">
        <f t="shared" si="35"/>
        <v>OCTUBRE</v>
      </c>
    </row>
    <row r="748" spans="1:12" x14ac:dyDescent="0.25">
      <c r="A748" s="5">
        <f t="shared" si="33"/>
        <v>2025</v>
      </c>
      <c r="B748" s="18" t="s">
        <v>1186</v>
      </c>
      <c r="C748" s="18" t="s">
        <v>595</v>
      </c>
      <c r="D748" s="12">
        <v>6285</v>
      </c>
      <c r="E748" s="17" t="s">
        <v>742</v>
      </c>
      <c r="F748" s="12" t="s">
        <v>743</v>
      </c>
      <c r="G748" s="14">
        <v>1</v>
      </c>
      <c r="H748" s="24">
        <v>550000</v>
      </c>
      <c r="I748" s="12" t="s">
        <v>712</v>
      </c>
      <c r="J748" s="6" t="s">
        <v>608</v>
      </c>
      <c r="K748" s="6">
        <f t="shared" si="34"/>
        <v>10</v>
      </c>
      <c r="L748" s="6" t="str">
        <f t="shared" si="35"/>
        <v>OCTUBRE</v>
      </c>
    </row>
    <row r="749" spans="1:12" x14ac:dyDescent="0.25">
      <c r="A749" s="5">
        <f t="shared" si="33"/>
        <v>2025</v>
      </c>
      <c r="B749" s="18" t="s">
        <v>1186</v>
      </c>
      <c r="C749" s="18" t="s">
        <v>595</v>
      </c>
      <c r="D749" s="12">
        <v>6285</v>
      </c>
      <c r="E749" s="17" t="s">
        <v>369</v>
      </c>
      <c r="F749" s="12" t="s">
        <v>370</v>
      </c>
      <c r="G749" s="14">
        <v>2</v>
      </c>
      <c r="H749" s="24">
        <v>322000</v>
      </c>
      <c r="I749" s="12" t="s">
        <v>712</v>
      </c>
      <c r="J749" s="6" t="s">
        <v>608</v>
      </c>
      <c r="K749" s="6">
        <f t="shared" si="34"/>
        <v>10</v>
      </c>
      <c r="L749" s="6" t="str">
        <f t="shared" si="35"/>
        <v>OCTUBRE</v>
      </c>
    </row>
    <row r="750" spans="1:12" x14ac:dyDescent="0.25">
      <c r="A750" s="5">
        <f t="shared" si="33"/>
        <v>2025</v>
      </c>
      <c r="B750" s="18" t="s">
        <v>1186</v>
      </c>
      <c r="C750" s="18" t="s">
        <v>595</v>
      </c>
      <c r="D750" s="12">
        <v>6285</v>
      </c>
      <c r="E750" s="17" t="s">
        <v>35</v>
      </c>
      <c r="F750" s="12" t="s">
        <v>36</v>
      </c>
      <c r="G750" s="14">
        <v>1</v>
      </c>
      <c r="H750" s="24">
        <v>173000</v>
      </c>
      <c r="I750" s="12" t="s">
        <v>712</v>
      </c>
      <c r="J750" s="6" t="s">
        <v>608</v>
      </c>
      <c r="K750" s="6">
        <f t="shared" si="34"/>
        <v>10</v>
      </c>
      <c r="L750" s="6" t="str">
        <f t="shared" si="35"/>
        <v>OCTUBRE</v>
      </c>
    </row>
    <row r="751" spans="1:12" x14ac:dyDescent="0.25">
      <c r="A751" s="5">
        <f t="shared" si="33"/>
        <v>2025</v>
      </c>
      <c r="B751" s="18" t="s">
        <v>1291</v>
      </c>
      <c r="C751" s="18" t="s">
        <v>595</v>
      </c>
      <c r="D751" s="12">
        <v>6380</v>
      </c>
      <c r="E751" s="17">
        <v>210736</v>
      </c>
      <c r="F751" s="12" t="s">
        <v>504</v>
      </c>
      <c r="G751" s="14">
        <v>1</v>
      </c>
      <c r="H751" s="24">
        <v>155000</v>
      </c>
      <c r="I751" s="12" t="s">
        <v>712</v>
      </c>
      <c r="J751" s="6" t="s">
        <v>608</v>
      </c>
      <c r="K751" s="6">
        <f t="shared" si="34"/>
        <v>12</v>
      </c>
      <c r="L751" s="6" t="str">
        <f t="shared" si="35"/>
        <v>DICIEMBRE</v>
      </c>
    </row>
    <row r="752" spans="1:12" x14ac:dyDescent="0.25">
      <c r="A752" s="5">
        <f t="shared" si="33"/>
        <v>2025</v>
      </c>
      <c r="B752" s="18" t="s">
        <v>1049</v>
      </c>
      <c r="C752" s="18" t="s">
        <v>595</v>
      </c>
      <c r="D752" s="12">
        <v>6121</v>
      </c>
      <c r="E752" s="17" t="s">
        <v>297</v>
      </c>
      <c r="F752" s="12" t="s">
        <v>298</v>
      </c>
      <c r="G752" s="14">
        <v>1</v>
      </c>
      <c r="H752" s="24">
        <v>139142</v>
      </c>
      <c r="I752" s="12" t="s">
        <v>712</v>
      </c>
      <c r="J752" s="6" t="s">
        <v>608</v>
      </c>
      <c r="K752" s="6">
        <f t="shared" si="34"/>
        <v>6</v>
      </c>
      <c r="L752" s="6" t="str">
        <f t="shared" si="35"/>
        <v>JUNIO</v>
      </c>
    </row>
    <row r="753" spans="1:12" x14ac:dyDescent="0.25">
      <c r="A753" s="5">
        <f t="shared" si="33"/>
        <v>2025</v>
      </c>
      <c r="B753" s="18" t="s">
        <v>1049</v>
      </c>
      <c r="C753" s="18" t="s">
        <v>595</v>
      </c>
      <c r="D753" s="12">
        <v>6121</v>
      </c>
      <c r="E753" s="17" t="s">
        <v>459</v>
      </c>
      <c r="F753" s="12" t="s">
        <v>460</v>
      </c>
      <c r="G753" s="14">
        <v>2</v>
      </c>
      <c r="H753" s="24">
        <v>130000</v>
      </c>
      <c r="I753" s="12" t="s">
        <v>712</v>
      </c>
      <c r="J753" s="6" t="s">
        <v>608</v>
      </c>
      <c r="K753" s="6">
        <f t="shared" si="34"/>
        <v>6</v>
      </c>
      <c r="L753" s="6" t="str">
        <f t="shared" si="35"/>
        <v>JUNIO</v>
      </c>
    </row>
    <row r="754" spans="1:12" x14ac:dyDescent="0.25">
      <c r="A754" s="5">
        <f t="shared" si="33"/>
        <v>2025</v>
      </c>
      <c r="B754" s="18" t="s">
        <v>1049</v>
      </c>
      <c r="C754" s="18" t="s">
        <v>595</v>
      </c>
      <c r="D754" s="12">
        <v>6121</v>
      </c>
      <c r="E754" s="17" t="s">
        <v>432</v>
      </c>
      <c r="F754" s="12" t="s">
        <v>433</v>
      </c>
      <c r="G754" s="14">
        <v>2</v>
      </c>
      <c r="H754" s="24">
        <v>110000</v>
      </c>
      <c r="I754" s="12" t="s">
        <v>712</v>
      </c>
      <c r="J754" s="6" t="s">
        <v>608</v>
      </c>
      <c r="K754" s="6">
        <f t="shared" si="34"/>
        <v>6</v>
      </c>
      <c r="L754" s="6" t="str">
        <f t="shared" si="35"/>
        <v>JUNIO</v>
      </c>
    </row>
    <row r="755" spans="1:12" x14ac:dyDescent="0.25">
      <c r="A755" s="5">
        <f t="shared" si="33"/>
        <v>2025</v>
      </c>
      <c r="B755" s="18" t="s">
        <v>1260</v>
      </c>
      <c r="C755" s="18" t="s">
        <v>595</v>
      </c>
      <c r="D755" s="12">
        <v>6343</v>
      </c>
      <c r="E755" s="17" t="s">
        <v>232</v>
      </c>
      <c r="F755" s="12" t="s">
        <v>233</v>
      </c>
      <c r="G755" s="14">
        <v>1</v>
      </c>
      <c r="H755" s="24">
        <v>78000</v>
      </c>
      <c r="I755" s="12" t="s">
        <v>712</v>
      </c>
      <c r="J755" s="6" t="s">
        <v>608</v>
      </c>
      <c r="K755" s="6">
        <f t="shared" si="34"/>
        <v>11</v>
      </c>
      <c r="L755" s="6" t="str">
        <f t="shared" si="35"/>
        <v>NOVIEMBRE</v>
      </c>
    </row>
    <row r="756" spans="1:12" x14ac:dyDescent="0.25">
      <c r="A756" s="5">
        <f t="shared" si="33"/>
        <v>2025</v>
      </c>
      <c r="B756" s="18" t="s">
        <v>1260</v>
      </c>
      <c r="C756" s="18" t="s">
        <v>595</v>
      </c>
      <c r="D756" s="12">
        <v>6343</v>
      </c>
      <c r="E756" s="17">
        <v>85003</v>
      </c>
      <c r="F756" s="12" t="s">
        <v>449</v>
      </c>
      <c r="G756" s="14">
        <v>2</v>
      </c>
      <c r="H756" s="24">
        <v>42000</v>
      </c>
      <c r="I756" s="12" t="s">
        <v>712</v>
      </c>
      <c r="J756" s="6" t="s">
        <v>608</v>
      </c>
      <c r="K756" s="6">
        <f t="shared" si="34"/>
        <v>11</v>
      </c>
      <c r="L756" s="6" t="str">
        <f t="shared" si="35"/>
        <v>NOVIEMBRE</v>
      </c>
    </row>
    <row r="757" spans="1:12" x14ac:dyDescent="0.25">
      <c r="A757" s="5">
        <f t="shared" ref="A757:A820" si="36">+YEAR(B757)</f>
        <v>2025</v>
      </c>
      <c r="B757" s="18" t="s">
        <v>1260</v>
      </c>
      <c r="C757" s="18" t="s">
        <v>595</v>
      </c>
      <c r="D757" s="12">
        <v>6343</v>
      </c>
      <c r="E757" s="17" t="s">
        <v>409</v>
      </c>
      <c r="F757" s="12" t="s">
        <v>410</v>
      </c>
      <c r="G757" s="14">
        <v>4</v>
      </c>
      <c r="H757" s="24">
        <v>48000</v>
      </c>
      <c r="I757" s="12" t="s">
        <v>712</v>
      </c>
      <c r="J757" s="6" t="s">
        <v>608</v>
      </c>
      <c r="K757" s="6">
        <f t="shared" ref="K757:K820" si="37">+MONTH(B757)</f>
        <v>11</v>
      </c>
      <c r="L757" s="6" t="str">
        <f t="shared" si="35"/>
        <v>NOVIEMBRE</v>
      </c>
    </row>
    <row r="758" spans="1:12" x14ac:dyDescent="0.25">
      <c r="A758" s="5">
        <f t="shared" si="36"/>
        <v>2025</v>
      </c>
      <c r="B758" s="18" t="s">
        <v>1260</v>
      </c>
      <c r="C758" s="18" t="s">
        <v>595</v>
      </c>
      <c r="D758" s="12">
        <v>6343</v>
      </c>
      <c r="E758" s="17" t="s">
        <v>445</v>
      </c>
      <c r="F758" s="12" t="s">
        <v>446</v>
      </c>
      <c r="G758" s="14">
        <v>2</v>
      </c>
      <c r="H758" s="24">
        <v>30000</v>
      </c>
      <c r="I758" s="12" t="s">
        <v>712</v>
      </c>
      <c r="J758" s="6" t="s">
        <v>608</v>
      </c>
      <c r="K758" s="6">
        <f t="shared" si="37"/>
        <v>11</v>
      </c>
      <c r="L758" s="6" t="str">
        <f t="shared" si="35"/>
        <v>NOVIEMBRE</v>
      </c>
    </row>
    <row r="759" spans="1:12" x14ac:dyDescent="0.25">
      <c r="A759" s="5">
        <f t="shared" si="36"/>
        <v>2025</v>
      </c>
      <c r="B759" s="18" t="s">
        <v>1260</v>
      </c>
      <c r="C759" s="18" t="s">
        <v>595</v>
      </c>
      <c r="D759" s="12">
        <v>6343</v>
      </c>
      <c r="E759" s="17">
        <v>58</v>
      </c>
      <c r="F759" s="12" t="s">
        <v>574</v>
      </c>
      <c r="G759" s="14">
        <v>1</v>
      </c>
      <c r="H759" s="24">
        <v>66000</v>
      </c>
      <c r="I759" s="12" t="s">
        <v>712</v>
      </c>
      <c r="J759" s="6" t="s">
        <v>608</v>
      </c>
      <c r="K759" s="6">
        <f t="shared" si="37"/>
        <v>11</v>
      </c>
      <c r="L759" s="6" t="str">
        <f t="shared" si="35"/>
        <v>NOVIEMBRE</v>
      </c>
    </row>
    <row r="760" spans="1:12" x14ac:dyDescent="0.25">
      <c r="A760" s="5">
        <f t="shared" si="36"/>
        <v>2025</v>
      </c>
      <c r="B760" s="18" t="s">
        <v>1260</v>
      </c>
      <c r="C760" s="18" t="s">
        <v>595</v>
      </c>
      <c r="D760" s="12">
        <v>6343</v>
      </c>
      <c r="E760" s="17" t="s">
        <v>348</v>
      </c>
      <c r="F760" s="12" t="s">
        <v>349</v>
      </c>
      <c r="G760" s="14">
        <v>2</v>
      </c>
      <c r="H760" s="24">
        <v>2400</v>
      </c>
      <c r="I760" s="12" t="s">
        <v>712</v>
      </c>
      <c r="J760" s="6" t="s">
        <v>608</v>
      </c>
      <c r="K760" s="6">
        <f t="shared" si="37"/>
        <v>11</v>
      </c>
      <c r="L760" s="6" t="str">
        <f t="shared" si="35"/>
        <v>NOVIEMBRE</v>
      </c>
    </row>
    <row r="761" spans="1:12" x14ac:dyDescent="0.25">
      <c r="A761" s="5">
        <f t="shared" si="36"/>
        <v>2025</v>
      </c>
      <c r="B761" s="18" t="s">
        <v>1260</v>
      </c>
      <c r="C761" s="18" t="s">
        <v>595</v>
      </c>
      <c r="D761" s="12">
        <v>6343</v>
      </c>
      <c r="E761" s="17" t="s">
        <v>653</v>
      </c>
      <c r="F761" s="12" t="s">
        <v>654</v>
      </c>
      <c r="G761" s="14">
        <v>1</v>
      </c>
      <c r="H761" s="24">
        <v>440000</v>
      </c>
      <c r="I761" s="12" t="s">
        <v>712</v>
      </c>
      <c r="J761" s="6" t="s">
        <v>608</v>
      </c>
      <c r="K761" s="6">
        <f t="shared" si="37"/>
        <v>11</v>
      </c>
      <c r="L761" s="6" t="str">
        <f t="shared" si="35"/>
        <v>NOVIEMBRE</v>
      </c>
    </row>
    <row r="762" spans="1:12" x14ac:dyDescent="0.25">
      <c r="A762" s="5">
        <f t="shared" si="36"/>
        <v>2025</v>
      </c>
      <c r="B762" s="18" t="s">
        <v>1260</v>
      </c>
      <c r="C762" s="18" t="s">
        <v>595</v>
      </c>
      <c r="D762" s="12">
        <v>6343</v>
      </c>
      <c r="E762" s="17" t="s">
        <v>419</v>
      </c>
      <c r="F762" s="12" t="s">
        <v>420</v>
      </c>
      <c r="G762" s="14">
        <v>2</v>
      </c>
      <c r="H762" s="24">
        <v>430000</v>
      </c>
      <c r="I762" s="12" t="s">
        <v>712</v>
      </c>
      <c r="J762" s="6" t="s">
        <v>608</v>
      </c>
      <c r="K762" s="6">
        <f t="shared" si="37"/>
        <v>11</v>
      </c>
      <c r="L762" s="6" t="str">
        <f t="shared" si="35"/>
        <v>NOVIEMBRE</v>
      </c>
    </row>
    <row r="763" spans="1:12" x14ac:dyDescent="0.25">
      <c r="A763" s="5">
        <f t="shared" si="36"/>
        <v>2025</v>
      </c>
      <c r="B763" s="18" t="s">
        <v>1260</v>
      </c>
      <c r="C763" s="18" t="s">
        <v>595</v>
      </c>
      <c r="D763" s="12">
        <v>6343</v>
      </c>
      <c r="E763" s="17" t="s">
        <v>81</v>
      </c>
      <c r="F763" s="12" t="s">
        <v>82</v>
      </c>
      <c r="G763" s="14">
        <v>2</v>
      </c>
      <c r="H763" s="24">
        <v>94000</v>
      </c>
      <c r="I763" s="12" t="s">
        <v>712</v>
      </c>
      <c r="J763" s="6" t="s">
        <v>608</v>
      </c>
      <c r="K763" s="6">
        <f t="shared" si="37"/>
        <v>11</v>
      </c>
      <c r="L763" s="6" t="str">
        <f t="shared" si="35"/>
        <v>NOVIEMBRE</v>
      </c>
    </row>
    <row r="764" spans="1:12" x14ac:dyDescent="0.25">
      <c r="A764" s="5">
        <f t="shared" si="36"/>
        <v>2025</v>
      </c>
      <c r="B764" s="18" t="s">
        <v>1291</v>
      </c>
      <c r="C764" s="18" t="s">
        <v>595</v>
      </c>
      <c r="D764" s="12">
        <v>6381</v>
      </c>
      <c r="E764" s="17" t="s">
        <v>889</v>
      </c>
      <c r="F764" s="12" t="s">
        <v>891</v>
      </c>
      <c r="G764" s="14">
        <v>8</v>
      </c>
      <c r="H764" s="24">
        <v>232000</v>
      </c>
      <c r="I764" s="12" t="s">
        <v>712</v>
      </c>
      <c r="J764" s="6" t="s">
        <v>608</v>
      </c>
      <c r="K764" s="6">
        <f t="shared" si="37"/>
        <v>12</v>
      </c>
      <c r="L764" s="6" t="str">
        <f t="shared" si="35"/>
        <v>DICIEMBRE</v>
      </c>
    </row>
    <row r="765" spans="1:12" x14ac:dyDescent="0.25">
      <c r="A765" s="5">
        <f t="shared" si="36"/>
        <v>2025</v>
      </c>
      <c r="B765" s="18" t="s">
        <v>1354</v>
      </c>
      <c r="C765" s="18" t="s">
        <v>595</v>
      </c>
      <c r="D765" s="12">
        <v>6419</v>
      </c>
      <c r="E765" s="17" t="s">
        <v>1214</v>
      </c>
      <c r="F765" s="12" t="s">
        <v>1217</v>
      </c>
      <c r="G765" s="14">
        <v>2</v>
      </c>
      <c r="H765" s="24">
        <v>1070000</v>
      </c>
      <c r="I765" s="12" t="s">
        <v>634</v>
      </c>
      <c r="J765" s="6" t="s">
        <v>614</v>
      </c>
      <c r="K765" s="6">
        <f t="shared" si="37"/>
        <v>12</v>
      </c>
      <c r="L765" s="6" t="str">
        <f t="shared" si="35"/>
        <v>DICIEMBRE</v>
      </c>
    </row>
    <row r="766" spans="1:12" x14ac:dyDescent="0.25">
      <c r="A766" s="5">
        <f t="shared" si="36"/>
        <v>2025</v>
      </c>
      <c r="B766" s="18" t="s">
        <v>1354</v>
      </c>
      <c r="C766" s="18" t="s">
        <v>595</v>
      </c>
      <c r="D766" s="12">
        <v>6419</v>
      </c>
      <c r="E766" s="17" t="s">
        <v>586</v>
      </c>
      <c r="F766" s="12" t="s">
        <v>587</v>
      </c>
      <c r="G766" s="14">
        <v>4</v>
      </c>
      <c r="H766" s="24">
        <v>304464</v>
      </c>
      <c r="I766" s="12" t="s">
        <v>634</v>
      </c>
      <c r="J766" s="6" t="s">
        <v>614</v>
      </c>
      <c r="K766" s="6">
        <f t="shared" si="37"/>
        <v>12</v>
      </c>
      <c r="L766" s="6" t="str">
        <f t="shared" si="35"/>
        <v>DICIEMBRE</v>
      </c>
    </row>
    <row r="767" spans="1:12" x14ac:dyDescent="0.25">
      <c r="A767" s="5">
        <f t="shared" si="36"/>
        <v>2025</v>
      </c>
      <c r="B767" s="18" t="s">
        <v>1370</v>
      </c>
      <c r="C767" s="18" t="s">
        <v>595</v>
      </c>
      <c r="D767" s="12">
        <v>6426</v>
      </c>
      <c r="E767" s="17" t="s">
        <v>1324</v>
      </c>
      <c r="F767" s="12" t="s">
        <v>1325</v>
      </c>
      <c r="G767" s="14">
        <v>1</v>
      </c>
      <c r="H767" s="24">
        <v>59662</v>
      </c>
      <c r="I767" s="12" t="s">
        <v>705</v>
      </c>
      <c r="J767" s="6" t="s">
        <v>1348</v>
      </c>
      <c r="K767" s="6">
        <f t="shared" si="37"/>
        <v>12</v>
      </c>
      <c r="L767" s="6" t="str">
        <f t="shared" si="35"/>
        <v>DICIEMBRE</v>
      </c>
    </row>
    <row r="768" spans="1:12" x14ac:dyDescent="0.25">
      <c r="A768" s="5">
        <f t="shared" si="36"/>
        <v>2025</v>
      </c>
      <c r="B768" s="18" t="s">
        <v>969</v>
      </c>
      <c r="C768" s="18" t="s">
        <v>595</v>
      </c>
      <c r="D768" s="12">
        <v>6002</v>
      </c>
      <c r="E768" s="17">
        <v>7400850005</v>
      </c>
      <c r="F768" s="12" t="s">
        <v>874</v>
      </c>
      <c r="G768" s="14">
        <v>1</v>
      </c>
      <c r="H768" s="24">
        <v>106000</v>
      </c>
      <c r="I768" s="12" t="s">
        <v>712</v>
      </c>
      <c r="J768" s="6" t="s">
        <v>608</v>
      </c>
      <c r="K768" s="6">
        <f t="shared" si="37"/>
        <v>4</v>
      </c>
      <c r="L768" s="6" t="str">
        <f t="shared" si="35"/>
        <v>ABRIL</v>
      </c>
    </row>
    <row r="769" spans="1:12" x14ac:dyDescent="0.25">
      <c r="A769" s="5">
        <f t="shared" si="36"/>
        <v>2025</v>
      </c>
      <c r="B769" s="18" t="s">
        <v>969</v>
      </c>
      <c r="C769" s="18" t="s">
        <v>595</v>
      </c>
      <c r="D769" s="12">
        <v>6002</v>
      </c>
      <c r="E769" s="17" t="s">
        <v>56</v>
      </c>
      <c r="F769" s="12" t="s">
        <v>57</v>
      </c>
      <c r="G769" s="14">
        <v>2</v>
      </c>
      <c r="H769" s="24">
        <v>44100</v>
      </c>
      <c r="I769" s="12" t="s">
        <v>712</v>
      </c>
      <c r="J769" s="6" t="s">
        <v>608</v>
      </c>
      <c r="K769" s="6">
        <f t="shared" si="37"/>
        <v>4</v>
      </c>
      <c r="L769" s="6" t="str">
        <f t="shared" si="35"/>
        <v>ABRIL</v>
      </c>
    </row>
    <row r="770" spans="1:12" x14ac:dyDescent="0.25">
      <c r="A770" s="5">
        <f t="shared" si="36"/>
        <v>2025</v>
      </c>
      <c r="B770" s="18" t="s">
        <v>1128</v>
      </c>
      <c r="C770" s="18" t="s">
        <v>595</v>
      </c>
      <c r="D770" s="12">
        <v>6212</v>
      </c>
      <c r="E770" s="17" t="s">
        <v>311</v>
      </c>
      <c r="F770" s="12" t="s">
        <v>312</v>
      </c>
      <c r="G770" s="14">
        <v>1</v>
      </c>
      <c r="H770" s="24">
        <v>215000</v>
      </c>
      <c r="I770" s="12" t="s">
        <v>712</v>
      </c>
      <c r="J770" s="6" t="s">
        <v>608</v>
      </c>
      <c r="K770" s="6">
        <f t="shared" si="37"/>
        <v>8</v>
      </c>
      <c r="L770" s="6" t="str">
        <f t="shared" si="35"/>
        <v>AGOSTO</v>
      </c>
    </row>
    <row r="771" spans="1:12" x14ac:dyDescent="0.25">
      <c r="A771" s="5">
        <f t="shared" si="36"/>
        <v>2025</v>
      </c>
      <c r="B771" s="18" t="s">
        <v>1128</v>
      </c>
      <c r="C771" s="18" t="s">
        <v>595</v>
      </c>
      <c r="D771" s="12">
        <v>6212</v>
      </c>
      <c r="E771" s="17">
        <v>5566510</v>
      </c>
      <c r="F771" s="12" t="s">
        <v>324</v>
      </c>
      <c r="G771" s="14">
        <v>1</v>
      </c>
      <c r="H771" s="24">
        <v>339000</v>
      </c>
      <c r="I771" s="12" t="s">
        <v>712</v>
      </c>
      <c r="J771" s="6" t="s">
        <v>608</v>
      </c>
      <c r="K771" s="6">
        <f t="shared" si="37"/>
        <v>8</v>
      </c>
      <c r="L771" s="6" t="str">
        <f t="shared" ref="L771:L834" si="38">VLOOKUP(K771,N:O,2,0)</f>
        <v>AGOSTO</v>
      </c>
    </row>
    <row r="772" spans="1:12" x14ac:dyDescent="0.25">
      <c r="A772" s="5">
        <f t="shared" si="36"/>
        <v>2025</v>
      </c>
      <c r="B772" s="18" t="s">
        <v>1128</v>
      </c>
      <c r="C772" s="18" t="s">
        <v>595</v>
      </c>
      <c r="D772" s="12">
        <v>6212</v>
      </c>
      <c r="E772" s="17" t="s">
        <v>140</v>
      </c>
      <c r="F772" s="12" t="s">
        <v>141</v>
      </c>
      <c r="G772" s="14">
        <v>1</v>
      </c>
      <c r="H772" s="24">
        <v>35000</v>
      </c>
      <c r="I772" s="12" t="s">
        <v>712</v>
      </c>
      <c r="J772" s="6" t="s">
        <v>608</v>
      </c>
      <c r="K772" s="6">
        <f t="shared" si="37"/>
        <v>8</v>
      </c>
      <c r="L772" s="6" t="str">
        <f t="shared" si="38"/>
        <v>AGOSTO</v>
      </c>
    </row>
    <row r="773" spans="1:12" x14ac:dyDescent="0.25">
      <c r="A773" s="5">
        <f t="shared" si="36"/>
        <v>2025</v>
      </c>
      <c r="B773" s="18" t="s">
        <v>1128</v>
      </c>
      <c r="C773" s="18" t="s">
        <v>595</v>
      </c>
      <c r="D773" s="12">
        <v>6212</v>
      </c>
      <c r="E773" s="17" t="s">
        <v>348</v>
      </c>
      <c r="F773" s="12" t="s">
        <v>349</v>
      </c>
      <c r="G773" s="14">
        <v>11</v>
      </c>
      <c r="H773" s="24">
        <v>13200</v>
      </c>
      <c r="I773" s="12" t="s">
        <v>712</v>
      </c>
      <c r="J773" s="6" t="s">
        <v>608</v>
      </c>
      <c r="K773" s="6">
        <f t="shared" si="37"/>
        <v>8</v>
      </c>
      <c r="L773" s="6" t="str">
        <f t="shared" si="38"/>
        <v>AGOSTO</v>
      </c>
    </row>
    <row r="774" spans="1:12" x14ac:dyDescent="0.25">
      <c r="A774" s="5">
        <f t="shared" si="36"/>
        <v>2025</v>
      </c>
      <c r="B774" s="18" t="s">
        <v>1128</v>
      </c>
      <c r="C774" s="18" t="s">
        <v>595</v>
      </c>
      <c r="D774" s="12">
        <v>6212</v>
      </c>
      <c r="E774" s="17" t="s">
        <v>432</v>
      </c>
      <c r="F774" s="12" t="s">
        <v>433</v>
      </c>
      <c r="G774" s="14">
        <v>1</v>
      </c>
      <c r="H774" s="24">
        <v>63000</v>
      </c>
      <c r="I774" s="12" t="s">
        <v>712</v>
      </c>
      <c r="J774" s="6" t="s">
        <v>608</v>
      </c>
      <c r="K774" s="6">
        <f t="shared" si="37"/>
        <v>8</v>
      </c>
      <c r="L774" s="6" t="str">
        <f t="shared" si="38"/>
        <v>AGOSTO</v>
      </c>
    </row>
    <row r="775" spans="1:12" x14ac:dyDescent="0.25">
      <c r="A775" s="5">
        <f t="shared" si="36"/>
        <v>2025</v>
      </c>
      <c r="B775" s="18" t="s">
        <v>1128</v>
      </c>
      <c r="C775" s="18" t="s">
        <v>595</v>
      </c>
      <c r="D775" s="12">
        <v>6212</v>
      </c>
      <c r="E775" s="17" t="s">
        <v>317</v>
      </c>
      <c r="F775" s="12" t="s">
        <v>318</v>
      </c>
      <c r="G775" s="14">
        <v>4</v>
      </c>
      <c r="H775" s="24">
        <v>48000</v>
      </c>
      <c r="I775" s="12" t="s">
        <v>712</v>
      </c>
      <c r="J775" s="6" t="s">
        <v>608</v>
      </c>
      <c r="K775" s="6">
        <f t="shared" si="37"/>
        <v>8</v>
      </c>
      <c r="L775" s="6" t="str">
        <f t="shared" si="38"/>
        <v>AGOSTO</v>
      </c>
    </row>
    <row r="776" spans="1:12" x14ac:dyDescent="0.25">
      <c r="A776" s="5">
        <f t="shared" si="36"/>
        <v>2025</v>
      </c>
      <c r="B776" s="18" t="s">
        <v>1128</v>
      </c>
      <c r="C776" s="18" t="s">
        <v>595</v>
      </c>
      <c r="D776" s="12">
        <v>6212</v>
      </c>
      <c r="E776" s="17" t="s">
        <v>329</v>
      </c>
      <c r="F776" s="12" t="s">
        <v>330</v>
      </c>
      <c r="G776" s="14">
        <v>1</v>
      </c>
      <c r="H776" s="24">
        <v>385000</v>
      </c>
      <c r="I776" s="12" t="s">
        <v>712</v>
      </c>
      <c r="J776" s="6" t="s">
        <v>608</v>
      </c>
      <c r="K776" s="6">
        <f t="shared" si="37"/>
        <v>8</v>
      </c>
      <c r="L776" s="6" t="str">
        <f t="shared" si="38"/>
        <v>AGOSTO</v>
      </c>
    </row>
    <row r="777" spans="1:12" x14ac:dyDescent="0.25">
      <c r="A777" s="5">
        <f t="shared" si="36"/>
        <v>2025</v>
      </c>
      <c r="B777" s="18" t="s">
        <v>1128</v>
      </c>
      <c r="C777" s="18" t="s">
        <v>595</v>
      </c>
      <c r="D777" s="12">
        <v>6212</v>
      </c>
      <c r="E777" s="17" t="s">
        <v>472</v>
      </c>
      <c r="F777" s="12" t="s">
        <v>473</v>
      </c>
      <c r="G777" s="14">
        <v>1</v>
      </c>
      <c r="H777" s="24">
        <v>49000</v>
      </c>
      <c r="I777" s="12" t="s">
        <v>712</v>
      </c>
      <c r="J777" s="6" t="s">
        <v>608</v>
      </c>
      <c r="K777" s="6">
        <f t="shared" si="37"/>
        <v>8</v>
      </c>
      <c r="L777" s="6" t="str">
        <f t="shared" si="38"/>
        <v>AGOSTO</v>
      </c>
    </row>
    <row r="778" spans="1:12" x14ac:dyDescent="0.25">
      <c r="A778" s="5">
        <f t="shared" si="36"/>
        <v>2025</v>
      </c>
      <c r="B778" s="18" t="s">
        <v>1128</v>
      </c>
      <c r="C778" s="18" t="s">
        <v>595</v>
      </c>
      <c r="D778" s="12">
        <v>6212</v>
      </c>
      <c r="E778" s="17">
        <v>4301254</v>
      </c>
      <c r="F778" s="12" t="s">
        <v>403</v>
      </c>
      <c r="G778" s="14">
        <v>1</v>
      </c>
      <c r="H778" s="24">
        <v>3000</v>
      </c>
      <c r="I778" s="12" t="s">
        <v>712</v>
      </c>
      <c r="J778" s="6" t="s">
        <v>608</v>
      </c>
      <c r="K778" s="6">
        <f t="shared" si="37"/>
        <v>8</v>
      </c>
      <c r="L778" s="6" t="str">
        <f t="shared" si="38"/>
        <v>AGOSTO</v>
      </c>
    </row>
    <row r="779" spans="1:12" x14ac:dyDescent="0.25">
      <c r="A779" s="5">
        <f t="shared" si="36"/>
        <v>2025</v>
      </c>
      <c r="B779" s="18" t="s">
        <v>1128</v>
      </c>
      <c r="C779" s="18" t="s">
        <v>595</v>
      </c>
      <c r="D779" s="12">
        <v>6212</v>
      </c>
      <c r="E779" s="17" t="s">
        <v>251</v>
      </c>
      <c r="F779" s="12" t="s">
        <v>252</v>
      </c>
      <c r="G779" s="14">
        <v>1</v>
      </c>
      <c r="H779" s="24">
        <v>60000</v>
      </c>
      <c r="I779" s="12" t="s">
        <v>712</v>
      </c>
      <c r="J779" s="6" t="s">
        <v>608</v>
      </c>
      <c r="K779" s="6">
        <f t="shared" si="37"/>
        <v>8</v>
      </c>
      <c r="L779" s="6" t="str">
        <f t="shared" si="38"/>
        <v>AGOSTO</v>
      </c>
    </row>
    <row r="780" spans="1:12" x14ac:dyDescent="0.25">
      <c r="A780" s="5">
        <f t="shared" si="36"/>
        <v>2025</v>
      </c>
      <c r="B780" s="18" t="s">
        <v>969</v>
      </c>
      <c r="C780" s="18" t="s">
        <v>595</v>
      </c>
      <c r="D780" s="12">
        <v>6002</v>
      </c>
      <c r="E780" s="17" t="s">
        <v>375</v>
      </c>
      <c r="F780" s="12" t="s">
        <v>376</v>
      </c>
      <c r="G780" s="14">
        <v>3</v>
      </c>
      <c r="H780" s="24">
        <v>54000</v>
      </c>
      <c r="I780" s="12" t="s">
        <v>712</v>
      </c>
      <c r="J780" s="6" t="s">
        <v>608</v>
      </c>
      <c r="K780" s="6">
        <f t="shared" si="37"/>
        <v>4</v>
      </c>
      <c r="L780" s="6" t="str">
        <f t="shared" si="38"/>
        <v>ABRIL</v>
      </c>
    </row>
    <row r="781" spans="1:12" x14ac:dyDescent="0.25">
      <c r="A781" s="5">
        <f t="shared" si="36"/>
        <v>2025</v>
      </c>
      <c r="B781" s="18" t="s">
        <v>969</v>
      </c>
      <c r="C781" s="18" t="s">
        <v>595</v>
      </c>
      <c r="D781" s="12">
        <v>6002</v>
      </c>
      <c r="E781" s="17" t="s">
        <v>291</v>
      </c>
      <c r="F781" s="12" t="s">
        <v>292</v>
      </c>
      <c r="G781" s="14">
        <v>1</v>
      </c>
      <c r="H781" s="24">
        <v>89000</v>
      </c>
      <c r="I781" s="12" t="s">
        <v>712</v>
      </c>
      <c r="J781" s="6" t="s">
        <v>608</v>
      </c>
      <c r="K781" s="6">
        <f t="shared" si="37"/>
        <v>4</v>
      </c>
      <c r="L781" s="6" t="str">
        <f t="shared" si="38"/>
        <v>ABRIL</v>
      </c>
    </row>
    <row r="782" spans="1:12" x14ac:dyDescent="0.25">
      <c r="A782" s="5">
        <f t="shared" si="36"/>
        <v>2025</v>
      </c>
      <c r="B782" s="18" t="s">
        <v>969</v>
      </c>
      <c r="C782" s="18" t="s">
        <v>595</v>
      </c>
      <c r="D782" s="12">
        <v>6002</v>
      </c>
      <c r="E782" s="17" t="s">
        <v>709</v>
      </c>
      <c r="F782" s="12" t="s">
        <v>711</v>
      </c>
      <c r="G782" s="14">
        <v>1</v>
      </c>
      <c r="H782" s="24">
        <v>762500</v>
      </c>
      <c r="I782" s="12" t="s">
        <v>712</v>
      </c>
      <c r="J782" s="6" t="s">
        <v>608</v>
      </c>
      <c r="K782" s="6">
        <f t="shared" si="37"/>
        <v>4</v>
      </c>
      <c r="L782" s="6" t="str">
        <f t="shared" si="38"/>
        <v>ABRIL</v>
      </c>
    </row>
    <row r="783" spans="1:12" x14ac:dyDescent="0.25">
      <c r="A783" s="5">
        <f t="shared" si="36"/>
        <v>2025</v>
      </c>
      <c r="B783" s="18" t="s">
        <v>969</v>
      </c>
      <c r="C783" s="18" t="s">
        <v>595</v>
      </c>
      <c r="D783" s="12">
        <v>6002</v>
      </c>
      <c r="E783" s="17" t="s">
        <v>708</v>
      </c>
      <c r="F783" s="12" t="s">
        <v>710</v>
      </c>
      <c r="G783" s="14">
        <v>1</v>
      </c>
      <c r="H783" s="24">
        <v>753000</v>
      </c>
      <c r="I783" s="12" t="s">
        <v>712</v>
      </c>
      <c r="J783" s="6" t="s">
        <v>608</v>
      </c>
      <c r="K783" s="6">
        <f t="shared" si="37"/>
        <v>4</v>
      </c>
      <c r="L783" s="6" t="str">
        <f t="shared" si="38"/>
        <v>ABRIL</v>
      </c>
    </row>
    <row r="784" spans="1:12" x14ac:dyDescent="0.25">
      <c r="A784" s="5">
        <f t="shared" si="36"/>
        <v>2025</v>
      </c>
      <c r="B784" s="18" t="s">
        <v>969</v>
      </c>
      <c r="C784" s="18" t="s">
        <v>595</v>
      </c>
      <c r="D784" s="12">
        <v>6002</v>
      </c>
      <c r="E784" s="17">
        <v>7108</v>
      </c>
      <c r="F784" s="12" t="s">
        <v>28</v>
      </c>
      <c r="G784" s="14">
        <v>1</v>
      </c>
      <c r="H784" s="24">
        <v>116666</v>
      </c>
      <c r="I784" s="12" t="s">
        <v>712</v>
      </c>
      <c r="J784" s="6" t="s">
        <v>608</v>
      </c>
      <c r="K784" s="6">
        <f t="shared" si="37"/>
        <v>4</v>
      </c>
      <c r="L784" s="6" t="str">
        <f t="shared" si="38"/>
        <v>ABRIL</v>
      </c>
    </row>
    <row r="785" spans="1:12" x14ac:dyDescent="0.25">
      <c r="A785" s="5">
        <f t="shared" si="36"/>
        <v>2025</v>
      </c>
      <c r="B785" s="18" t="s">
        <v>969</v>
      </c>
      <c r="C785" s="18" t="s">
        <v>595</v>
      </c>
      <c r="D785" s="12">
        <v>6002</v>
      </c>
      <c r="E785" s="17" t="s">
        <v>707</v>
      </c>
      <c r="F785" s="12" t="s">
        <v>670</v>
      </c>
      <c r="G785" s="14">
        <v>1</v>
      </c>
      <c r="H785" s="24">
        <v>392000</v>
      </c>
      <c r="I785" s="12" t="s">
        <v>712</v>
      </c>
      <c r="J785" s="6" t="s">
        <v>608</v>
      </c>
      <c r="K785" s="6">
        <f t="shared" si="37"/>
        <v>4</v>
      </c>
      <c r="L785" s="6" t="str">
        <f t="shared" si="38"/>
        <v>ABRIL</v>
      </c>
    </row>
    <row r="786" spans="1:12" x14ac:dyDescent="0.25">
      <c r="A786" s="5">
        <f t="shared" si="36"/>
        <v>2025</v>
      </c>
      <c r="B786" s="18" t="s">
        <v>969</v>
      </c>
      <c r="C786" s="18" t="s">
        <v>595</v>
      </c>
      <c r="D786" s="12">
        <v>6002</v>
      </c>
      <c r="E786" s="17" t="s">
        <v>716</v>
      </c>
      <c r="F786" s="12" t="s">
        <v>945</v>
      </c>
      <c r="G786" s="14">
        <v>2</v>
      </c>
      <c r="H786" s="24">
        <v>266000</v>
      </c>
      <c r="I786" s="12" t="s">
        <v>712</v>
      </c>
      <c r="J786" s="6" t="s">
        <v>608</v>
      </c>
      <c r="K786" s="6">
        <f t="shared" si="37"/>
        <v>4</v>
      </c>
      <c r="L786" s="6" t="str">
        <f t="shared" si="38"/>
        <v>ABRIL</v>
      </c>
    </row>
    <row r="787" spans="1:12" x14ac:dyDescent="0.25">
      <c r="A787" s="5">
        <f t="shared" si="36"/>
        <v>2025</v>
      </c>
      <c r="B787" s="18" t="s">
        <v>1370</v>
      </c>
      <c r="C787" s="18" t="s">
        <v>595</v>
      </c>
      <c r="D787" s="12">
        <v>6426</v>
      </c>
      <c r="E787" s="17" t="s">
        <v>1424</v>
      </c>
      <c r="F787" s="12" t="s">
        <v>1425</v>
      </c>
      <c r="G787" s="14">
        <v>1</v>
      </c>
      <c r="H787" s="24">
        <v>236532</v>
      </c>
      <c r="I787" s="12" t="s">
        <v>705</v>
      </c>
      <c r="J787" s="6" t="s">
        <v>1348</v>
      </c>
      <c r="K787" s="6">
        <f t="shared" si="37"/>
        <v>12</v>
      </c>
      <c r="L787" s="6" t="str">
        <f t="shared" si="38"/>
        <v>DICIEMBRE</v>
      </c>
    </row>
    <row r="788" spans="1:12" x14ac:dyDescent="0.25">
      <c r="A788" s="5">
        <f t="shared" si="36"/>
        <v>2025</v>
      </c>
      <c r="B788" s="18" t="s">
        <v>1370</v>
      </c>
      <c r="C788" s="18" t="s">
        <v>595</v>
      </c>
      <c r="D788" s="12">
        <v>6426</v>
      </c>
      <c r="E788" s="17" t="s">
        <v>975</v>
      </c>
      <c r="F788" s="12" t="s">
        <v>976</v>
      </c>
      <c r="G788" s="14">
        <v>1</v>
      </c>
      <c r="H788" s="24">
        <v>1242000</v>
      </c>
      <c r="I788" s="12" t="s">
        <v>705</v>
      </c>
      <c r="J788" s="6" t="s">
        <v>1348</v>
      </c>
      <c r="K788" s="6">
        <f t="shared" si="37"/>
        <v>12</v>
      </c>
      <c r="L788" s="6" t="str">
        <f t="shared" si="38"/>
        <v>DICIEMBRE</v>
      </c>
    </row>
    <row r="789" spans="1:12" x14ac:dyDescent="0.25">
      <c r="A789" s="5">
        <f t="shared" si="36"/>
        <v>2025</v>
      </c>
      <c r="B789" s="18" t="s">
        <v>1354</v>
      </c>
      <c r="C789" s="18" t="s">
        <v>595</v>
      </c>
      <c r="D789" s="12">
        <v>6418</v>
      </c>
      <c r="E789" s="17" t="s">
        <v>642</v>
      </c>
      <c r="F789" s="12" t="s">
        <v>643</v>
      </c>
      <c r="G789" s="14">
        <v>1</v>
      </c>
      <c r="H789" s="24">
        <v>295000</v>
      </c>
      <c r="I789" s="12" t="s">
        <v>634</v>
      </c>
      <c r="J789" s="6" t="s">
        <v>614</v>
      </c>
      <c r="K789" s="6">
        <f t="shared" si="37"/>
        <v>12</v>
      </c>
      <c r="L789" s="6" t="str">
        <f t="shared" si="38"/>
        <v>DICIEMBRE</v>
      </c>
    </row>
    <row r="790" spans="1:12" x14ac:dyDescent="0.25">
      <c r="A790" s="5">
        <f t="shared" si="36"/>
        <v>2025</v>
      </c>
      <c r="B790" s="18" t="s">
        <v>1354</v>
      </c>
      <c r="C790" s="18" t="s">
        <v>595</v>
      </c>
      <c r="D790" s="12">
        <v>6418</v>
      </c>
      <c r="E790" s="17" t="s">
        <v>406</v>
      </c>
      <c r="F790" s="12" t="s">
        <v>407</v>
      </c>
      <c r="G790" s="14">
        <v>2</v>
      </c>
      <c r="H790" s="24">
        <v>426000</v>
      </c>
      <c r="I790" s="12" t="s">
        <v>634</v>
      </c>
      <c r="J790" s="6" t="s">
        <v>614</v>
      </c>
      <c r="K790" s="6">
        <f t="shared" si="37"/>
        <v>12</v>
      </c>
      <c r="L790" s="6" t="str">
        <f t="shared" si="38"/>
        <v>DICIEMBRE</v>
      </c>
    </row>
    <row r="791" spans="1:12" x14ac:dyDescent="0.25">
      <c r="A791" s="5">
        <f t="shared" si="36"/>
        <v>2025</v>
      </c>
      <c r="B791" s="18" t="s">
        <v>1370</v>
      </c>
      <c r="C791" s="18" t="s">
        <v>595</v>
      </c>
      <c r="D791" s="12">
        <v>6426</v>
      </c>
      <c r="E791" s="17" t="s">
        <v>1330</v>
      </c>
      <c r="F791" s="12" t="s">
        <v>1331</v>
      </c>
      <c r="G791" s="14">
        <v>1</v>
      </c>
      <c r="H791" s="24">
        <v>39698.92</v>
      </c>
      <c r="I791" s="12" t="s">
        <v>705</v>
      </c>
      <c r="J791" s="6" t="s">
        <v>1348</v>
      </c>
      <c r="K791" s="6">
        <f t="shared" si="37"/>
        <v>12</v>
      </c>
      <c r="L791" s="6" t="str">
        <f t="shared" si="38"/>
        <v>DICIEMBRE</v>
      </c>
    </row>
    <row r="792" spans="1:12" x14ac:dyDescent="0.25">
      <c r="A792" s="5">
        <f t="shared" si="36"/>
        <v>2025</v>
      </c>
      <c r="B792" s="18" t="s">
        <v>1012</v>
      </c>
      <c r="C792" s="18" t="s">
        <v>595</v>
      </c>
      <c r="D792" s="12">
        <v>6060</v>
      </c>
      <c r="E792" s="17">
        <v>328345</v>
      </c>
      <c r="F792" s="12" t="s">
        <v>520</v>
      </c>
      <c r="G792" s="14">
        <v>1</v>
      </c>
      <c r="H792" s="24">
        <v>790000</v>
      </c>
      <c r="I792" s="12" t="s">
        <v>712</v>
      </c>
      <c r="J792" s="6" t="s">
        <v>608</v>
      </c>
      <c r="K792" s="6">
        <f t="shared" si="37"/>
        <v>5</v>
      </c>
      <c r="L792" s="6" t="str">
        <f t="shared" si="38"/>
        <v>MAYO</v>
      </c>
    </row>
    <row r="793" spans="1:12" x14ac:dyDescent="0.25">
      <c r="A793" s="5">
        <f t="shared" si="36"/>
        <v>2025</v>
      </c>
      <c r="B793" s="18" t="s">
        <v>1012</v>
      </c>
      <c r="C793" s="18" t="s">
        <v>595</v>
      </c>
      <c r="D793" s="12">
        <v>6060</v>
      </c>
      <c r="E793" s="17" t="s">
        <v>56</v>
      </c>
      <c r="F793" s="12" t="s">
        <v>57</v>
      </c>
      <c r="G793" s="14">
        <v>4</v>
      </c>
      <c r="H793" s="24">
        <v>88196</v>
      </c>
      <c r="I793" s="12" t="s">
        <v>712</v>
      </c>
      <c r="J793" s="6" t="s">
        <v>608</v>
      </c>
      <c r="K793" s="6">
        <f t="shared" si="37"/>
        <v>5</v>
      </c>
      <c r="L793" s="6" t="str">
        <f t="shared" si="38"/>
        <v>MAYO</v>
      </c>
    </row>
    <row r="794" spans="1:12" x14ac:dyDescent="0.25">
      <c r="A794" s="5">
        <f t="shared" si="36"/>
        <v>2025</v>
      </c>
      <c r="B794" s="18" t="s">
        <v>1012</v>
      </c>
      <c r="C794" s="18" t="s">
        <v>595</v>
      </c>
      <c r="D794" s="12">
        <v>6060</v>
      </c>
      <c r="E794" s="17" t="s">
        <v>599</v>
      </c>
      <c r="F794" s="12" t="s">
        <v>603</v>
      </c>
      <c r="G794" s="14">
        <v>4</v>
      </c>
      <c r="H794" s="24">
        <v>252000</v>
      </c>
      <c r="I794" s="12" t="s">
        <v>712</v>
      </c>
      <c r="J794" s="6" t="s">
        <v>608</v>
      </c>
      <c r="K794" s="6">
        <f t="shared" si="37"/>
        <v>5</v>
      </c>
      <c r="L794" s="6" t="str">
        <f t="shared" si="38"/>
        <v>MAYO</v>
      </c>
    </row>
    <row r="795" spans="1:12" x14ac:dyDescent="0.25">
      <c r="A795" s="5">
        <f t="shared" si="36"/>
        <v>2025</v>
      </c>
      <c r="B795" s="18" t="s">
        <v>1012</v>
      </c>
      <c r="C795" s="18" t="s">
        <v>595</v>
      </c>
      <c r="D795" s="12">
        <v>6060</v>
      </c>
      <c r="E795" s="17" t="s">
        <v>301</v>
      </c>
      <c r="F795" s="12" t="s">
        <v>302</v>
      </c>
      <c r="G795" s="14">
        <v>1</v>
      </c>
      <c r="H795" s="24">
        <v>245000</v>
      </c>
      <c r="I795" s="12" t="s">
        <v>712</v>
      </c>
      <c r="J795" s="6" t="s">
        <v>608</v>
      </c>
      <c r="K795" s="6">
        <f t="shared" si="37"/>
        <v>5</v>
      </c>
      <c r="L795" s="6" t="str">
        <f t="shared" si="38"/>
        <v>MAYO</v>
      </c>
    </row>
    <row r="796" spans="1:12" x14ac:dyDescent="0.25">
      <c r="A796" s="5">
        <f t="shared" si="36"/>
        <v>2025</v>
      </c>
      <c r="B796" s="18" t="s">
        <v>1291</v>
      </c>
      <c r="C796" s="18" t="s">
        <v>595</v>
      </c>
      <c r="D796" s="12">
        <v>6382</v>
      </c>
      <c r="E796" s="17" t="s">
        <v>367</v>
      </c>
      <c r="F796" s="12" t="s">
        <v>368</v>
      </c>
      <c r="G796" s="14">
        <v>1</v>
      </c>
      <c r="H796" s="24">
        <v>263015</v>
      </c>
      <c r="I796" s="12" t="s">
        <v>704</v>
      </c>
      <c r="J796" s="6" t="s">
        <v>706</v>
      </c>
      <c r="K796" s="6">
        <f t="shared" si="37"/>
        <v>12</v>
      </c>
      <c r="L796" s="6" t="str">
        <f t="shared" si="38"/>
        <v>DICIEMBRE</v>
      </c>
    </row>
    <row r="797" spans="1:12" x14ac:dyDescent="0.25">
      <c r="A797" s="5">
        <f t="shared" si="36"/>
        <v>2025</v>
      </c>
      <c r="B797" s="18" t="s">
        <v>1291</v>
      </c>
      <c r="C797" s="18" t="s">
        <v>595</v>
      </c>
      <c r="D797" s="12">
        <v>6382</v>
      </c>
      <c r="E797" s="17" t="s">
        <v>1296</v>
      </c>
      <c r="F797" s="12" t="s">
        <v>1297</v>
      </c>
      <c r="G797" s="14">
        <v>7</v>
      </c>
      <c r="H797" s="24">
        <v>1123577</v>
      </c>
      <c r="I797" s="12" t="s">
        <v>704</v>
      </c>
      <c r="J797" s="6" t="s">
        <v>706</v>
      </c>
      <c r="K797" s="6">
        <f t="shared" si="37"/>
        <v>12</v>
      </c>
      <c r="L797" s="6" t="str">
        <f t="shared" si="38"/>
        <v>DICIEMBRE</v>
      </c>
    </row>
    <row r="798" spans="1:12" x14ac:dyDescent="0.25">
      <c r="A798" s="5">
        <f t="shared" si="36"/>
        <v>2025</v>
      </c>
      <c r="B798" s="18" t="s">
        <v>1291</v>
      </c>
      <c r="C798" s="18" t="s">
        <v>595</v>
      </c>
      <c r="D798" s="12">
        <v>6382</v>
      </c>
      <c r="E798" s="17" t="s">
        <v>319</v>
      </c>
      <c r="F798" s="12" t="s">
        <v>320</v>
      </c>
      <c r="G798" s="14">
        <v>2</v>
      </c>
      <c r="H798" s="24">
        <v>1063044</v>
      </c>
      <c r="I798" s="12" t="s">
        <v>704</v>
      </c>
      <c r="J798" s="6" t="s">
        <v>706</v>
      </c>
      <c r="K798" s="6">
        <f t="shared" si="37"/>
        <v>12</v>
      </c>
      <c r="L798" s="6" t="str">
        <f t="shared" si="38"/>
        <v>DICIEMBRE</v>
      </c>
    </row>
    <row r="799" spans="1:12" x14ac:dyDescent="0.25">
      <c r="A799" s="5">
        <f t="shared" si="36"/>
        <v>2025</v>
      </c>
      <c r="B799" s="18" t="s">
        <v>1291</v>
      </c>
      <c r="C799" s="18" t="s">
        <v>595</v>
      </c>
      <c r="D799" s="12">
        <v>6382</v>
      </c>
      <c r="E799" s="17" t="s">
        <v>158</v>
      </c>
      <c r="F799" s="12" t="s">
        <v>159</v>
      </c>
      <c r="G799" s="14">
        <v>1</v>
      </c>
      <c r="H799" s="24">
        <v>106873</v>
      </c>
      <c r="I799" s="12" t="s">
        <v>704</v>
      </c>
      <c r="J799" s="6" t="s">
        <v>706</v>
      </c>
      <c r="K799" s="6">
        <f t="shared" si="37"/>
        <v>12</v>
      </c>
      <c r="L799" s="6" t="str">
        <f t="shared" si="38"/>
        <v>DICIEMBRE</v>
      </c>
    </row>
    <row r="800" spans="1:12" x14ac:dyDescent="0.25">
      <c r="A800" s="5">
        <f t="shared" si="36"/>
        <v>2025</v>
      </c>
      <c r="B800" s="18" t="s">
        <v>1291</v>
      </c>
      <c r="C800" s="18" t="s">
        <v>595</v>
      </c>
      <c r="D800" s="12">
        <v>6382</v>
      </c>
      <c r="E800" s="17" t="s">
        <v>674</v>
      </c>
      <c r="F800" s="12" t="s">
        <v>689</v>
      </c>
      <c r="G800" s="14">
        <v>3</v>
      </c>
      <c r="H800" s="24">
        <v>675555</v>
      </c>
      <c r="I800" s="12" t="s">
        <v>704</v>
      </c>
      <c r="J800" s="6" t="s">
        <v>706</v>
      </c>
      <c r="K800" s="6">
        <f t="shared" si="37"/>
        <v>12</v>
      </c>
      <c r="L800" s="6" t="str">
        <f t="shared" si="38"/>
        <v>DICIEMBRE</v>
      </c>
    </row>
    <row r="801" spans="1:12" x14ac:dyDescent="0.25">
      <c r="A801" s="5">
        <f t="shared" si="36"/>
        <v>2025</v>
      </c>
      <c r="B801" s="18" t="s">
        <v>1167</v>
      </c>
      <c r="C801" s="18" t="s">
        <v>595</v>
      </c>
      <c r="D801" s="12">
        <v>6244</v>
      </c>
      <c r="E801" s="17" t="s">
        <v>453</v>
      </c>
      <c r="F801" s="12" t="s">
        <v>454</v>
      </c>
      <c r="G801" s="14">
        <v>1</v>
      </c>
      <c r="H801" s="24">
        <v>335000</v>
      </c>
      <c r="I801" s="12" t="s">
        <v>712</v>
      </c>
      <c r="J801" s="6" t="s">
        <v>608</v>
      </c>
      <c r="K801" s="6">
        <f t="shared" si="37"/>
        <v>9</v>
      </c>
      <c r="L801" s="6" t="str">
        <f t="shared" si="38"/>
        <v>SEPTIEMBRE</v>
      </c>
    </row>
    <row r="802" spans="1:12" x14ac:dyDescent="0.25">
      <c r="A802" s="5">
        <f t="shared" si="36"/>
        <v>2025</v>
      </c>
      <c r="B802" s="18" t="s">
        <v>1291</v>
      </c>
      <c r="C802" s="18" t="s">
        <v>595</v>
      </c>
      <c r="D802" s="12">
        <v>6382</v>
      </c>
      <c r="E802" s="17" t="s">
        <v>1070</v>
      </c>
      <c r="F802" s="12" t="s">
        <v>1071</v>
      </c>
      <c r="G802" s="14">
        <v>2</v>
      </c>
      <c r="H802" s="24">
        <v>368844</v>
      </c>
      <c r="I802" s="12" t="s">
        <v>704</v>
      </c>
      <c r="J802" s="6" t="s">
        <v>706</v>
      </c>
      <c r="K802" s="6">
        <f t="shared" si="37"/>
        <v>12</v>
      </c>
      <c r="L802" s="6" t="str">
        <f t="shared" si="38"/>
        <v>DICIEMBRE</v>
      </c>
    </row>
    <row r="803" spans="1:12" x14ac:dyDescent="0.25">
      <c r="A803" s="5">
        <f t="shared" si="36"/>
        <v>2025</v>
      </c>
      <c r="B803" s="18" t="s">
        <v>1167</v>
      </c>
      <c r="C803" s="18" t="s">
        <v>595</v>
      </c>
      <c r="D803" s="12">
        <v>6244</v>
      </c>
      <c r="E803" s="17" t="s">
        <v>76</v>
      </c>
      <c r="F803" s="12" t="s">
        <v>77</v>
      </c>
      <c r="G803" s="14">
        <v>1</v>
      </c>
      <c r="H803" s="24">
        <v>1407</v>
      </c>
      <c r="I803" s="12" t="s">
        <v>712</v>
      </c>
      <c r="J803" s="6" t="s">
        <v>608</v>
      </c>
      <c r="K803" s="6">
        <f t="shared" si="37"/>
        <v>9</v>
      </c>
      <c r="L803" s="6" t="str">
        <f t="shared" si="38"/>
        <v>SEPTIEMBRE</v>
      </c>
    </row>
    <row r="804" spans="1:12" x14ac:dyDescent="0.25">
      <c r="A804" s="5">
        <f t="shared" si="36"/>
        <v>2025</v>
      </c>
      <c r="B804" s="18" t="s">
        <v>1167</v>
      </c>
      <c r="C804" s="18" t="s">
        <v>595</v>
      </c>
      <c r="D804" s="12">
        <v>6244</v>
      </c>
      <c r="E804" s="17">
        <v>127760</v>
      </c>
      <c r="F804" s="12" t="s">
        <v>382</v>
      </c>
      <c r="G804" s="14">
        <v>1</v>
      </c>
      <c r="H804" s="24">
        <v>97000</v>
      </c>
      <c r="I804" s="12" t="s">
        <v>712</v>
      </c>
      <c r="J804" s="6" t="s">
        <v>608</v>
      </c>
      <c r="K804" s="6">
        <f t="shared" si="37"/>
        <v>9</v>
      </c>
      <c r="L804" s="6" t="str">
        <f t="shared" si="38"/>
        <v>SEPTIEMBRE</v>
      </c>
    </row>
    <row r="805" spans="1:12" x14ac:dyDescent="0.25">
      <c r="A805" s="5">
        <f t="shared" si="36"/>
        <v>2025</v>
      </c>
      <c r="B805" s="18" t="s">
        <v>1167</v>
      </c>
      <c r="C805" s="18" t="s">
        <v>595</v>
      </c>
      <c r="D805" s="12">
        <v>6244</v>
      </c>
      <c r="E805" s="17" t="s">
        <v>272</v>
      </c>
      <c r="F805" s="12" t="s">
        <v>273</v>
      </c>
      <c r="G805" s="14">
        <v>1</v>
      </c>
      <c r="H805" s="24">
        <v>295000</v>
      </c>
      <c r="I805" s="12" t="s">
        <v>712</v>
      </c>
      <c r="J805" s="6" t="s">
        <v>608</v>
      </c>
      <c r="K805" s="6">
        <f t="shared" si="37"/>
        <v>9</v>
      </c>
      <c r="L805" s="6" t="str">
        <f t="shared" si="38"/>
        <v>SEPTIEMBRE</v>
      </c>
    </row>
    <row r="806" spans="1:12" x14ac:dyDescent="0.25">
      <c r="A806" s="5">
        <f t="shared" si="36"/>
        <v>2025</v>
      </c>
      <c r="B806" s="18" t="s">
        <v>1167</v>
      </c>
      <c r="C806" s="18" t="s">
        <v>595</v>
      </c>
      <c r="D806" s="12">
        <v>6244</v>
      </c>
      <c r="E806" s="17" t="s">
        <v>348</v>
      </c>
      <c r="F806" s="12" t="s">
        <v>349</v>
      </c>
      <c r="G806" s="14">
        <v>8</v>
      </c>
      <c r="H806" s="24">
        <v>9600</v>
      </c>
      <c r="I806" s="12" t="s">
        <v>712</v>
      </c>
      <c r="J806" s="6" t="s">
        <v>608</v>
      </c>
      <c r="K806" s="6">
        <f t="shared" si="37"/>
        <v>9</v>
      </c>
      <c r="L806" s="6" t="str">
        <f t="shared" si="38"/>
        <v>SEPTIEMBRE</v>
      </c>
    </row>
    <row r="807" spans="1:12" x14ac:dyDescent="0.25">
      <c r="A807" s="5">
        <f t="shared" si="36"/>
        <v>2025</v>
      </c>
      <c r="B807" s="18" t="s">
        <v>1167</v>
      </c>
      <c r="C807" s="18" t="s">
        <v>595</v>
      </c>
      <c r="D807" s="12">
        <v>6244</v>
      </c>
      <c r="E807" s="17" t="s">
        <v>742</v>
      </c>
      <c r="F807" s="12" t="s">
        <v>743</v>
      </c>
      <c r="G807" s="14">
        <v>1</v>
      </c>
      <c r="H807" s="24">
        <v>550000</v>
      </c>
      <c r="I807" s="12" t="s">
        <v>712</v>
      </c>
      <c r="J807" s="6" t="s">
        <v>608</v>
      </c>
      <c r="K807" s="6">
        <f t="shared" si="37"/>
        <v>9</v>
      </c>
      <c r="L807" s="6" t="str">
        <f t="shared" si="38"/>
        <v>SEPTIEMBRE</v>
      </c>
    </row>
    <row r="808" spans="1:12" x14ac:dyDescent="0.25">
      <c r="A808" s="5">
        <f t="shared" si="36"/>
        <v>2025</v>
      </c>
      <c r="B808" s="18" t="s">
        <v>1167</v>
      </c>
      <c r="C808" s="18" t="s">
        <v>595</v>
      </c>
      <c r="D808" s="12">
        <v>6244</v>
      </c>
      <c r="E808" s="17" t="s">
        <v>472</v>
      </c>
      <c r="F808" s="12" t="s">
        <v>473</v>
      </c>
      <c r="G808" s="14">
        <v>2</v>
      </c>
      <c r="H808" s="24">
        <v>98000</v>
      </c>
      <c r="I808" s="12" t="s">
        <v>712</v>
      </c>
      <c r="J808" s="6" t="s">
        <v>608</v>
      </c>
      <c r="K808" s="6">
        <f t="shared" si="37"/>
        <v>9</v>
      </c>
      <c r="L808" s="6" t="str">
        <f t="shared" si="38"/>
        <v>SEPTIEMBRE</v>
      </c>
    </row>
    <row r="809" spans="1:12" x14ac:dyDescent="0.25">
      <c r="A809" s="5">
        <f t="shared" si="36"/>
        <v>2025</v>
      </c>
      <c r="B809" s="18" t="s">
        <v>1167</v>
      </c>
      <c r="C809" s="18" t="s">
        <v>595</v>
      </c>
      <c r="D809" s="12">
        <v>6244</v>
      </c>
      <c r="E809" s="17" t="s">
        <v>467</v>
      </c>
      <c r="F809" s="12" t="s">
        <v>468</v>
      </c>
      <c r="G809" s="14">
        <v>1</v>
      </c>
      <c r="H809" s="24">
        <v>732000</v>
      </c>
      <c r="I809" s="12" t="s">
        <v>712</v>
      </c>
      <c r="J809" s="6" t="s">
        <v>608</v>
      </c>
      <c r="K809" s="6">
        <f t="shared" si="37"/>
        <v>9</v>
      </c>
      <c r="L809" s="6" t="str">
        <f t="shared" si="38"/>
        <v>SEPTIEMBRE</v>
      </c>
    </row>
    <row r="810" spans="1:12" x14ac:dyDescent="0.25">
      <c r="A810" s="5">
        <f t="shared" si="36"/>
        <v>2025</v>
      </c>
      <c r="B810" s="18" t="s">
        <v>1134</v>
      </c>
      <c r="C810" s="18" t="s">
        <v>595</v>
      </c>
      <c r="D810" s="12">
        <v>6215</v>
      </c>
      <c r="E810" s="17" t="s">
        <v>363</v>
      </c>
      <c r="F810" s="12" t="s">
        <v>364</v>
      </c>
      <c r="G810" s="14">
        <v>1</v>
      </c>
      <c r="H810" s="24">
        <v>66000</v>
      </c>
      <c r="I810" s="12" t="s">
        <v>712</v>
      </c>
      <c r="J810" s="6" t="s">
        <v>608</v>
      </c>
      <c r="K810" s="6">
        <f t="shared" si="37"/>
        <v>8</v>
      </c>
      <c r="L810" s="6" t="str">
        <f t="shared" si="38"/>
        <v>AGOSTO</v>
      </c>
    </row>
    <row r="811" spans="1:12" x14ac:dyDescent="0.25">
      <c r="A811" s="5">
        <f t="shared" si="36"/>
        <v>2025</v>
      </c>
      <c r="B811" s="18" t="s">
        <v>1134</v>
      </c>
      <c r="C811" s="18" t="s">
        <v>595</v>
      </c>
      <c r="D811" s="12">
        <v>6215</v>
      </c>
      <c r="E811" s="17" t="s">
        <v>429</v>
      </c>
      <c r="F811" s="12" t="s">
        <v>430</v>
      </c>
      <c r="G811" s="14">
        <v>1</v>
      </c>
      <c r="H811" s="24">
        <v>90000</v>
      </c>
      <c r="I811" s="12" t="s">
        <v>712</v>
      </c>
      <c r="J811" s="6" t="s">
        <v>608</v>
      </c>
      <c r="K811" s="6">
        <f t="shared" si="37"/>
        <v>8</v>
      </c>
      <c r="L811" s="6" t="str">
        <f t="shared" si="38"/>
        <v>AGOSTO</v>
      </c>
    </row>
    <row r="812" spans="1:12" x14ac:dyDescent="0.25">
      <c r="A812" s="5">
        <f t="shared" si="36"/>
        <v>2025</v>
      </c>
      <c r="B812" s="18" t="s">
        <v>1134</v>
      </c>
      <c r="C812" s="18" t="s">
        <v>595</v>
      </c>
      <c r="D812" s="12">
        <v>6215</v>
      </c>
      <c r="E812" s="17">
        <v>58</v>
      </c>
      <c r="F812" s="12" t="s">
        <v>574</v>
      </c>
      <c r="G812" s="14">
        <v>1</v>
      </c>
      <c r="H812" s="24">
        <v>66000</v>
      </c>
      <c r="I812" s="12" t="s">
        <v>712</v>
      </c>
      <c r="J812" s="6" t="s">
        <v>608</v>
      </c>
      <c r="K812" s="6">
        <f t="shared" si="37"/>
        <v>8</v>
      </c>
      <c r="L812" s="6" t="str">
        <f t="shared" si="38"/>
        <v>AGOSTO</v>
      </c>
    </row>
    <row r="813" spans="1:12" x14ac:dyDescent="0.25">
      <c r="A813" s="5">
        <f t="shared" si="36"/>
        <v>2025</v>
      </c>
      <c r="B813" s="18" t="s">
        <v>1134</v>
      </c>
      <c r="C813" s="18" t="s">
        <v>595</v>
      </c>
      <c r="D813" s="12">
        <v>6215</v>
      </c>
      <c r="E813" s="17" t="s">
        <v>348</v>
      </c>
      <c r="F813" s="12" t="s">
        <v>349</v>
      </c>
      <c r="G813" s="14">
        <v>3</v>
      </c>
      <c r="H813" s="24">
        <v>3600</v>
      </c>
      <c r="I813" s="12" t="s">
        <v>712</v>
      </c>
      <c r="J813" s="6" t="s">
        <v>608</v>
      </c>
      <c r="K813" s="6">
        <f t="shared" si="37"/>
        <v>8</v>
      </c>
      <c r="L813" s="6" t="str">
        <f t="shared" si="38"/>
        <v>AGOSTO</v>
      </c>
    </row>
    <row r="814" spans="1:12" x14ac:dyDescent="0.25">
      <c r="A814" s="5">
        <f t="shared" si="36"/>
        <v>2025</v>
      </c>
      <c r="B814" s="18" t="s">
        <v>1134</v>
      </c>
      <c r="C814" s="18" t="s">
        <v>595</v>
      </c>
      <c r="D814" s="12">
        <v>6215</v>
      </c>
      <c r="E814" s="17" t="s">
        <v>537</v>
      </c>
      <c r="F814" s="12" t="s">
        <v>538</v>
      </c>
      <c r="G814" s="14">
        <v>2</v>
      </c>
      <c r="H814" s="24">
        <v>190000</v>
      </c>
      <c r="I814" s="12" t="s">
        <v>712</v>
      </c>
      <c r="J814" s="6" t="s">
        <v>608</v>
      </c>
      <c r="K814" s="6">
        <f t="shared" si="37"/>
        <v>8</v>
      </c>
      <c r="L814" s="6" t="str">
        <f t="shared" si="38"/>
        <v>AGOSTO</v>
      </c>
    </row>
    <row r="815" spans="1:12" x14ac:dyDescent="0.25">
      <c r="A815" s="5">
        <f t="shared" si="36"/>
        <v>2025</v>
      </c>
      <c r="B815" s="18" t="s">
        <v>1291</v>
      </c>
      <c r="C815" s="18" t="s">
        <v>595</v>
      </c>
      <c r="D815" s="12">
        <v>6382</v>
      </c>
      <c r="E815" s="17" t="s">
        <v>167</v>
      </c>
      <c r="F815" s="12" t="s">
        <v>168</v>
      </c>
      <c r="G815" s="14">
        <v>2</v>
      </c>
      <c r="H815" s="24">
        <v>1295566</v>
      </c>
      <c r="I815" s="12" t="s">
        <v>704</v>
      </c>
      <c r="J815" s="6" t="s">
        <v>706</v>
      </c>
      <c r="K815" s="6">
        <f t="shared" si="37"/>
        <v>12</v>
      </c>
      <c r="L815" s="6" t="str">
        <f t="shared" si="38"/>
        <v>DICIEMBRE</v>
      </c>
    </row>
    <row r="816" spans="1:12" x14ac:dyDescent="0.25">
      <c r="A816" s="5">
        <f t="shared" si="36"/>
        <v>2025</v>
      </c>
      <c r="B816" s="18" t="s">
        <v>1291</v>
      </c>
      <c r="C816" s="18" t="s">
        <v>595</v>
      </c>
      <c r="D816" s="12">
        <v>6382</v>
      </c>
      <c r="E816" s="17" t="s">
        <v>245</v>
      </c>
      <c r="F816" s="12" t="s">
        <v>246</v>
      </c>
      <c r="G816" s="14">
        <v>1</v>
      </c>
      <c r="H816" s="24">
        <v>5500</v>
      </c>
      <c r="I816" s="12" t="s">
        <v>704</v>
      </c>
      <c r="J816" s="6" t="s">
        <v>706</v>
      </c>
      <c r="K816" s="6">
        <f t="shared" si="37"/>
        <v>12</v>
      </c>
      <c r="L816" s="6" t="str">
        <f t="shared" si="38"/>
        <v>DICIEMBRE</v>
      </c>
    </row>
    <row r="817" spans="1:12" x14ac:dyDescent="0.25">
      <c r="A817" s="5">
        <f t="shared" si="36"/>
        <v>2025</v>
      </c>
      <c r="B817" s="18" t="s">
        <v>1291</v>
      </c>
      <c r="C817" s="18" t="s">
        <v>595</v>
      </c>
      <c r="D817" s="12">
        <v>6382</v>
      </c>
      <c r="E817" s="17" t="s">
        <v>683</v>
      </c>
      <c r="F817" s="12" t="s">
        <v>700</v>
      </c>
      <c r="G817" s="14">
        <v>4</v>
      </c>
      <c r="H817" s="24">
        <v>161200</v>
      </c>
      <c r="I817" s="12" t="s">
        <v>704</v>
      </c>
      <c r="J817" s="6" t="s">
        <v>706</v>
      </c>
      <c r="K817" s="6">
        <f t="shared" si="37"/>
        <v>12</v>
      </c>
      <c r="L817" s="6" t="str">
        <f t="shared" si="38"/>
        <v>DICIEMBRE</v>
      </c>
    </row>
    <row r="818" spans="1:12" x14ac:dyDescent="0.25">
      <c r="A818" s="5">
        <f t="shared" si="36"/>
        <v>2025</v>
      </c>
      <c r="B818" s="18" t="s">
        <v>1291</v>
      </c>
      <c r="C818" s="18" t="s">
        <v>595</v>
      </c>
      <c r="D818" s="12">
        <v>6384</v>
      </c>
      <c r="E818" s="17">
        <v>131973</v>
      </c>
      <c r="F818" s="12" t="s">
        <v>1293</v>
      </c>
      <c r="G818" s="14">
        <v>1</v>
      </c>
      <c r="H818" s="24">
        <v>360000</v>
      </c>
      <c r="I818" s="12" t="s">
        <v>712</v>
      </c>
      <c r="J818" s="6" t="s">
        <v>608</v>
      </c>
      <c r="K818" s="6">
        <f t="shared" si="37"/>
        <v>12</v>
      </c>
      <c r="L818" s="6" t="str">
        <f t="shared" si="38"/>
        <v>DICIEMBRE</v>
      </c>
    </row>
    <row r="819" spans="1:12" x14ac:dyDescent="0.25">
      <c r="A819" s="5">
        <f t="shared" si="36"/>
        <v>2025</v>
      </c>
      <c r="B819" s="18" t="s">
        <v>1291</v>
      </c>
      <c r="C819" s="18" t="s">
        <v>595</v>
      </c>
      <c r="D819" s="12">
        <v>6382</v>
      </c>
      <c r="E819" s="17" t="s">
        <v>202</v>
      </c>
      <c r="F819" s="12" t="s">
        <v>203</v>
      </c>
      <c r="G819" s="14">
        <v>1</v>
      </c>
      <c r="H819" s="24">
        <v>157700</v>
      </c>
      <c r="I819" s="12" t="s">
        <v>704</v>
      </c>
      <c r="J819" s="6" t="s">
        <v>706</v>
      </c>
      <c r="K819" s="6">
        <f t="shared" si="37"/>
        <v>12</v>
      </c>
      <c r="L819" s="6" t="str">
        <f t="shared" si="38"/>
        <v>DICIEMBRE</v>
      </c>
    </row>
    <row r="820" spans="1:12" x14ac:dyDescent="0.25">
      <c r="A820" s="5">
        <f t="shared" si="36"/>
        <v>2025</v>
      </c>
      <c r="B820" s="18" t="s">
        <v>1291</v>
      </c>
      <c r="C820" s="18" t="s">
        <v>595</v>
      </c>
      <c r="D820" s="12">
        <v>6384</v>
      </c>
      <c r="E820" s="17" t="s">
        <v>1300</v>
      </c>
      <c r="F820" s="12" t="s">
        <v>1301</v>
      </c>
      <c r="G820" s="14">
        <v>1</v>
      </c>
      <c r="H820" s="24">
        <v>98000</v>
      </c>
      <c r="I820" s="12" t="s">
        <v>712</v>
      </c>
      <c r="J820" s="6" t="s">
        <v>608</v>
      </c>
      <c r="K820" s="6">
        <f t="shared" si="37"/>
        <v>12</v>
      </c>
      <c r="L820" s="6" t="str">
        <f t="shared" si="38"/>
        <v>DICIEMBRE</v>
      </c>
    </row>
    <row r="821" spans="1:12" x14ac:dyDescent="0.25">
      <c r="A821" s="5">
        <f t="shared" ref="A821:A884" si="39">+YEAR(B821)</f>
        <v>2025</v>
      </c>
      <c r="B821" s="18" t="s">
        <v>1291</v>
      </c>
      <c r="C821" s="18" t="s">
        <v>595</v>
      </c>
      <c r="D821" s="12">
        <v>6382</v>
      </c>
      <c r="E821" s="17" t="s">
        <v>488</v>
      </c>
      <c r="F821" s="12" t="s">
        <v>489</v>
      </c>
      <c r="G821" s="14">
        <v>3</v>
      </c>
      <c r="H821" s="24">
        <v>597321</v>
      </c>
      <c r="I821" s="12" t="s">
        <v>704</v>
      </c>
      <c r="J821" s="6" t="s">
        <v>706</v>
      </c>
      <c r="K821" s="6">
        <f t="shared" ref="K821:K884" si="40">+MONTH(B821)</f>
        <v>12</v>
      </c>
      <c r="L821" s="6" t="str">
        <f t="shared" si="38"/>
        <v>DICIEMBRE</v>
      </c>
    </row>
    <row r="822" spans="1:12" x14ac:dyDescent="0.25">
      <c r="A822" s="5">
        <f t="shared" si="39"/>
        <v>2025</v>
      </c>
      <c r="B822" s="18" t="s">
        <v>1291</v>
      </c>
      <c r="C822" s="18" t="s">
        <v>595</v>
      </c>
      <c r="D822" s="12">
        <v>6382</v>
      </c>
      <c r="E822" s="17" t="s">
        <v>685</v>
      </c>
      <c r="F822" s="12" t="s">
        <v>702</v>
      </c>
      <c r="G822" s="14">
        <v>2</v>
      </c>
      <c r="H822" s="24">
        <v>608920</v>
      </c>
      <c r="I822" s="12" t="s">
        <v>704</v>
      </c>
      <c r="J822" s="6" t="s">
        <v>706</v>
      </c>
      <c r="K822" s="6">
        <f t="shared" si="40"/>
        <v>12</v>
      </c>
      <c r="L822" s="6" t="str">
        <f t="shared" si="38"/>
        <v>DICIEMBRE</v>
      </c>
    </row>
    <row r="823" spans="1:12" x14ac:dyDescent="0.25">
      <c r="A823" s="5">
        <f t="shared" si="39"/>
        <v>2025</v>
      </c>
      <c r="B823" s="18" t="s">
        <v>1291</v>
      </c>
      <c r="C823" s="18" t="s">
        <v>595</v>
      </c>
      <c r="D823" s="12">
        <v>6385</v>
      </c>
      <c r="E823" s="17">
        <v>110890</v>
      </c>
      <c r="F823" s="12" t="s">
        <v>1304</v>
      </c>
      <c r="G823" s="14">
        <v>1</v>
      </c>
      <c r="H823" s="24">
        <v>1444000</v>
      </c>
      <c r="I823" s="12" t="s">
        <v>712</v>
      </c>
      <c r="J823" s="6" t="s">
        <v>608</v>
      </c>
      <c r="K823" s="6">
        <f t="shared" si="40"/>
        <v>12</v>
      </c>
      <c r="L823" s="6" t="str">
        <f t="shared" si="38"/>
        <v>DICIEMBRE</v>
      </c>
    </row>
    <row r="824" spans="1:12" x14ac:dyDescent="0.25">
      <c r="A824" s="5">
        <f t="shared" si="39"/>
        <v>2025</v>
      </c>
      <c r="B824" s="18" t="s">
        <v>1291</v>
      </c>
      <c r="C824" s="18" t="s">
        <v>595</v>
      </c>
      <c r="D824" s="12">
        <v>6382</v>
      </c>
      <c r="E824" s="17" t="s">
        <v>218</v>
      </c>
      <c r="F824" s="12" t="s">
        <v>219</v>
      </c>
      <c r="G824" s="14">
        <v>13</v>
      </c>
      <c r="H824" s="24">
        <v>390793</v>
      </c>
      <c r="I824" s="12" t="s">
        <v>704</v>
      </c>
      <c r="J824" s="6" t="s">
        <v>706</v>
      </c>
      <c r="K824" s="6">
        <f t="shared" si="40"/>
        <v>12</v>
      </c>
      <c r="L824" s="6" t="str">
        <f t="shared" si="38"/>
        <v>DICIEMBRE</v>
      </c>
    </row>
    <row r="825" spans="1:12" x14ac:dyDescent="0.25">
      <c r="A825" s="5">
        <f t="shared" si="39"/>
        <v>2025</v>
      </c>
      <c r="B825" s="18" t="s">
        <v>1168</v>
      </c>
      <c r="C825" s="18" t="s">
        <v>595</v>
      </c>
      <c r="D825" s="12">
        <v>6254</v>
      </c>
      <c r="E825" s="17" t="s">
        <v>955</v>
      </c>
      <c r="F825" s="12" t="s">
        <v>956</v>
      </c>
      <c r="G825" s="14">
        <v>1</v>
      </c>
      <c r="H825" s="24">
        <v>295000</v>
      </c>
      <c r="I825" s="12" t="s">
        <v>634</v>
      </c>
      <c r="J825" s="6" t="s">
        <v>614</v>
      </c>
      <c r="K825" s="6">
        <f t="shared" si="40"/>
        <v>9</v>
      </c>
      <c r="L825" s="6" t="str">
        <f t="shared" si="38"/>
        <v>SEPTIEMBRE</v>
      </c>
    </row>
    <row r="826" spans="1:12" x14ac:dyDescent="0.25">
      <c r="A826" s="5">
        <f t="shared" si="39"/>
        <v>2025</v>
      </c>
      <c r="B826" s="18" t="s">
        <v>1291</v>
      </c>
      <c r="C826" s="18" t="s">
        <v>595</v>
      </c>
      <c r="D826" s="12">
        <v>6382</v>
      </c>
      <c r="E826" s="17" t="s">
        <v>878</v>
      </c>
      <c r="F826" s="12" t="s">
        <v>694</v>
      </c>
      <c r="G826" s="14">
        <v>1</v>
      </c>
      <c r="H826" s="24">
        <v>57579</v>
      </c>
      <c r="I826" s="12" t="s">
        <v>704</v>
      </c>
      <c r="J826" s="6" t="s">
        <v>706</v>
      </c>
      <c r="K826" s="6">
        <f t="shared" si="40"/>
        <v>12</v>
      </c>
      <c r="L826" s="6" t="str">
        <f t="shared" si="38"/>
        <v>DICIEMBRE</v>
      </c>
    </row>
    <row r="827" spans="1:12" x14ac:dyDescent="0.25">
      <c r="A827" s="5">
        <f t="shared" si="39"/>
        <v>2025</v>
      </c>
      <c r="B827" s="18" t="s">
        <v>1291</v>
      </c>
      <c r="C827" s="18" t="s">
        <v>595</v>
      </c>
      <c r="D827" s="12">
        <v>6382</v>
      </c>
      <c r="E827" s="17" t="s">
        <v>679</v>
      </c>
      <c r="F827" s="12" t="s">
        <v>696</v>
      </c>
      <c r="G827" s="14">
        <v>1</v>
      </c>
      <c r="H827" s="24">
        <v>63449</v>
      </c>
      <c r="I827" s="12" t="s">
        <v>704</v>
      </c>
      <c r="J827" s="6" t="s">
        <v>706</v>
      </c>
      <c r="K827" s="6">
        <f t="shared" si="40"/>
        <v>12</v>
      </c>
      <c r="L827" s="6" t="str">
        <f t="shared" si="38"/>
        <v>DICIEMBRE</v>
      </c>
    </row>
    <row r="828" spans="1:12" x14ac:dyDescent="0.25">
      <c r="A828" s="5">
        <f t="shared" si="39"/>
        <v>2025</v>
      </c>
      <c r="B828" s="18" t="s">
        <v>1291</v>
      </c>
      <c r="C828" s="18" t="s">
        <v>595</v>
      </c>
      <c r="D828" s="12">
        <v>6382</v>
      </c>
      <c r="E828" s="17" t="s">
        <v>432</v>
      </c>
      <c r="F828" s="12" t="s">
        <v>433</v>
      </c>
      <c r="G828" s="14">
        <v>1</v>
      </c>
      <c r="H828" s="24">
        <v>54512</v>
      </c>
      <c r="I828" s="12" t="s">
        <v>704</v>
      </c>
      <c r="J828" s="6" t="s">
        <v>706</v>
      </c>
      <c r="K828" s="6">
        <f t="shared" si="40"/>
        <v>12</v>
      </c>
      <c r="L828" s="6" t="str">
        <f t="shared" si="38"/>
        <v>DICIEMBRE</v>
      </c>
    </row>
    <row r="829" spans="1:12" x14ac:dyDescent="0.25">
      <c r="A829" s="5">
        <f t="shared" si="39"/>
        <v>2025</v>
      </c>
      <c r="B829" s="18" t="s">
        <v>1305</v>
      </c>
      <c r="C829" s="18" t="s">
        <v>595</v>
      </c>
      <c r="D829" s="12">
        <v>6398</v>
      </c>
      <c r="E829" s="17" t="s">
        <v>1310</v>
      </c>
      <c r="F829" s="12" t="s">
        <v>1311</v>
      </c>
      <c r="G829" s="14">
        <v>2</v>
      </c>
      <c r="H829" s="24">
        <v>3400000</v>
      </c>
      <c r="I829" s="12" t="s">
        <v>546</v>
      </c>
      <c r="J829" s="6" t="s">
        <v>610</v>
      </c>
      <c r="K829" s="6">
        <f t="shared" si="40"/>
        <v>12</v>
      </c>
      <c r="L829" s="6" t="str">
        <f t="shared" si="38"/>
        <v>DICIEMBRE</v>
      </c>
    </row>
    <row r="830" spans="1:12" x14ac:dyDescent="0.25">
      <c r="A830" s="5">
        <f t="shared" si="39"/>
        <v>2025</v>
      </c>
      <c r="B830" s="18" t="s">
        <v>1305</v>
      </c>
      <c r="C830" s="18" t="s">
        <v>595</v>
      </c>
      <c r="D830" s="12">
        <v>6398</v>
      </c>
      <c r="E830" s="17" t="s">
        <v>228</v>
      </c>
      <c r="F830" s="12" t="s">
        <v>229</v>
      </c>
      <c r="G830" s="14">
        <v>50</v>
      </c>
      <c r="H830" s="24">
        <v>6250000</v>
      </c>
      <c r="I830" s="12" t="s">
        <v>546</v>
      </c>
      <c r="J830" s="6" t="s">
        <v>610</v>
      </c>
      <c r="K830" s="6">
        <f t="shared" si="40"/>
        <v>12</v>
      </c>
      <c r="L830" s="6" t="str">
        <f t="shared" si="38"/>
        <v>DICIEMBRE</v>
      </c>
    </row>
    <row r="831" spans="1:12" x14ac:dyDescent="0.25">
      <c r="A831" s="5">
        <f t="shared" si="39"/>
        <v>2025</v>
      </c>
      <c r="B831" s="18" t="s">
        <v>1305</v>
      </c>
      <c r="C831" s="18" t="s">
        <v>595</v>
      </c>
      <c r="D831" s="12">
        <v>6398</v>
      </c>
      <c r="E831" s="17" t="s">
        <v>51</v>
      </c>
      <c r="F831" s="12" t="s">
        <v>52</v>
      </c>
      <c r="G831" s="14">
        <v>4</v>
      </c>
      <c r="H831" s="24">
        <v>25500</v>
      </c>
      <c r="I831" s="12" t="s">
        <v>546</v>
      </c>
      <c r="J831" s="6" t="s">
        <v>610</v>
      </c>
      <c r="K831" s="6">
        <f t="shared" si="40"/>
        <v>12</v>
      </c>
      <c r="L831" s="6" t="str">
        <f t="shared" si="38"/>
        <v>DICIEMBRE</v>
      </c>
    </row>
    <row r="832" spans="1:12" x14ac:dyDescent="0.25">
      <c r="A832" s="5">
        <f t="shared" si="39"/>
        <v>2025</v>
      </c>
      <c r="B832" s="18" t="s">
        <v>1305</v>
      </c>
      <c r="C832" s="18" t="s">
        <v>595</v>
      </c>
      <c r="D832" s="12">
        <v>6398</v>
      </c>
      <c r="E832" s="17" t="s">
        <v>124</v>
      </c>
      <c r="F832" s="12" t="s">
        <v>125</v>
      </c>
      <c r="G832" s="14">
        <v>8</v>
      </c>
      <c r="H832" s="24">
        <v>144000</v>
      </c>
      <c r="I832" s="12" t="s">
        <v>546</v>
      </c>
      <c r="J832" s="6" t="s">
        <v>610</v>
      </c>
      <c r="K832" s="6">
        <f t="shared" si="40"/>
        <v>12</v>
      </c>
      <c r="L832" s="6" t="str">
        <f t="shared" si="38"/>
        <v>DICIEMBRE</v>
      </c>
    </row>
    <row r="833" spans="1:12" x14ac:dyDescent="0.25">
      <c r="A833" s="5">
        <f t="shared" si="39"/>
        <v>2025</v>
      </c>
      <c r="B833" s="18" t="s">
        <v>1305</v>
      </c>
      <c r="C833" s="18" t="s">
        <v>595</v>
      </c>
      <c r="D833" s="12">
        <v>6398</v>
      </c>
      <c r="E833" s="17" t="s">
        <v>397</v>
      </c>
      <c r="F833" s="12" t="s">
        <v>398</v>
      </c>
      <c r="G833" s="14">
        <v>3</v>
      </c>
      <c r="H833" s="24">
        <v>2880000</v>
      </c>
      <c r="I833" s="12" t="s">
        <v>546</v>
      </c>
      <c r="J833" s="6" t="s">
        <v>610</v>
      </c>
      <c r="K833" s="6">
        <f t="shared" si="40"/>
        <v>12</v>
      </c>
      <c r="L833" s="6" t="str">
        <f t="shared" si="38"/>
        <v>DICIEMBRE</v>
      </c>
    </row>
    <row r="834" spans="1:12" x14ac:dyDescent="0.25">
      <c r="A834" s="5">
        <f t="shared" si="39"/>
        <v>2025</v>
      </c>
      <c r="B834" s="18" t="s">
        <v>1291</v>
      </c>
      <c r="C834" s="18" t="s">
        <v>595</v>
      </c>
      <c r="D834" s="12">
        <v>6382</v>
      </c>
      <c r="E834" s="17" t="s">
        <v>429</v>
      </c>
      <c r="F834" s="12" t="s">
        <v>430</v>
      </c>
      <c r="G834" s="14">
        <v>1</v>
      </c>
      <c r="H834" s="24">
        <v>88342</v>
      </c>
      <c r="I834" s="12" t="s">
        <v>704</v>
      </c>
      <c r="J834" s="6" t="s">
        <v>706</v>
      </c>
      <c r="K834" s="6">
        <f t="shared" si="40"/>
        <v>12</v>
      </c>
      <c r="L834" s="6" t="str">
        <f t="shared" si="38"/>
        <v>DICIEMBRE</v>
      </c>
    </row>
    <row r="835" spans="1:12" x14ac:dyDescent="0.25">
      <c r="A835" s="5">
        <f t="shared" si="39"/>
        <v>2025</v>
      </c>
      <c r="B835" s="18" t="s">
        <v>1061</v>
      </c>
      <c r="C835" s="18" t="s">
        <v>595</v>
      </c>
      <c r="D835" s="12">
        <v>6125</v>
      </c>
      <c r="E835" s="17" t="s">
        <v>51</v>
      </c>
      <c r="F835" s="12" t="s">
        <v>52</v>
      </c>
      <c r="G835" s="14">
        <v>2</v>
      </c>
      <c r="H835" s="24">
        <v>12750</v>
      </c>
      <c r="I835" s="12" t="s">
        <v>546</v>
      </c>
      <c r="J835" s="6" t="s">
        <v>610</v>
      </c>
      <c r="K835" s="6">
        <f t="shared" si="40"/>
        <v>6</v>
      </c>
      <c r="L835" s="6" t="str">
        <f t="shared" ref="L835:L898" si="41">VLOOKUP(K835,N:O,2,0)</f>
        <v>JUNIO</v>
      </c>
    </row>
    <row r="836" spans="1:12" x14ac:dyDescent="0.25">
      <c r="A836" s="5">
        <f t="shared" si="39"/>
        <v>2025</v>
      </c>
      <c r="B836" s="18" t="s">
        <v>1061</v>
      </c>
      <c r="C836" s="18" t="s">
        <v>595</v>
      </c>
      <c r="D836" s="12">
        <v>6125</v>
      </c>
      <c r="E836" s="17" t="s">
        <v>213</v>
      </c>
      <c r="F836" s="12" t="s">
        <v>214</v>
      </c>
      <c r="G836" s="14">
        <v>2</v>
      </c>
      <c r="H836" s="24">
        <v>2370000</v>
      </c>
      <c r="I836" s="12" t="s">
        <v>546</v>
      </c>
      <c r="J836" s="6" t="s">
        <v>610</v>
      </c>
      <c r="K836" s="6">
        <f t="shared" si="40"/>
        <v>6</v>
      </c>
      <c r="L836" s="6" t="str">
        <f t="shared" si="41"/>
        <v>JUNIO</v>
      </c>
    </row>
    <row r="837" spans="1:12" x14ac:dyDescent="0.25">
      <c r="A837" s="5">
        <f t="shared" si="39"/>
        <v>2025</v>
      </c>
      <c r="B837" s="18" t="s">
        <v>1291</v>
      </c>
      <c r="C837" s="18" t="s">
        <v>595</v>
      </c>
      <c r="D837" s="12">
        <v>6382</v>
      </c>
      <c r="E837" s="17" t="s">
        <v>556</v>
      </c>
      <c r="F837" s="12" t="s">
        <v>557</v>
      </c>
      <c r="G837" s="14">
        <v>1</v>
      </c>
      <c r="H837" s="24">
        <v>6300000</v>
      </c>
      <c r="I837" s="12" t="s">
        <v>704</v>
      </c>
      <c r="J837" s="6" t="s">
        <v>706</v>
      </c>
      <c r="K837" s="6">
        <f t="shared" si="40"/>
        <v>12</v>
      </c>
      <c r="L837" s="6" t="str">
        <f t="shared" si="41"/>
        <v>DICIEMBRE</v>
      </c>
    </row>
    <row r="838" spans="1:12" x14ac:dyDescent="0.25">
      <c r="A838" s="5">
        <f t="shared" si="39"/>
        <v>2025</v>
      </c>
      <c r="B838" s="18" t="s">
        <v>1291</v>
      </c>
      <c r="C838" s="18" t="s">
        <v>595</v>
      </c>
      <c r="D838" s="12">
        <v>6382</v>
      </c>
      <c r="E838" s="17" t="s">
        <v>716</v>
      </c>
      <c r="F838" s="12" t="s">
        <v>945</v>
      </c>
      <c r="G838" s="14">
        <v>2</v>
      </c>
      <c r="H838" s="24">
        <v>221640</v>
      </c>
      <c r="I838" s="12" t="s">
        <v>704</v>
      </c>
      <c r="J838" s="6" t="s">
        <v>706</v>
      </c>
      <c r="K838" s="6">
        <f t="shared" si="40"/>
        <v>12</v>
      </c>
      <c r="L838" s="6" t="str">
        <f t="shared" si="41"/>
        <v>DICIEMBRE</v>
      </c>
    </row>
    <row r="839" spans="1:12" x14ac:dyDescent="0.25">
      <c r="A839" s="5">
        <f t="shared" si="39"/>
        <v>2025</v>
      </c>
      <c r="B839" s="18" t="s">
        <v>1291</v>
      </c>
      <c r="C839" s="18" t="s">
        <v>595</v>
      </c>
      <c r="D839" s="12">
        <v>6382</v>
      </c>
      <c r="E839" s="17" t="s">
        <v>1298</v>
      </c>
      <c r="F839" s="12" t="s">
        <v>1299</v>
      </c>
      <c r="G839" s="14">
        <v>1</v>
      </c>
      <c r="H839" s="24">
        <v>422765</v>
      </c>
      <c r="I839" s="12" t="s">
        <v>704</v>
      </c>
      <c r="J839" s="6" t="s">
        <v>706</v>
      </c>
      <c r="K839" s="6">
        <f t="shared" si="40"/>
        <v>12</v>
      </c>
      <c r="L839" s="6" t="str">
        <f t="shared" si="41"/>
        <v>DICIEMBRE</v>
      </c>
    </row>
    <row r="840" spans="1:12" x14ac:dyDescent="0.25">
      <c r="A840" s="5">
        <f t="shared" si="39"/>
        <v>2025</v>
      </c>
      <c r="B840" s="18" t="s">
        <v>1154</v>
      </c>
      <c r="C840" s="18" t="s">
        <v>595</v>
      </c>
      <c r="D840" s="12">
        <v>6243</v>
      </c>
      <c r="E840" s="17">
        <v>85003</v>
      </c>
      <c r="F840" s="12" t="s">
        <v>449</v>
      </c>
      <c r="G840" s="14">
        <v>1</v>
      </c>
      <c r="H840" s="24">
        <v>18107</v>
      </c>
      <c r="I840" s="12" t="s">
        <v>546</v>
      </c>
      <c r="J840" s="6" t="s">
        <v>610</v>
      </c>
      <c r="K840" s="6">
        <f t="shared" si="40"/>
        <v>9</v>
      </c>
      <c r="L840" s="6" t="str">
        <f t="shared" si="41"/>
        <v>SEPTIEMBRE</v>
      </c>
    </row>
    <row r="841" spans="1:12" x14ac:dyDescent="0.25">
      <c r="A841" s="5">
        <f t="shared" si="39"/>
        <v>2025</v>
      </c>
      <c r="B841" s="18" t="s">
        <v>1154</v>
      </c>
      <c r="C841" s="18" t="s">
        <v>595</v>
      </c>
      <c r="D841" s="12">
        <v>6243</v>
      </c>
      <c r="E841" s="17" t="s">
        <v>561</v>
      </c>
      <c r="F841" s="12" t="s">
        <v>575</v>
      </c>
      <c r="G841" s="14">
        <v>2</v>
      </c>
      <c r="H841" s="24">
        <v>790000</v>
      </c>
      <c r="I841" s="12" t="s">
        <v>546</v>
      </c>
      <c r="J841" s="6" t="s">
        <v>610</v>
      </c>
      <c r="K841" s="6">
        <f t="shared" si="40"/>
        <v>9</v>
      </c>
      <c r="L841" s="6" t="str">
        <f t="shared" si="41"/>
        <v>SEPTIEMBRE</v>
      </c>
    </row>
    <row r="842" spans="1:12" x14ac:dyDescent="0.25">
      <c r="A842" s="5">
        <f t="shared" si="39"/>
        <v>2025</v>
      </c>
      <c r="B842" s="18" t="s">
        <v>1154</v>
      </c>
      <c r="C842" s="18" t="s">
        <v>595</v>
      </c>
      <c r="D842" s="12">
        <v>6243</v>
      </c>
      <c r="E842" s="17" t="s">
        <v>311</v>
      </c>
      <c r="F842" s="12" t="s">
        <v>312</v>
      </c>
      <c r="G842" s="14">
        <v>1</v>
      </c>
      <c r="H842" s="24">
        <v>223000</v>
      </c>
      <c r="I842" s="12" t="s">
        <v>546</v>
      </c>
      <c r="J842" s="6" t="s">
        <v>610</v>
      </c>
      <c r="K842" s="6">
        <f t="shared" si="40"/>
        <v>9</v>
      </c>
      <c r="L842" s="6" t="str">
        <f t="shared" si="41"/>
        <v>SEPTIEMBRE</v>
      </c>
    </row>
    <row r="843" spans="1:12" x14ac:dyDescent="0.25">
      <c r="A843" s="5">
        <f t="shared" si="39"/>
        <v>2025</v>
      </c>
      <c r="B843" s="18" t="s">
        <v>1154</v>
      </c>
      <c r="C843" s="18" t="s">
        <v>595</v>
      </c>
      <c r="D843" s="12">
        <v>6243</v>
      </c>
      <c r="E843" s="17" t="s">
        <v>282</v>
      </c>
      <c r="F843" s="12" t="s">
        <v>283</v>
      </c>
      <c r="G843" s="14">
        <v>1</v>
      </c>
      <c r="H843" s="24">
        <v>330000</v>
      </c>
      <c r="I843" s="12" t="s">
        <v>546</v>
      </c>
      <c r="J843" s="6" t="s">
        <v>610</v>
      </c>
      <c r="K843" s="6">
        <f t="shared" si="40"/>
        <v>9</v>
      </c>
      <c r="L843" s="6" t="str">
        <f t="shared" si="41"/>
        <v>SEPTIEMBRE</v>
      </c>
    </row>
    <row r="844" spans="1:12" x14ac:dyDescent="0.25">
      <c r="A844" s="5">
        <f t="shared" si="39"/>
        <v>2025</v>
      </c>
      <c r="B844" s="18" t="s">
        <v>1154</v>
      </c>
      <c r="C844" s="18" t="s">
        <v>595</v>
      </c>
      <c r="D844" s="12">
        <v>6243</v>
      </c>
      <c r="E844" s="17" t="s">
        <v>1160</v>
      </c>
      <c r="F844" s="12" t="s">
        <v>1166</v>
      </c>
      <c r="G844" s="14">
        <v>6</v>
      </c>
      <c r="H844" s="24">
        <v>180000</v>
      </c>
      <c r="I844" s="12" t="s">
        <v>546</v>
      </c>
      <c r="J844" s="6" t="s">
        <v>610</v>
      </c>
      <c r="K844" s="6">
        <f t="shared" si="40"/>
        <v>9</v>
      </c>
      <c r="L844" s="6" t="str">
        <f t="shared" si="41"/>
        <v>SEPTIEMBRE</v>
      </c>
    </row>
    <row r="845" spans="1:12" x14ac:dyDescent="0.25">
      <c r="A845" s="5">
        <f t="shared" si="39"/>
        <v>2025</v>
      </c>
      <c r="B845" s="18" t="s">
        <v>1154</v>
      </c>
      <c r="C845" s="18" t="s">
        <v>595</v>
      </c>
      <c r="D845" s="12">
        <v>6243</v>
      </c>
      <c r="E845" s="17" t="s">
        <v>206</v>
      </c>
      <c r="F845" s="12" t="s">
        <v>207</v>
      </c>
      <c r="G845" s="14">
        <v>1</v>
      </c>
      <c r="H845" s="24">
        <v>83000</v>
      </c>
      <c r="I845" s="12" t="s">
        <v>546</v>
      </c>
      <c r="J845" s="6" t="s">
        <v>610</v>
      </c>
      <c r="K845" s="6">
        <f t="shared" si="40"/>
        <v>9</v>
      </c>
      <c r="L845" s="6" t="str">
        <f t="shared" si="41"/>
        <v>SEPTIEMBRE</v>
      </c>
    </row>
    <row r="846" spans="1:12" x14ac:dyDescent="0.25">
      <c r="A846" s="5">
        <f t="shared" si="39"/>
        <v>2025</v>
      </c>
      <c r="B846" s="18" t="s">
        <v>1154</v>
      </c>
      <c r="C846" s="18" t="s">
        <v>595</v>
      </c>
      <c r="D846" s="12">
        <v>6243</v>
      </c>
      <c r="E846" s="17" t="s">
        <v>1159</v>
      </c>
      <c r="F846" s="12" t="s">
        <v>1165</v>
      </c>
      <c r="G846" s="14">
        <v>4</v>
      </c>
      <c r="H846" s="24">
        <v>220000</v>
      </c>
      <c r="I846" s="12" t="s">
        <v>546</v>
      </c>
      <c r="J846" s="6" t="s">
        <v>610</v>
      </c>
      <c r="K846" s="6">
        <f t="shared" si="40"/>
        <v>9</v>
      </c>
      <c r="L846" s="6" t="str">
        <f t="shared" si="41"/>
        <v>SEPTIEMBRE</v>
      </c>
    </row>
    <row r="847" spans="1:12" x14ac:dyDescent="0.25">
      <c r="A847" s="5">
        <f t="shared" si="39"/>
        <v>2025</v>
      </c>
      <c r="B847" s="18" t="s">
        <v>1277</v>
      </c>
      <c r="C847" s="18" t="s">
        <v>595</v>
      </c>
      <c r="D847" s="12">
        <v>6370</v>
      </c>
      <c r="E847" s="17" t="s">
        <v>209</v>
      </c>
      <c r="F847" s="12" t="s">
        <v>210</v>
      </c>
      <c r="G847" s="14">
        <v>3</v>
      </c>
      <c r="H847" s="24">
        <v>165030</v>
      </c>
      <c r="I847" s="12" t="s">
        <v>712</v>
      </c>
      <c r="J847" s="6" t="s">
        <v>608</v>
      </c>
      <c r="K847" s="6">
        <f t="shared" si="40"/>
        <v>11</v>
      </c>
      <c r="L847" s="6" t="str">
        <f t="shared" si="41"/>
        <v>NOVIEMBRE</v>
      </c>
    </row>
    <row r="848" spans="1:12" x14ac:dyDescent="0.25">
      <c r="A848" s="5">
        <f t="shared" si="39"/>
        <v>2025</v>
      </c>
      <c r="B848" s="18" t="s">
        <v>1277</v>
      </c>
      <c r="C848" s="18" t="s">
        <v>595</v>
      </c>
      <c r="D848" s="12">
        <v>6370</v>
      </c>
      <c r="E848" s="17">
        <v>55509</v>
      </c>
      <c r="F848" s="12" t="s">
        <v>431</v>
      </c>
      <c r="G848" s="14">
        <v>1</v>
      </c>
      <c r="H848" s="24">
        <v>49000</v>
      </c>
      <c r="I848" s="12" t="s">
        <v>712</v>
      </c>
      <c r="J848" s="6" t="s">
        <v>608</v>
      </c>
      <c r="K848" s="6">
        <f t="shared" si="40"/>
        <v>11</v>
      </c>
      <c r="L848" s="6" t="str">
        <f t="shared" si="41"/>
        <v>NOVIEMBRE</v>
      </c>
    </row>
    <row r="849" spans="1:12" x14ac:dyDescent="0.25">
      <c r="A849" s="5">
        <f t="shared" si="39"/>
        <v>2025</v>
      </c>
      <c r="B849" s="18" t="s">
        <v>1222</v>
      </c>
      <c r="C849" s="18" t="s">
        <v>595</v>
      </c>
      <c r="D849" s="12">
        <v>6321</v>
      </c>
      <c r="E849" s="17" t="s">
        <v>392</v>
      </c>
      <c r="F849" s="12" t="s">
        <v>393</v>
      </c>
      <c r="G849" s="14">
        <v>1</v>
      </c>
      <c r="H849" s="24">
        <v>61000</v>
      </c>
      <c r="I849" s="12" t="s">
        <v>712</v>
      </c>
      <c r="J849" s="6" t="s">
        <v>608</v>
      </c>
      <c r="K849" s="6">
        <f t="shared" si="40"/>
        <v>10</v>
      </c>
      <c r="L849" s="6" t="str">
        <f t="shared" si="41"/>
        <v>OCTUBRE</v>
      </c>
    </row>
    <row r="850" spans="1:12" x14ac:dyDescent="0.25">
      <c r="A850" s="5">
        <f t="shared" si="39"/>
        <v>2025</v>
      </c>
      <c r="B850" s="18" t="s">
        <v>1222</v>
      </c>
      <c r="C850" s="18" t="s">
        <v>595</v>
      </c>
      <c r="D850" s="12">
        <v>6321</v>
      </c>
      <c r="E850" s="17">
        <v>8017</v>
      </c>
      <c r="F850" s="12" t="s">
        <v>391</v>
      </c>
      <c r="G850" s="14">
        <v>1</v>
      </c>
      <c r="H850" s="24">
        <v>18000</v>
      </c>
      <c r="I850" s="12" t="s">
        <v>712</v>
      </c>
      <c r="J850" s="6" t="s">
        <v>608</v>
      </c>
      <c r="K850" s="6">
        <f t="shared" si="40"/>
        <v>10</v>
      </c>
      <c r="L850" s="6" t="str">
        <f t="shared" si="41"/>
        <v>OCTUBRE</v>
      </c>
    </row>
    <row r="851" spans="1:12" x14ac:dyDescent="0.25">
      <c r="A851" s="5">
        <f t="shared" si="39"/>
        <v>2025</v>
      </c>
      <c r="B851" s="18" t="s">
        <v>1277</v>
      </c>
      <c r="C851" s="18" t="s">
        <v>595</v>
      </c>
      <c r="D851" s="12">
        <v>6370</v>
      </c>
      <c r="E851" s="17" t="s">
        <v>526</v>
      </c>
      <c r="F851" s="12" t="s">
        <v>527</v>
      </c>
      <c r="G851" s="14">
        <v>1</v>
      </c>
      <c r="H851" s="24">
        <v>42000</v>
      </c>
      <c r="I851" s="12" t="s">
        <v>712</v>
      </c>
      <c r="J851" s="6" t="s">
        <v>608</v>
      </c>
      <c r="K851" s="6">
        <f t="shared" si="40"/>
        <v>11</v>
      </c>
      <c r="L851" s="6" t="str">
        <f t="shared" si="41"/>
        <v>NOVIEMBRE</v>
      </c>
    </row>
    <row r="852" spans="1:12" x14ac:dyDescent="0.25">
      <c r="A852" s="5">
        <f t="shared" si="39"/>
        <v>2025</v>
      </c>
      <c r="B852" s="18" t="s">
        <v>1277</v>
      </c>
      <c r="C852" s="18" t="s">
        <v>595</v>
      </c>
      <c r="D852" s="12">
        <v>6370</v>
      </c>
      <c r="E852" s="17" t="s">
        <v>373</v>
      </c>
      <c r="F852" s="12" t="s">
        <v>374</v>
      </c>
      <c r="G852" s="14">
        <v>1</v>
      </c>
      <c r="H852" s="24">
        <v>447000</v>
      </c>
      <c r="I852" s="12" t="s">
        <v>712</v>
      </c>
      <c r="J852" s="6" t="s">
        <v>608</v>
      </c>
      <c r="K852" s="6">
        <f t="shared" si="40"/>
        <v>11</v>
      </c>
      <c r="L852" s="6" t="str">
        <f t="shared" si="41"/>
        <v>NOVIEMBRE</v>
      </c>
    </row>
    <row r="853" spans="1:12" x14ac:dyDescent="0.25">
      <c r="A853" s="5">
        <f t="shared" si="39"/>
        <v>2025</v>
      </c>
      <c r="B853" s="18" t="s">
        <v>1277</v>
      </c>
      <c r="C853" s="18" t="s">
        <v>595</v>
      </c>
      <c r="D853" s="12">
        <v>6370</v>
      </c>
      <c r="E853" s="17">
        <v>994346</v>
      </c>
      <c r="F853" s="12" t="s">
        <v>408</v>
      </c>
      <c r="G853" s="14">
        <v>1</v>
      </c>
      <c r="H853" s="24">
        <v>475000</v>
      </c>
      <c r="I853" s="12" t="s">
        <v>712</v>
      </c>
      <c r="J853" s="6" t="s">
        <v>608</v>
      </c>
      <c r="K853" s="6">
        <f t="shared" si="40"/>
        <v>11</v>
      </c>
      <c r="L853" s="6" t="str">
        <f t="shared" si="41"/>
        <v>NOVIEMBRE</v>
      </c>
    </row>
    <row r="854" spans="1:12" x14ac:dyDescent="0.25">
      <c r="A854" s="5">
        <f t="shared" si="39"/>
        <v>2025</v>
      </c>
      <c r="B854" s="18" t="s">
        <v>1277</v>
      </c>
      <c r="C854" s="18" t="s">
        <v>595</v>
      </c>
      <c r="D854" s="12">
        <v>6370</v>
      </c>
      <c r="E854" s="17" t="s">
        <v>647</v>
      </c>
      <c r="F854" s="12" t="s">
        <v>268</v>
      </c>
      <c r="G854" s="14">
        <v>1</v>
      </c>
      <c r="H854" s="24">
        <v>451000</v>
      </c>
      <c r="I854" s="12" t="s">
        <v>712</v>
      </c>
      <c r="J854" s="6" t="s">
        <v>608</v>
      </c>
      <c r="K854" s="6">
        <f t="shared" si="40"/>
        <v>11</v>
      </c>
      <c r="L854" s="6" t="str">
        <f t="shared" si="41"/>
        <v>NOVIEMBRE</v>
      </c>
    </row>
    <row r="855" spans="1:12" x14ac:dyDescent="0.25">
      <c r="A855" s="5">
        <f t="shared" si="39"/>
        <v>2025</v>
      </c>
      <c r="B855" s="18" t="s">
        <v>1277</v>
      </c>
      <c r="C855" s="18" t="s">
        <v>595</v>
      </c>
      <c r="D855" s="12">
        <v>6370</v>
      </c>
      <c r="E855" s="17" t="s">
        <v>599</v>
      </c>
      <c r="F855" s="12" t="s">
        <v>603</v>
      </c>
      <c r="G855" s="14">
        <v>2</v>
      </c>
      <c r="H855" s="24">
        <v>126000</v>
      </c>
      <c r="I855" s="12" t="s">
        <v>712</v>
      </c>
      <c r="J855" s="6" t="s">
        <v>608</v>
      </c>
      <c r="K855" s="6">
        <f t="shared" si="40"/>
        <v>11</v>
      </c>
      <c r="L855" s="6" t="str">
        <f t="shared" si="41"/>
        <v>NOVIEMBRE</v>
      </c>
    </row>
    <row r="856" spans="1:12" x14ac:dyDescent="0.25">
      <c r="A856" s="5">
        <f t="shared" si="39"/>
        <v>2025</v>
      </c>
      <c r="B856" s="18" t="s">
        <v>1277</v>
      </c>
      <c r="C856" s="18" t="s">
        <v>595</v>
      </c>
      <c r="D856" s="12">
        <v>6370</v>
      </c>
      <c r="E856" s="17" t="s">
        <v>955</v>
      </c>
      <c r="F856" s="12" t="s">
        <v>956</v>
      </c>
      <c r="G856" s="14">
        <v>1</v>
      </c>
      <c r="H856" s="24">
        <v>276000</v>
      </c>
      <c r="I856" s="12" t="s">
        <v>712</v>
      </c>
      <c r="J856" s="6" t="s">
        <v>608</v>
      </c>
      <c r="K856" s="6">
        <f t="shared" si="40"/>
        <v>11</v>
      </c>
      <c r="L856" s="6" t="str">
        <f t="shared" si="41"/>
        <v>NOVIEMBRE</v>
      </c>
    </row>
    <row r="857" spans="1:12" x14ac:dyDescent="0.25">
      <c r="A857" s="5">
        <f t="shared" si="39"/>
        <v>2025</v>
      </c>
      <c r="B857" s="18" t="s">
        <v>1277</v>
      </c>
      <c r="C857" s="18" t="s">
        <v>595</v>
      </c>
      <c r="D857" s="12">
        <v>6370</v>
      </c>
      <c r="E857" s="17" t="s">
        <v>482</v>
      </c>
      <c r="F857" s="12" t="s">
        <v>483</v>
      </c>
      <c r="G857" s="14">
        <v>1</v>
      </c>
      <c r="H857" s="24">
        <v>445000</v>
      </c>
      <c r="I857" s="12" t="s">
        <v>712</v>
      </c>
      <c r="J857" s="6" t="s">
        <v>608</v>
      </c>
      <c r="K857" s="6">
        <f t="shared" si="40"/>
        <v>11</v>
      </c>
      <c r="L857" s="6" t="str">
        <f t="shared" si="41"/>
        <v>NOVIEMBRE</v>
      </c>
    </row>
    <row r="858" spans="1:12" x14ac:dyDescent="0.25">
      <c r="A858" s="5">
        <f t="shared" si="39"/>
        <v>2025</v>
      </c>
      <c r="B858" s="18" t="s">
        <v>1277</v>
      </c>
      <c r="C858" s="18" t="s">
        <v>595</v>
      </c>
      <c r="D858" s="12">
        <v>6370</v>
      </c>
      <c r="E858" s="17" t="s">
        <v>228</v>
      </c>
      <c r="F858" s="12" t="s">
        <v>229</v>
      </c>
      <c r="G858" s="14">
        <v>2</v>
      </c>
      <c r="H858" s="24">
        <v>240000</v>
      </c>
      <c r="I858" s="12" t="s">
        <v>712</v>
      </c>
      <c r="J858" s="6" t="s">
        <v>608</v>
      </c>
      <c r="K858" s="6">
        <f t="shared" si="40"/>
        <v>11</v>
      </c>
      <c r="L858" s="6" t="str">
        <f t="shared" si="41"/>
        <v>NOVIEMBRE</v>
      </c>
    </row>
    <row r="859" spans="1:12" x14ac:dyDescent="0.25">
      <c r="A859" s="5">
        <f t="shared" si="39"/>
        <v>2025</v>
      </c>
      <c r="B859" s="18" t="s">
        <v>1277</v>
      </c>
      <c r="C859" s="18" t="s">
        <v>595</v>
      </c>
      <c r="D859" s="12">
        <v>6370</v>
      </c>
      <c r="E859" s="17" t="s">
        <v>213</v>
      </c>
      <c r="F859" s="12" t="s">
        <v>214</v>
      </c>
      <c r="G859" s="14">
        <v>1</v>
      </c>
      <c r="H859" s="24">
        <v>1200000</v>
      </c>
      <c r="I859" s="12" t="s">
        <v>712</v>
      </c>
      <c r="J859" s="6" t="s">
        <v>608</v>
      </c>
      <c r="K859" s="6">
        <f t="shared" si="40"/>
        <v>11</v>
      </c>
      <c r="L859" s="6" t="str">
        <f t="shared" si="41"/>
        <v>NOVIEMBRE</v>
      </c>
    </row>
    <row r="860" spans="1:12" x14ac:dyDescent="0.25">
      <c r="A860" s="5">
        <f t="shared" si="39"/>
        <v>2025</v>
      </c>
      <c r="B860" s="18" t="s">
        <v>1277</v>
      </c>
      <c r="C860" s="18" t="s">
        <v>595</v>
      </c>
      <c r="D860" s="12">
        <v>6370</v>
      </c>
      <c r="E860" s="17" t="s">
        <v>266</v>
      </c>
      <c r="F860" s="12" t="s">
        <v>267</v>
      </c>
      <c r="G860" s="14">
        <v>1</v>
      </c>
      <c r="H860" s="24">
        <v>280000</v>
      </c>
      <c r="I860" s="12" t="s">
        <v>712</v>
      </c>
      <c r="J860" s="6" t="s">
        <v>608</v>
      </c>
      <c r="K860" s="6">
        <f t="shared" si="40"/>
        <v>11</v>
      </c>
      <c r="L860" s="6" t="str">
        <f t="shared" si="41"/>
        <v>NOVIEMBRE</v>
      </c>
    </row>
    <row r="861" spans="1:12" x14ac:dyDescent="0.25">
      <c r="A861" s="5">
        <f t="shared" si="39"/>
        <v>2025</v>
      </c>
      <c r="B861" s="18" t="s">
        <v>1277</v>
      </c>
      <c r="C861" s="18" t="s">
        <v>595</v>
      </c>
      <c r="D861" s="12">
        <v>6370</v>
      </c>
      <c r="E861" s="17">
        <v>128049</v>
      </c>
      <c r="F861" s="12" t="s">
        <v>269</v>
      </c>
      <c r="G861" s="14">
        <v>1</v>
      </c>
      <c r="H861" s="24">
        <v>50000</v>
      </c>
      <c r="I861" s="12" t="s">
        <v>712</v>
      </c>
      <c r="J861" s="6" t="s">
        <v>608</v>
      </c>
      <c r="K861" s="6">
        <f t="shared" si="40"/>
        <v>11</v>
      </c>
      <c r="L861" s="6" t="str">
        <f t="shared" si="41"/>
        <v>NOVIEMBRE</v>
      </c>
    </row>
    <row r="862" spans="1:12" x14ac:dyDescent="0.25">
      <c r="A862" s="5">
        <f t="shared" si="39"/>
        <v>2025</v>
      </c>
      <c r="B862" s="18" t="s">
        <v>1277</v>
      </c>
      <c r="C862" s="18" t="s">
        <v>595</v>
      </c>
      <c r="D862" s="12">
        <v>6370</v>
      </c>
      <c r="E862" s="17" t="s">
        <v>202</v>
      </c>
      <c r="F862" s="12" t="s">
        <v>203</v>
      </c>
      <c r="G862" s="14">
        <v>1</v>
      </c>
      <c r="H862" s="24">
        <v>158137</v>
      </c>
      <c r="I862" s="12" t="s">
        <v>712</v>
      </c>
      <c r="J862" s="6" t="s">
        <v>608</v>
      </c>
      <c r="K862" s="6">
        <f t="shared" si="40"/>
        <v>11</v>
      </c>
      <c r="L862" s="6" t="str">
        <f t="shared" si="41"/>
        <v>NOVIEMBRE</v>
      </c>
    </row>
    <row r="863" spans="1:12" x14ac:dyDescent="0.25">
      <c r="A863" s="5">
        <f t="shared" si="39"/>
        <v>2025</v>
      </c>
      <c r="B863" s="18" t="s">
        <v>1277</v>
      </c>
      <c r="C863" s="18" t="s">
        <v>595</v>
      </c>
      <c r="D863" s="12">
        <v>6370</v>
      </c>
      <c r="E863" s="17" t="s">
        <v>649</v>
      </c>
      <c r="F863" s="12" t="s">
        <v>491</v>
      </c>
      <c r="G863" s="14">
        <v>2</v>
      </c>
      <c r="H863" s="24">
        <v>34000</v>
      </c>
      <c r="I863" s="12" t="s">
        <v>712</v>
      </c>
      <c r="J863" s="6" t="s">
        <v>608</v>
      </c>
      <c r="K863" s="6">
        <f t="shared" si="40"/>
        <v>11</v>
      </c>
      <c r="L863" s="6" t="str">
        <f t="shared" si="41"/>
        <v>NOVIEMBRE</v>
      </c>
    </row>
    <row r="864" spans="1:12" x14ac:dyDescent="0.25">
      <c r="A864" s="5">
        <f t="shared" si="39"/>
        <v>2025</v>
      </c>
      <c r="B864" s="18" t="s">
        <v>1277</v>
      </c>
      <c r="C864" s="18" t="s">
        <v>595</v>
      </c>
      <c r="D864" s="12">
        <v>6370</v>
      </c>
      <c r="E864" s="17">
        <v>78931</v>
      </c>
      <c r="F864" s="12" t="s">
        <v>379</v>
      </c>
      <c r="G864" s="14">
        <v>2</v>
      </c>
      <c r="H864" s="24">
        <v>5000</v>
      </c>
      <c r="I864" s="12" t="s">
        <v>712</v>
      </c>
      <c r="J864" s="6" t="s">
        <v>608</v>
      </c>
      <c r="K864" s="6">
        <f t="shared" si="40"/>
        <v>11</v>
      </c>
      <c r="L864" s="6" t="str">
        <f t="shared" si="41"/>
        <v>NOVIEMBRE</v>
      </c>
    </row>
    <row r="865" spans="1:12" x14ac:dyDescent="0.25">
      <c r="A865" s="5">
        <f t="shared" si="39"/>
        <v>2025</v>
      </c>
      <c r="B865" s="18" t="s">
        <v>1277</v>
      </c>
      <c r="C865" s="18" t="s">
        <v>595</v>
      </c>
      <c r="D865" s="12">
        <v>6370</v>
      </c>
      <c r="E865" s="17" t="s">
        <v>245</v>
      </c>
      <c r="F865" s="12" t="s">
        <v>246</v>
      </c>
      <c r="G865" s="14">
        <v>2</v>
      </c>
      <c r="H865" s="24">
        <v>11000</v>
      </c>
      <c r="I865" s="12" t="s">
        <v>712</v>
      </c>
      <c r="J865" s="6" t="s">
        <v>608</v>
      </c>
      <c r="K865" s="6">
        <f t="shared" si="40"/>
        <v>11</v>
      </c>
      <c r="L865" s="6" t="str">
        <f t="shared" si="41"/>
        <v>NOVIEMBRE</v>
      </c>
    </row>
    <row r="866" spans="1:12" x14ac:dyDescent="0.25">
      <c r="A866" s="5">
        <f t="shared" si="39"/>
        <v>2025</v>
      </c>
      <c r="B866" s="18" t="s">
        <v>1352</v>
      </c>
      <c r="C866" s="18" t="s">
        <v>595</v>
      </c>
      <c r="D866" s="12">
        <v>6414</v>
      </c>
      <c r="E866" s="17" t="s">
        <v>480</v>
      </c>
      <c r="F866" s="12" t="s">
        <v>481</v>
      </c>
      <c r="G866" s="14">
        <v>1</v>
      </c>
      <c r="H866" s="24">
        <v>245000</v>
      </c>
      <c r="I866" s="12" t="s">
        <v>712</v>
      </c>
      <c r="J866" s="6" t="s">
        <v>608</v>
      </c>
      <c r="K866" s="6">
        <f t="shared" si="40"/>
        <v>12</v>
      </c>
      <c r="L866" s="6" t="str">
        <f t="shared" si="41"/>
        <v>DICIEMBRE</v>
      </c>
    </row>
    <row r="867" spans="1:12" x14ac:dyDescent="0.25">
      <c r="A867" s="5">
        <f t="shared" si="39"/>
        <v>2025</v>
      </c>
      <c r="B867" s="18" t="s">
        <v>1352</v>
      </c>
      <c r="C867" s="18" t="s">
        <v>595</v>
      </c>
      <c r="D867" s="12">
        <v>6414</v>
      </c>
      <c r="E867" s="17">
        <v>55509</v>
      </c>
      <c r="F867" s="12" t="s">
        <v>431</v>
      </c>
      <c r="G867" s="14">
        <v>1</v>
      </c>
      <c r="H867" s="24">
        <v>49000</v>
      </c>
      <c r="I867" s="12" t="s">
        <v>712</v>
      </c>
      <c r="J867" s="6" t="s">
        <v>608</v>
      </c>
      <c r="K867" s="6">
        <f t="shared" si="40"/>
        <v>12</v>
      </c>
      <c r="L867" s="6" t="str">
        <f t="shared" si="41"/>
        <v>DICIEMBRE</v>
      </c>
    </row>
    <row r="868" spans="1:12" x14ac:dyDescent="0.25">
      <c r="A868" s="5">
        <f t="shared" si="39"/>
        <v>2025</v>
      </c>
      <c r="B868" s="18" t="s">
        <v>1352</v>
      </c>
      <c r="C868" s="18" t="s">
        <v>595</v>
      </c>
      <c r="D868" s="12">
        <v>6414</v>
      </c>
      <c r="E868" s="17" t="s">
        <v>423</v>
      </c>
      <c r="F868" s="12" t="s">
        <v>424</v>
      </c>
      <c r="G868" s="14">
        <v>1</v>
      </c>
      <c r="H868" s="24">
        <v>82000</v>
      </c>
      <c r="I868" s="12" t="s">
        <v>712</v>
      </c>
      <c r="J868" s="6" t="s">
        <v>608</v>
      </c>
      <c r="K868" s="6">
        <f t="shared" si="40"/>
        <v>12</v>
      </c>
      <c r="L868" s="6" t="str">
        <f t="shared" si="41"/>
        <v>DICIEMBRE</v>
      </c>
    </row>
    <row r="869" spans="1:12" x14ac:dyDescent="0.25">
      <c r="A869" s="5">
        <f t="shared" si="39"/>
        <v>2025</v>
      </c>
      <c r="B869" s="18" t="s">
        <v>1352</v>
      </c>
      <c r="C869" s="18" t="s">
        <v>595</v>
      </c>
      <c r="D869" s="12">
        <v>6414</v>
      </c>
      <c r="E869" s="17" t="s">
        <v>484</v>
      </c>
      <c r="F869" s="12" t="s">
        <v>485</v>
      </c>
      <c r="G869" s="14">
        <v>2</v>
      </c>
      <c r="H869" s="24">
        <v>60000</v>
      </c>
      <c r="I869" s="12" t="s">
        <v>712</v>
      </c>
      <c r="J869" s="6" t="s">
        <v>608</v>
      </c>
      <c r="K869" s="6">
        <f t="shared" si="40"/>
        <v>12</v>
      </c>
      <c r="L869" s="6" t="str">
        <f t="shared" si="41"/>
        <v>DICIEMBRE</v>
      </c>
    </row>
    <row r="870" spans="1:12" x14ac:dyDescent="0.25">
      <c r="A870" s="5">
        <f t="shared" si="39"/>
        <v>2025</v>
      </c>
      <c r="B870" s="18" t="s">
        <v>1352</v>
      </c>
      <c r="C870" s="18" t="s">
        <v>595</v>
      </c>
      <c r="D870" s="12">
        <v>6414</v>
      </c>
      <c r="E870" s="17" t="s">
        <v>371</v>
      </c>
      <c r="F870" s="12" t="s">
        <v>372</v>
      </c>
      <c r="G870" s="14">
        <v>1</v>
      </c>
      <c r="H870" s="24">
        <v>188000</v>
      </c>
      <c r="I870" s="12" t="s">
        <v>712</v>
      </c>
      <c r="J870" s="6" t="s">
        <v>608</v>
      </c>
      <c r="K870" s="6">
        <f t="shared" si="40"/>
        <v>12</v>
      </c>
      <c r="L870" s="6" t="str">
        <f t="shared" si="41"/>
        <v>DICIEMBRE</v>
      </c>
    </row>
    <row r="871" spans="1:12" x14ac:dyDescent="0.25">
      <c r="A871" s="5">
        <f t="shared" si="39"/>
        <v>2025</v>
      </c>
      <c r="B871" s="18" t="s">
        <v>1352</v>
      </c>
      <c r="C871" s="18" t="s">
        <v>595</v>
      </c>
      <c r="D871" s="12">
        <v>6414</v>
      </c>
      <c r="E871" s="17" t="s">
        <v>934</v>
      </c>
      <c r="F871" s="12" t="s">
        <v>935</v>
      </c>
      <c r="G871" s="14">
        <v>1</v>
      </c>
      <c r="H871" s="24">
        <v>53261</v>
      </c>
      <c r="I871" s="12" t="s">
        <v>712</v>
      </c>
      <c r="J871" s="6" t="s">
        <v>608</v>
      </c>
      <c r="K871" s="6">
        <f t="shared" si="40"/>
        <v>12</v>
      </c>
      <c r="L871" s="6" t="str">
        <f t="shared" si="41"/>
        <v>DICIEMBRE</v>
      </c>
    </row>
    <row r="872" spans="1:12" x14ac:dyDescent="0.25">
      <c r="A872" s="5">
        <f t="shared" si="39"/>
        <v>2025</v>
      </c>
      <c r="B872" s="18" t="s">
        <v>1352</v>
      </c>
      <c r="C872" s="18" t="s">
        <v>595</v>
      </c>
      <c r="D872" s="12">
        <v>6414</v>
      </c>
      <c r="E872" s="17" t="s">
        <v>352</v>
      </c>
      <c r="F872" s="12" t="s">
        <v>353</v>
      </c>
      <c r="G872" s="14">
        <v>1</v>
      </c>
      <c r="H872" s="24">
        <v>56000</v>
      </c>
      <c r="I872" s="12" t="s">
        <v>712</v>
      </c>
      <c r="J872" s="6" t="s">
        <v>608</v>
      </c>
      <c r="K872" s="6">
        <f t="shared" si="40"/>
        <v>12</v>
      </c>
      <c r="L872" s="6" t="str">
        <f t="shared" si="41"/>
        <v>DICIEMBRE</v>
      </c>
    </row>
    <row r="873" spans="1:12" x14ac:dyDescent="0.25">
      <c r="A873" s="5">
        <f t="shared" si="39"/>
        <v>2025</v>
      </c>
      <c r="B873" s="18" t="s">
        <v>1352</v>
      </c>
      <c r="C873" s="18" t="s">
        <v>595</v>
      </c>
      <c r="D873" s="12">
        <v>6414</v>
      </c>
      <c r="E873" s="17">
        <v>4304023</v>
      </c>
      <c r="F873" s="12" t="s">
        <v>284</v>
      </c>
      <c r="G873" s="14">
        <v>1</v>
      </c>
      <c r="H873" s="24">
        <v>17500</v>
      </c>
      <c r="I873" s="12" t="s">
        <v>712</v>
      </c>
      <c r="J873" s="6" t="s">
        <v>608</v>
      </c>
      <c r="K873" s="6">
        <f t="shared" si="40"/>
        <v>12</v>
      </c>
      <c r="L873" s="6" t="str">
        <f t="shared" si="41"/>
        <v>DICIEMBRE</v>
      </c>
    </row>
    <row r="874" spans="1:12" x14ac:dyDescent="0.25">
      <c r="A874" s="5">
        <f t="shared" si="39"/>
        <v>2025</v>
      </c>
      <c r="B874" s="18" t="s">
        <v>1352</v>
      </c>
      <c r="C874" s="18" t="s">
        <v>595</v>
      </c>
      <c r="D874" s="12">
        <v>6414</v>
      </c>
      <c r="E874" s="17" t="s">
        <v>293</v>
      </c>
      <c r="F874" s="12" t="s">
        <v>294</v>
      </c>
      <c r="G874" s="14">
        <v>1</v>
      </c>
      <c r="H874" s="24">
        <v>421000</v>
      </c>
      <c r="I874" s="12" t="s">
        <v>712</v>
      </c>
      <c r="J874" s="6" t="s">
        <v>608</v>
      </c>
      <c r="K874" s="6">
        <f t="shared" si="40"/>
        <v>12</v>
      </c>
      <c r="L874" s="6" t="str">
        <f t="shared" si="41"/>
        <v>DICIEMBRE</v>
      </c>
    </row>
    <row r="875" spans="1:12" x14ac:dyDescent="0.25">
      <c r="A875" s="5">
        <f t="shared" si="39"/>
        <v>2025</v>
      </c>
      <c r="B875" s="18" t="s">
        <v>1352</v>
      </c>
      <c r="C875" s="18" t="s">
        <v>595</v>
      </c>
      <c r="D875" s="12">
        <v>6414</v>
      </c>
      <c r="E875" s="17" t="s">
        <v>463</v>
      </c>
      <c r="F875" s="12" t="s">
        <v>464</v>
      </c>
      <c r="G875" s="14">
        <v>1</v>
      </c>
      <c r="H875" s="24">
        <v>356000</v>
      </c>
      <c r="I875" s="12" t="s">
        <v>712</v>
      </c>
      <c r="J875" s="6" t="s">
        <v>608</v>
      </c>
      <c r="K875" s="6">
        <f t="shared" si="40"/>
        <v>12</v>
      </c>
      <c r="L875" s="6" t="str">
        <f t="shared" si="41"/>
        <v>DICIEMBRE</v>
      </c>
    </row>
    <row r="876" spans="1:12" x14ac:dyDescent="0.25">
      <c r="A876" s="5">
        <f t="shared" si="39"/>
        <v>2025</v>
      </c>
      <c r="B876" s="18" t="s">
        <v>1352</v>
      </c>
      <c r="C876" s="18" t="s">
        <v>595</v>
      </c>
      <c r="D876" s="12">
        <v>6414</v>
      </c>
      <c r="E876" s="17" t="s">
        <v>309</v>
      </c>
      <c r="F876" s="12" t="s">
        <v>310</v>
      </c>
      <c r="G876" s="14">
        <v>1</v>
      </c>
      <c r="H876" s="24">
        <v>2100000</v>
      </c>
      <c r="I876" s="12" t="s">
        <v>712</v>
      </c>
      <c r="J876" s="6" t="s">
        <v>608</v>
      </c>
      <c r="K876" s="6">
        <f t="shared" si="40"/>
        <v>12</v>
      </c>
      <c r="L876" s="6" t="str">
        <f t="shared" si="41"/>
        <v>DICIEMBRE</v>
      </c>
    </row>
    <row r="877" spans="1:12" x14ac:dyDescent="0.25">
      <c r="A877" s="5">
        <f t="shared" si="39"/>
        <v>2025</v>
      </c>
      <c r="B877" s="18" t="s">
        <v>1352</v>
      </c>
      <c r="C877" s="18" t="s">
        <v>595</v>
      </c>
      <c r="D877" s="12">
        <v>6414</v>
      </c>
      <c r="E877" s="17">
        <v>4301851</v>
      </c>
      <c r="F877" s="12" t="s">
        <v>185</v>
      </c>
      <c r="G877" s="14">
        <v>1</v>
      </c>
      <c r="H877" s="24">
        <v>105000</v>
      </c>
      <c r="I877" s="12" t="s">
        <v>712</v>
      </c>
      <c r="J877" s="6" t="s">
        <v>608</v>
      </c>
      <c r="K877" s="6">
        <f t="shared" si="40"/>
        <v>12</v>
      </c>
      <c r="L877" s="6" t="str">
        <f t="shared" si="41"/>
        <v>DICIEMBRE</v>
      </c>
    </row>
    <row r="878" spans="1:12" x14ac:dyDescent="0.25">
      <c r="A878" s="5">
        <f t="shared" si="39"/>
        <v>2025</v>
      </c>
      <c r="B878" s="18" t="s">
        <v>1352</v>
      </c>
      <c r="C878" s="18" t="s">
        <v>595</v>
      </c>
      <c r="D878" s="12">
        <v>6414</v>
      </c>
      <c r="E878" s="17" t="s">
        <v>220</v>
      </c>
      <c r="F878" s="12" t="s">
        <v>221</v>
      </c>
      <c r="G878" s="14">
        <v>1</v>
      </c>
      <c r="H878" s="24">
        <v>460000</v>
      </c>
      <c r="I878" s="12" t="s">
        <v>712</v>
      </c>
      <c r="J878" s="6" t="s">
        <v>608</v>
      </c>
      <c r="K878" s="6">
        <f t="shared" si="40"/>
        <v>12</v>
      </c>
      <c r="L878" s="6" t="str">
        <f t="shared" si="41"/>
        <v>DICIEMBRE</v>
      </c>
    </row>
    <row r="879" spans="1:12" x14ac:dyDescent="0.25">
      <c r="A879" s="5">
        <f t="shared" si="39"/>
        <v>2025</v>
      </c>
      <c r="B879" s="18" t="s">
        <v>1352</v>
      </c>
      <c r="C879" s="18" t="s">
        <v>595</v>
      </c>
      <c r="D879" s="12">
        <v>6414</v>
      </c>
      <c r="E879" s="17" t="s">
        <v>377</v>
      </c>
      <c r="F879" s="12" t="s">
        <v>378</v>
      </c>
      <c r="G879" s="14">
        <v>1</v>
      </c>
      <c r="H879" s="24">
        <v>245000</v>
      </c>
      <c r="I879" s="12" t="s">
        <v>712</v>
      </c>
      <c r="J879" s="6" t="s">
        <v>608</v>
      </c>
      <c r="K879" s="6">
        <f t="shared" si="40"/>
        <v>12</v>
      </c>
      <c r="L879" s="6" t="str">
        <f t="shared" si="41"/>
        <v>DICIEMBRE</v>
      </c>
    </row>
    <row r="880" spans="1:12" x14ac:dyDescent="0.25">
      <c r="A880" s="5">
        <f t="shared" si="39"/>
        <v>2025</v>
      </c>
      <c r="B880" s="18" t="s">
        <v>1352</v>
      </c>
      <c r="C880" s="18" t="s">
        <v>595</v>
      </c>
      <c r="D880" s="12">
        <v>6414</v>
      </c>
      <c r="E880" s="17" t="s">
        <v>355</v>
      </c>
      <c r="F880" s="12" t="s">
        <v>356</v>
      </c>
      <c r="G880" s="14">
        <v>2</v>
      </c>
      <c r="H880" s="24">
        <v>310000</v>
      </c>
      <c r="I880" s="12" t="s">
        <v>712</v>
      </c>
      <c r="J880" s="6" t="s">
        <v>608</v>
      </c>
      <c r="K880" s="6">
        <f t="shared" si="40"/>
        <v>12</v>
      </c>
      <c r="L880" s="6" t="str">
        <f t="shared" si="41"/>
        <v>DICIEMBRE</v>
      </c>
    </row>
    <row r="881" spans="1:12" x14ac:dyDescent="0.25">
      <c r="A881" s="5">
        <f t="shared" si="39"/>
        <v>2025</v>
      </c>
      <c r="B881" s="18" t="s">
        <v>1352</v>
      </c>
      <c r="C881" s="18" t="s">
        <v>595</v>
      </c>
      <c r="D881" s="12">
        <v>6414</v>
      </c>
      <c r="E881" s="17">
        <v>4300382</v>
      </c>
      <c r="F881" s="12" t="s">
        <v>411</v>
      </c>
      <c r="G881" s="14">
        <v>1</v>
      </c>
      <c r="H881" s="24">
        <v>33000</v>
      </c>
      <c r="I881" s="12" t="s">
        <v>712</v>
      </c>
      <c r="J881" s="6" t="s">
        <v>608</v>
      </c>
      <c r="K881" s="6">
        <f t="shared" si="40"/>
        <v>12</v>
      </c>
      <c r="L881" s="6" t="str">
        <f t="shared" si="41"/>
        <v>DICIEMBRE</v>
      </c>
    </row>
    <row r="882" spans="1:12" x14ac:dyDescent="0.25">
      <c r="A882" s="5">
        <f t="shared" si="39"/>
        <v>2025</v>
      </c>
      <c r="B882" s="18" t="s">
        <v>1352</v>
      </c>
      <c r="C882" s="18" t="s">
        <v>595</v>
      </c>
      <c r="D882" s="12">
        <v>6414</v>
      </c>
      <c r="E882" s="17">
        <v>4303603</v>
      </c>
      <c r="F882" s="12" t="s">
        <v>335</v>
      </c>
      <c r="G882" s="14">
        <v>2</v>
      </c>
      <c r="H882" s="24">
        <v>80000</v>
      </c>
      <c r="I882" s="12" t="s">
        <v>712</v>
      </c>
      <c r="J882" s="6" t="s">
        <v>608</v>
      </c>
      <c r="K882" s="6">
        <f t="shared" si="40"/>
        <v>12</v>
      </c>
      <c r="L882" s="6" t="str">
        <f t="shared" si="41"/>
        <v>DICIEMBRE</v>
      </c>
    </row>
    <row r="883" spans="1:12" x14ac:dyDescent="0.25">
      <c r="A883" s="5">
        <f t="shared" si="39"/>
        <v>2025</v>
      </c>
      <c r="B883" s="18" t="s">
        <v>1352</v>
      </c>
      <c r="C883" s="18" t="s">
        <v>595</v>
      </c>
      <c r="D883" s="12">
        <v>6414</v>
      </c>
      <c r="E883" s="17">
        <v>4302398</v>
      </c>
      <c r="F883" s="12" t="s">
        <v>412</v>
      </c>
      <c r="G883" s="14">
        <v>4</v>
      </c>
      <c r="H883" s="24">
        <v>124000</v>
      </c>
      <c r="I883" s="12" t="s">
        <v>712</v>
      </c>
      <c r="J883" s="6" t="s">
        <v>608</v>
      </c>
      <c r="K883" s="6">
        <f t="shared" si="40"/>
        <v>12</v>
      </c>
      <c r="L883" s="6" t="str">
        <f t="shared" si="41"/>
        <v>DICIEMBRE</v>
      </c>
    </row>
    <row r="884" spans="1:12" x14ac:dyDescent="0.25">
      <c r="A884" s="5">
        <f t="shared" si="39"/>
        <v>2025</v>
      </c>
      <c r="B884" s="18" t="s">
        <v>1352</v>
      </c>
      <c r="C884" s="18" t="s">
        <v>595</v>
      </c>
      <c r="D884" s="12">
        <v>6414</v>
      </c>
      <c r="E884" s="17" t="s">
        <v>307</v>
      </c>
      <c r="F884" s="12" t="s">
        <v>308</v>
      </c>
      <c r="G884" s="14">
        <v>1</v>
      </c>
      <c r="H884" s="24">
        <v>395000</v>
      </c>
      <c r="I884" s="12" t="s">
        <v>712</v>
      </c>
      <c r="J884" s="6" t="s">
        <v>608</v>
      </c>
      <c r="K884" s="6">
        <f t="shared" si="40"/>
        <v>12</v>
      </c>
      <c r="L884" s="6" t="str">
        <f t="shared" si="41"/>
        <v>DICIEMBRE</v>
      </c>
    </row>
    <row r="885" spans="1:12" x14ac:dyDescent="0.25">
      <c r="A885" s="5">
        <f t="shared" ref="A885:A948" si="42">+YEAR(B885)</f>
        <v>2025</v>
      </c>
      <c r="B885" s="18" t="s">
        <v>1352</v>
      </c>
      <c r="C885" s="18" t="s">
        <v>595</v>
      </c>
      <c r="D885" s="12">
        <v>6414</v>
      </c>
      <c r="E885" s="17" t="s">
        <v>305</v>
      </c>
      <c r="F885" s="12" t="s">
        <v>306</v>
      </c>
      <c r="G885" s="14">
        <v>1</v>
      </c>
      <c r="H885" s="24">
        <v>348000</v>
      </c>
      <c r="I885" s="12" t="s">
        <v>712</v>
      </c>
      <c r="J885" s="6" t="s">
        <v>608</v>
      </c>
      <c r="K885" s="6">
        <f t="shared" ref="K885:K948" si="43">+MONTH(B885)</f>
        <v>12</v>
      </c>
      <c r="L885" s="6" t="str">
        <f t="shared" si="41"/>
        <v>DICIEMBRE</v>
      </c>
    </row>
    <row r="886" spans="1:12" x14ac:dyDescent="0.25">
      <c r="A886" s="5">
        <f t="shared" si="42"/>
        <v>2025</v>
      </c>
      <c r="B886" s="18" t="s">
        <v>1352</v>
      </c>
      <c r="C886" s="18" t="s">
        <v>595</v>
      </c>
      <c r="D886" s="12">
        <v>6414</v>
      </c>
      <c r="E886" s="17" t="s">
        <v>401</v>
      </c>
      <c r="F886" s="12" t="s">
        <v>402</v>
      </c>
      <c r="G886" s="14">
        <v>1</v>
      </c>
      <c r="H886" s="24">
        <v>380000</v>
      </c>
      <c r="I886" s="12" t="s">
        <v>712</v>
      </c>
      <c r="J886" s="6" t="s">
        <v>608</v>
      </c>
      <c r="K886" s="6">
        <f t="shared" si="43"/>
        <v>12</v>
      </c>
      <c r="L886" s="6" t="str">
        <f t="shared" si="41"/>
        <v>DICIEMBRE</v>
      </c>
    </row>
    <row r="887" spans="1:12" x14ac:dyDescent="0.25">
      <c r="A887" s="5">
        <f t="shared" si="42"/>
        <v>2025</v>
      </c>
      <c r="B887" s="18" t="s">
        <v>1352</v>
      </c>
      <c r="C887" s="18" t="s">
        <v>595</v>
      </c>
      <c r="D887" s="12">
        <v>6414</v>
      </c>
      <c r="E887" s="17" t="s">
        <v>413</v>
      </c>
      <c r="F887" s="12" t="s">
        <v>414</v>
      </c>
      <c r="G887" s="14">
        <v>1</v>
      </c>
      <c r="H887" s="24">
        <v>85000</v>
      </c>
      <c r="I887" s="12" t="s">
        <v>712</v>
      </c>
      <c r="J887" s="6" t="s">
        <v>608</v>
      </c>
      <c r="K887" s="6">
        <f t="shared" si="43"/>
        <v>12</v>
      </c>
      <c r="L887" s="6" t="str">
        <f t="shared" si="41"/>
        <v>DICIEMBRE</v>
      </c>
    </row>
    <row r="888" spans="1:12" x14ac:dyDescent="0.25">
      <c r="A888" s="5">
        <f t="shared" si="42"/>
        <v>2025</v>
      </c>
      <c r="B888" s="18" t="s">
        <v>1352</v>
      </c>
      <c r="C888" s="18" t="s">
        <v>595</v>
      </c>
      <c r="D888" s="12">
        <v>6414</v>
      </c>
      <c r="E888" s="17">
        <v>4304615</v>
      </c>
      <c r="F888" s="12" t="s">
        <v>354</v>
      </c>
      <c r="G888" s="14">
        <v>1</v>
      </c>
      <c r="H888" s="24">
        <v>14500</v>
      </c>
      <c r="I888" s="12" t="s">
        <v>712</v>
      </c>
      <c r="J888" s="6" t="s">
        <v>608</v>
      </c>
      <c r="K888" s="6">
        <f t="shared" si="43"/>
        <v>12</v>
      </c>
      <c r="L888" s="6" t="str">
        <f t="shared" si="41"/>
        <v>DICIEMBRE</v>
      </c>
    </row>
    <row r="889" spans="1:12" x14ac:dyDescent="0.25">
      <c r="A889" s="5">
        <f t="shared" si="42"/>
        <v>2025</v>
      </c>
      <c r="B889" s="18" t="s">
        <v>1352</v>
      </c>
      <c r="C889" s="18" t="s">
        <v>595</v>
      </c>
      <c r="D889" s="12">
        <v>6414</v>
      </c>
      <c r="E889" s="17">
        <v>14750</v>
      </c>
      <c r="F889" s="12" t="s">
        <v>462</v>
      </c>
      <c r="G889" s="14">
        <v>1</v>
      </c>
      <c r="H889" s="24">
        <v>3000</v>
      </c>
      <c r="I889" s="12" t="s">
        <v>712</v>
      </c>
      <c r="J889" s="6" t="s">
        <v>608</v>
      </c>
      <c r="K889" s="6">
        <f t="shared" si="43"/>
        <v>12</v>
      </c>
      <c r="L889" s="6" t="str">
        <f t="shared" si="41"/>
        <v>DICIEMBRE</v>
      </c>
    </row>
    <row r="890" spans="1:12" x14ac:dyDescent="0.25">
      <c r="A890" s="5">
        <f t="shared" si="42"/>
        <v>2025</v>
      </c>
      <c r="B890" s="18" t="s">
        <v>1352</v>
      </c>
      <c r="C890" s="18" t="s">
        <v>595</v>
      </c>
      <c r="D890" s="12">
        <v>6414</v>
      </c>
      <c r="E890" s="17" t="s">
        <v>51</v>
      </c>
      <c r="F890" s="12" t="s">
        <v>52</v>
      </c>
      <c r="G890" s="14">
        <v>1</v>
      </c>
      <c r="H890" s="24">
        <v>7000</v>
      </c>
      <c r="I890" s="12" t="s">
        <v>712</v>
      </c>
      <c r="J890" s="6" t="s">
        <v>608</v>
      </c>
      <c r="K890" s="6">
        <f t="shared" si="43"/>
        <v>12</v>
      </c>
      <c r="L890" s="6" t="str">
        <f t="shared" si="41"/>
        <v>DICIEMBRE</v>
      </c>
    </row>
    <row r="891" spans="1:12" x14ac:dyDescent="0.25">
      <c r="A891" s="5">
        <f t="shared" si="42"/>
        <v>2025</v>
      </c>
      <c r="B891" s="18" t="s">
        <v>1352</v>
      </c>
      <c r="C891" s="18" t="s">
        <v>595</v>
      </c>
      <c r="D891" s="12">
        <v>6414</v>
      </c>
      <c r="E891" s="17" t="s">
        <v>951</v>
      </c>
      <c r="F891" s="12" t="s">
        <v>952</v>
      </c>
      <c r="G891" s="14">
        <v>1</v>
      </c>
      <c r="H891" s="24">
        <v>549000</v>
      </c>
      <c r="I891" s="12" t="s">
        <v>712</v>
      </c>
      <c r="J891" s="6" t="s">
        <v>608</v>
      </c>
      <c r="K891" s="6">
        <f t="shared" si="43"/>
        <v>12</v>
      </c>
      <c r="L891" s="6" t="str">
        <f t="shared" si="41"/>
        <v>DICIEMBRE</v>
      </c>
    </row>
    <row r="892" spans="1:12" x14ac:dyDescent="0.25">
      <c r="A892" s="5">
        <f t="shared" si="42"/>
        <v>2025</v>
      </c>
      <c r="B892" s="18" t="s">
        <v>1352</v>
      </c>
      <c r="C892" s="18" t="s">
        <v>595</v>
      </c>
      <c r="D892" s="12">
        <v>6414</v>
      </c>
      <c r="E892" s="17" t="s">
        <v>327</v>
      </c>
      <c r="F892" s="12" t="s">
        <v>328</v>
      </c>
      <c r="G892" s="14">
        <v>1</v>
      </c>
      <c r="H892" s="24">
        <v>411000</v>
      </c>
      <c r="I892" s="12" t="s">
        <v>712</v>
      </c>
      <c r="J892" s="6" t="s">
        <v>608</v>
      </c>
      <c r="K892" s="6">
        <f t="shared" si="43"/>
        <v>12</v>
      </c>
      <c r="L892" s="6" t="str">
        <f t="shared" si="41"/>
        <v>DICIEMBRE</v>
      </c>
    </row>
    <row r="893" spans="1:12" x14ac:dyDescent="0.25">
      <c r="A893" s="5">
        <f t="shared" si="42"/>
        <v>2025</v>
      </c>
      <c r="B893" s="18" t="s">
        <v>1352</v>
      </c>
      <c r="C893" s="18" t="s">
        <v>595</v>
      </c>
      <c r="D893" s="12">
        <v>6414</v>
      </c>
      <c r="E893" s="17">
        <v>86781</v>
      </c>
      <c r="F893" s="12" t="s">
        <v>323</v>
      </c>
      <c r="G893" s="14">
        <v>4</v>
      </c>
      <c r="H893" s="24">
        <v>72000</v>
      </c>
      <c r="I893" s="12" t="s">
        <v>712</v>
      </c>
      <c r="J893" s="6" t="s">
        <v>608</v>
      </c>
      <c r="K893" s="6">
        <f t="shared" si="43"/>
        <v>12</v>
      </c>
      <c r="L893" s="6" t="str">
        <f t="shared" si="41"/>
        <v>DICIEMBRE</v>
      </c>
    </row>
    <row r="894" spans="1:12" x14ac:dyDescent="0.25">
      <c r="A894" s="5">
        <f t="shared" si="42"/>
        <v>2025</v>
      </c>
      <c r="B894" s="18" t="s">
        <v>1352</v>
      </c>
      <c r="C894" s="18" t="s">
        <v>595</v>
      </c>
      <c r="D894" s="12">
        <v>6414</v>
      </c>
      <c r="E894" s="17">
        <v>27274</v>
      </c>
      <c r="F894" s="12" t="s">
        <v>507</v>
      </c>
      <c r="G894" s="14">
        <v>2</v>
      </c>
      <c r="H894" s="24">
        <v>50000</v>
      </c>
      <c r="I894" s="12" t="s">
        <v>712</v>
      </c>
      <c r="J894" s="6" t="s">
        <v>608</v>
      </c>
      <c r="K894" s="6">
        <f t="shared" si="43"/>
        <v>12</v>
      </c>
      <c r="L894" s="6" t="str">
        <f t="shared" si="41"/>
        <v>DICIEMBRE</v>
      </c>
    </row>
    <row r="895" spans="1:12" x14ac:dyDescent="0.25">
      <c r="A895" s="5">
        <f t="shared" si="42"/>
        <v>2025</v>
      </c>
      <c r="B895" s="18" t="s">
        <v>1352</v>
      </c>
      <c r="C895" s="18" t="s">
        <v>595</v>
      </c>
      <c r="D895" s="12">
        <v>6414</v>
      </c>
      <c r="E895" s="17" t="s">
        <v>622</v>
      </c>
      <c r="F895" s="12" t="s">
        <v>624</v>
      </c>
      <c r="G895" s="14">
        <v>1</v>
      </c>
      <c r="H895" s="24">
        <v>391000</v>
      </c>
      <c r="I895" s="12" t="s">
        <v>712</v>
      </c>
      <c r="J895" s="6" t="s">
        <v>608</v>
      </c>
      <c r="K895" s="6">
        <f t="shared" si="43"/>
        <v>12</v>
      </c>
      <c r="L895" s="6" t="str">
        <f t="shared" si="41"/>
        <v>DICIEMBRE</v>
      </c>
    </row>
    <row r="896" spans="1:12" x14ac:dyDescent="0.25">
      <c r="A896" s="5">
        <f t="shared" si="42"/>
        <v>2025</v>
      </c>
      <c r="B896" s="18" t="s">
        <v>1352</v>
      </c>
      <c r="C896" s="18" t="s">
        <v>595</v>
      </c>
      <c r="D896" s="12">
        <v>6414</v>
      </c>
      <c r="E896" s="17" t="s">
        <v>539</v>
      </c>
      <c r="F896" s="12" t="s">
        <v>540</v>
      </c>
      <c r="G896" s="14">
        <v>1</v>
      </c>
      <c r="H896" s="24">
        <v>160000</v>
      </c>
      <c r="I896" s="12" t="s">
        <v>712</v>
      </c>
      <c r="J896" s="6" t="s">
        <v>608</v>
      </c>
      <c r="K896" s="6">
        <f t="shared" si="43"/>
        <v>12</v>
      </c>
      <c r="L896" s="6" t="str">
        <f t="shared" si="41"/>
        <v>DICIEMBRE</v>
      </c>
    </row>
    <row r="897" spans="1:12" x14ac:dyDescent="0.25">
      <c r="A897" s="5">
        <f t="shared" si="42"/>
        <v>2025</v>
      </c>
      <c r="B897" s="18" t="s">
        <v>1352</v>
      </c>
      <c r="C897" s="18" t="s">
        <v>595</v>
      </c>
      <c r="D897" s="12">
        <v>6414</v>
      </c>
      <c r="E897" s="17">
        <v>210737</v>
      </c>
      <c r="F897" s="12" t="s">
        <v>506</v>
      </c>
      <c r="G897" s="14">
        <v>1</v>
      </c>
      <c r="H897" s="24">
        <v>128000</v>
      </c>
      <c r="I897" s="12" t="s">
        <v>712</v>
      </c>
      <c r="J897" s="6" t="s">
        <v>608</v>
      </c>
      <c r="K897" s="6">
        <f t="shared" si="43"/>
        <v>12</v>
      </c>
      <c r="L897" s="6" t="str">
        <f t="shared" si="41"/>
        <v>DICIEMBRE</v>
      </c>
    </row>
    <row r="898" spans="1:12" x14ac:dyDescent="0.25">
      <c r="A898" s="5">
        <f t="shared" si="42"/>
        <v>2025</v>
      </c>
      <c r="B898" s="18" t="s">
        <v>1352</v>
      </c>
      <c r="C898" s="18" t="s">
        <v>595</v>
      </c>
      <c r="D898" s="12">
        <v>6414</v>
      </c>
      <c r="E898" s="17">
        <v>210736</v>
      </c>
      <c r="F898" s="12" t="s">
        <v>504</v>
      </c>
      <c r="G898" s="14">
        <v>3</v>
      </c>
      <c r="H898" s="24">
        <v>465000</v>
      </c>
      <c r="I898" s="12" t="s">
        <v>712</v>
      </c>
      <c r="J898" s="6" t="s">
        <v>608</v>
      </c>
      <c r="K898" s="6">
        <f t="shared" si="43"/>
        <v>12</v>
      </c>
      <c r="L898" s="6" t="str">
        <f t="shared" si="41"/>
        <v>DICIEMBRE</v>
      </c>
    </row>
    <row r="899" spans="1:12" x14ac:dyDescent="0.25">
      <c r="A899" s="5">
        <f t="shared" si="42"/>
        <v>2025</v>
      </c>
      <c r="B899" s="18" t="s">
        <v>1352</v>
      </c>
      <c r="C899" s="18" t="s">
        <v>595</v>
      </c>
      <c r="D899" s="12">
        <v>6414</v>
      </c>
      <c r="E899" s="17" t="s">
        <v>476</v>
      </c>
      <c r="F899" s="12" t="s">
        <v>477</v>
      </c>
      <c r="G899" s="14">
        <v>2</v>
      </c>
      <c r="H899" s="24">
        <v>966000</v>
      </c>
      <c r="I899" s="12" t="s">
        <v>712</v>
      </c>
      <c r="J899" s="6" t="s">
        <v>608</v>
      </c>
      <c r="K899" s="6">
        <f t="shared" si="43"/>
        <v>12</v>
      </c>
      <c r="L899" s="6" t="str">
        <f t="shared" ref="L899:L962" si="44">VLOOKUP(K899,N:O,2,0)</f>
        <v>DICIEMBRE</v>
      </c>
    </row>
    <row r="900" spans="1:12" x14ac:dyDescent="0.25">
      <c r="A900" s="5">
        <f t="shared" si="42"/>
        <v>2025</v>
      </c>
      <c r="B900" s="18" t="s">
        <v>1352</v>
      </c>
      <c r="C900" s="18" t="s">
        <v>595</v>
      </c>
      <c r="D900" s="12">
        <v>6414</v>
      </c>
      <c r="E900" s="17" t="s">
        <v>213</v>
      </c>
      <c r="F900" s="12" t="s">
        <v>214</v>
      </c>
      <c r="G900" s="14">
        <v>1</v>
      </c>
      <c r="H900" s="24">
        <v>1200000</v>
      </c>
      <c r="I900" s="12" t="s">
        <v>712</v>
      </c>
      <c r="J900" s="6" t="s">
        <v>608</v>
      </c>
      <c r="K900" s="6">
        <f t="shared" si="43"/>
        <v>12</v>
      </c>
      <c r="L900" s="6" t="str">
        <f t="shared" si="44"/>
        <v>DICIEMBRE</v>
      </c>
    </row>
    <row r="901" spans="1:12" x14ac:dyDescent="0.25">
      <c r="A901" s="5">
        <f t="shared" si="42"/>
        <v>2025</v>
      </c>
      <c r="B901" s="18" t="s">
        <v>1352</v>
      </c>
      <c r="C901" s="18" t="s">
        <v>595</v>
      </c>
      <c r="D901" s="12">
        <v>6414</v>
      </c>
      <c r="E901" s="17" t="s">
        <v>465</v>
      </c>
      <c r="F901" s="12" t="s">
        <v>466</v>
      </c>
      <c r="G901" s="14">
        <v>1</v>
      </c>
      <c r="H901" s="24">
        <v>65000</v>
      </c>
      <c r="I901" s="12" t="s">
        <v>712</v>
      </c>
      <c r="J901" s="6" t="s">
        <v>608</v>
      </c>
      <c r="K901" s="6">
        <f t="shared" si="43"/>
        <v>12</v>
      </c>
      <c r="L901" s="6" t="str">
        <f t="shared" si="44"/>
        <v>DICIEMBRE</v>
      </c>
    </row>
    <row r="902" spans="1:12" x14ac:dyDescent="0.25">
      <c r="A902" s="5">
        <f t="shared" si="42"/>
        <v>2025</v>
      </c>
      <c r="B902" s="18" t="s">
        <v>1352</v>
      </c>
      <c r="C902" s="18" t="s">
        <v>595</v>
      </c>
      <c r="D902" s="12">
        <v>6414</v>
      </c>
      <c r="E902" s="17">
        <v>57</v>
      </c>
      <c r="F902" s="12" t="s">
        <v>581</v>
      </c>
      <c r="G902" s="14">
        <v>1</v>
      </c>
      <c r="H902" s="24">
        <v>45000</v>
      </c>
      <c r="I902" s="12" t="s">
        <v>712</v>
      </c>
      <c r="J902" s="6" t="s">
        <v>608</v>
      </c>
      <c r="K902" s="6">
        <f t="shared" si="43"/>
        <v>12</v>
      </c>
      <c r="L902" s="6" t="str">
        <f t="shared" si="44"/>
        <v>DICIEMBRE</v>
      </c>
    </row>
    <row r="903" spans="1:12" x14ac:dyDescent="0.25">
      <c r="A903" s="5">
        <f t="shared" si="42"/>
        <v>2025</v>
      </c>
      <c r="B903" s="18" t="s">
        <v>1352</v>
      </c>
      <c r="C903" s="18" t="s">
        <v>595</v>
      </c>
      <c r="D903" s="12">
        <v>6414</v>
      </c>
      <c r="E903" s="17">
        <v>85003</v>
      </c>
      <c r="F903" s="12" t="s">
        <v>449</v>
      </c>
      <c r="G903" s="14">
        <v>3</v>
      </c>
      <c r="H903" s="24">
        <v>63000</v>
      </c>
      <c r="I903" s="12" t="s">
        <v>712</v>
      </c>
      <c r="J903" s="6" t="s">
        <v>608</v>
      </c>
      <c r="K903" s="6">
        <f t="shared" si="43"/>
        <v>12</v>
      </c>
      <c r="L903" s="6" t="str">
        <f t="shared" si="44"/>
        <v>DICIEMBRE</v>
      </c>
    </row>
    <row r="904" spans="1:12" x14ac:dyDescent="0.25">
      <c r="A904" s="5">
        <f t="shared" si="42"/>
        <v>2025</v>
      </c>
      <c r="B904" s="18" t="s">
        <v>1352</v>
      </c>
      <c r="C904" s="18" t="s">
        <v>595</v>
      </c>
      <c r="D904" s="12">
        <v>6414</v>
      </c>
      <c r="E904" s="17">
        <v>23559</v>
      </c>
      <c r="F904" s="12" t="s">
        <v>129</v>
      </c>
      <c r="G904" s="14">
        <v>1</v>
      </c>
      <c r="H904" s="24">
        <v>5000</v>
      </c>
      <c r="I904" s="12" t="s">
        <v>712</v>
      </c>
      <c r="J904" s="6" t="s">
        <v>608</v>
      </c>
      <c r="K904" s="6">
        <f t="shared" si="43"/>
        <v>12</v>
      </c>
      <c r="L904" s="6" t="str">
        <f t="shared" si="44"/>
        <v>DICIEMBRE</v>
      </c>
    </row>
    <row r="905" spans="1:12" x14ac:dyDescent="0.25">
      <c r="A905" s="5">
        <f t="shared" si="42"/>
        <v>2025</v>
      </c>
      <c r="B905" s="18" t="s">
        <v>1352</v>
      </c>
      <c r="C905" s="18" t="s">
        <v>595</v>
      </c>
      <c r="D905" s="12">
        <v>6414</v>
      </c>
      <c r="E905" s="17" t="s">
        <v>415</v>
      </c>
      <c r="F905" s="12" t="s">
        <v>416</v>
      </c>
      <c r="G905" s="14">
        <v>1</v>
      </c>
      <c r="H905" s="24">
        <v>422000</v>
      </c>
      <c r="I905" s="12" t="s">
        <v>712</v>
      </c>
      <c r="J905" s="6" t="s">
        <v>608</v>
      </c>
      <c r="K905" s="6">
        <f t="shared" si="43"/>
        <v>12</v>
      </c>
      <c r="L905" s="6" t="str">
        <f t="shared" si="44"/>
        <v>DICIEMBRE</v>
      </c>
    </row>
    <row r="906" spans="1:12" x14ac:dyDescent="0.25">
      <c r="A906" s="5">
        <f t="shared" si="42"/>
        <v>2025</v>
      </c>
      <c r="B906" s="18" t="s">
        <v>1352</v>
      </c>
      <c r="C906" s="18" t="s">
        <v>595</v>
      </c>
      <c r="D906" s="12">
        <v>6414</v>
      </c>
      <c r="E906" s="17" t="s">
        <v>342</v>
      </c>
      <c r="F906" s="12" t="s">
        <v>343</v>
      </c>
      <c r="G906" s="14">
        <v>1</v>
      </c>
      <c r="H906" s="24">
        <v>240000</v>
      </c>
      <c r="I906" s="12" t="s">
        <v>712</v>
      </c>
      <c r="J906" s="6" t="s">
        <v>608</v>
      </c>
      <c r="K906" s="6">
        <f t="shared" si="43"/>
        <v>12</v>
      </c>
      <c r="L906" s="6" t="str">
        <f t="shared" si="44"/>
        <v>DICIEMBRE</v>
      </c>
    </row>
    <row r="907" spans="1:12" x14ac:dyDescent="0.25">
      <c r="A907" s="5">
        <f t="shared" si="42"/>
        <v>2025</v>
      </c>
      <c r="B907" s="18" t="s">
        <v>1352</v>
      </c>
      <c r="C907" s="18" t="s">
        <v>595</v>
      </c>
      <c r="D907" s="12">
        <v>6414</v>
      </c>
      <c r="E907" s="17" t="s">
        <v>181</v>
      </c>
      <c r="F907" s="12" t="s">
        <v>182</v>
      </c>
      <c r="G907" s="14">
        <v>1</v>
      </c>
      <c r="H907" s="24">
        <v>103000</v>
      </c>
      <c r="I907" s="12" t="s">
        <v>712</v>
      </c>
      <c r="J907" s="6" t="s">
        <v>608</v>
      </c>
      <c r="K907" s="6">
        <f t="shared" si="43"/>
        <v>12</v>
      </c>
      <c r="L907" s="6" t="str">
        <f t="shared" si="44"/>
        <v>DICIEMBRE</v>
      </c>
    </row>
    <row r="908" spans="1:12" x14ac:dyDescent="0.25">
      <c r="A908" s="5">
        <f t="shared" si="42"/>
        <v>2025</v>
      </c>
      <c r="B908" s="18" t="s">
        <v>1352</v>
      </c>
      <c r="C908" s="18" t="s">
        <v>595</v>
      </c>
      <c r="D908" s="12">
        <v>6414</v>
      </c>
      <c r="E908" s="17" t="s">
        <v>43</v>
      </c>
      <c r="F908" s="12" t="s">
        <v>44</v>
      </c>
      <c r="G908" s="14">
        <v>1</v>
      </c>
      <c r="H908" s="24">
        <v>260000</v>
      </c>
      <c r="I908" s="12" t="s">
        <v>712</v>
      </c>
      <c r="J908" s="6" t="s">
        <v>608</v>
      </c>
      <c r="K908" s="6">
        <f t="shared" si="43"/>
        <v>12</v>
      </c>
      <c r="L908" s="6" t="str">
        <f t="shared" si="44"/>
        <v>DICIEMBRE</v>
      </c>
    </row>
    <row r="909" spans="1:12" x14ac:dyDescent="0.25">
      <c r="A909" s="5">
        <f t="shared" si="42"/>
        <v>2025</v>
      </c>
      <c r="B909" s="18" t="s">
        <v>1352</v>
      </c>
      <c r="C909" s="18" t="s">
        <v>595</v>
      </c>
      <c r="D909" s="12">
        <v>6414</v>
      </c>
      <c r="E909" s="17">
        <v>121302</v>
      </c>
      <c r="F909" s="12" t="s">
        <v>530</v>
      </c>
      <c r="G909" s="14">
        <v>1</v>
      </c>
      <c r="H909" s="24">
        <v>335000</v>
      </c>
      <c r="I909" s="12" t="s">
        <v>712</v>
      </c>
      <c r="J909" s="6" t="s">
        <v>608</v>
      </c>
      <c r="K909" s="6">
        <f t="shared" si="43"/>
        <v>12</v>
      </c>
      <c r="L909" s="6" t="str">
        <f t="shared" si="44"/>
        <v>DICIEMBRE</v>
      </c>
    </row>
    <row r="910" spans="1:12" x14ac:dyDescent="0.25">
      <c r="A910" s="5">
        <f t="shared" si="42"/>
        <v>2025</v>
      </c>
      <c r="B910" s="18" t="s">
        <v>1352</v>
      </c>
      <c r="C910" s="18" t="s">
        <v>595</v>
      </c>
      <c r="D910" s="12">
        <v>6414</v>
      </c>
      <c r="E910" s="17">
        <v>79034</v>
      </c>
      <c r="F910" s="12" t="s">
        <v>529</v>
      </c>
      <c r="G910" s="14">
        <v>1</v>
      </c>
      <c r="H910" s="24">
        <v>92000</v>
      </c>
      <c r="I910" s="12" t="s">
        <v>712</v>
      </c>
      <c r="J910" s="6" t="s">
        <v>608</v>
      </c>
      <c r="K910" s="6">
        <f t="shared" si="43"/>
        <v>12</v>
      </c>
      <c r="L910" s="6" t="str">
        <f t="shared" si="44"/>
        <v>DICIEMBRE</v>
      </c>
    </row>
    <row r="911" spans="1:12" x14ac:dyDescent="0.25">
      <c r="A911" s="5">
        <f t="shared" si="42"/>
        <v>2025</v>
      </c>
      <c r="B911" s="18" t="s">
        <v>1352</v>
      </c>
      <c r="C911" s="18" t="s">
        <v>595</v>
      </c>
      <c r="D911" s="12">
        <v>6414</v>
      </c>
      <c r="E911" s="17">
        <v>126180</v>
      </c>
      <c r="F911" s="12" t="s">
        <v>505</v>
      </c>
      <c r="G911" s="14">
        <v>1</v>
      </c>
      <c r="H911" s="24">
        <v>17000</v>
      </c>
      <c r="I911" s="12" t="s">
        <v>712</v>
      </c>
      <c r="J911" s="6" t="s">
        <v>608</v>
      </c>
      <c r="K911" s="6">
        <f t="shared" si="43"/>
        <v>12</v>
      </c>
      <c r="L911" s="6" t="str">
        <f t="shared" si="44"/>
        <v>DICIEMBRE</v>
      </c>
    </row>
    <row r="912" spans="1:12" x14ac:dyDescent="0.25">
      <c r="A912" s="5">
        <f t="shared" si="42"/>
        <v>2025</v>
      </c>
      <c r="B912" s="18" t="s">
        <v>1352</v>
      </c>
      <c r="C912" s="18" t="s">
        <v>595</v>
      </c>
      <c r="D912" s="12">
        <v>6414</v>
      </c>
      <c r="E912" s="17" t="s">
        <v>363</v>
      </c>
      <c r="F912" s="12" t="s">
        <v>364</v>
      </c>
      <c r="G912" s="14">
        <v>1</v>
      </c>
      <c r="H912" s="24">
        <v>66000</v>
      </c>
      <c r="I912" s="12" t="s">
        <v>712</v>
      </c>
      <c r="J912" s="6" t="s">
        <v>608</v>
      </c>
      <c r="K912" s="6">
        <f t="shared" si="43"/>
        <v>12</v>
      </c>
      <c r="L912" s="6" t="str">
        <f t="shared" si="44"/>
        <v>DICIEMBRE</v>
      </c>
    </row>
    <row r="913" spans="1:12" x14ac:dyDescent="0.25">
      <c r="A913" s="5">
        <f t="shared" si="42"/>
        <v>2025</v>
      </c>
      <c r="B913" s="18" t="s">
        <v>1152</v>
      </c>
      <c r="C913" s="18" t="s">
        <v>595</v>
      </c>
      <c r="D913" s="12">
        <v>6238</v>
      </c>
      <c r="E913" s="17" t="s">
        <v>1155</v>
      </c>
      <c r="F913" s="12" t="s">
        <v>1161</v>
      </c>
      <c r="G913" s="14">
        <v>3</v>
      </c>
      <c r="H913" s="24">
        <v>211500</v>
      </c>
      <c r="I913" s="12" t="s">
        <v>546</v>
      </c>
      <c r="J913" s="6" t="s">
        <v>610</v>
      </c>
      <c r="K913" s="6">
        <f t="shared" si="43"/>
        <v>9</v>
      </c>
      <c r="L913" s="6" t="str">
        <f t="shared" si="44"/>
        <v>SEPTIEMBRE</v>
      </c>
    </row>
    <row r="914" spans="1:12" x14ac:dyDescent="0.25">
      <c r="A914" s="5">
        <f t="shared" si="42"/>
        <v>2025</v>
      </c>
      <c r="B914" s="18" t="s">
        <v>1152</v>
      </c>
      <c r="C914" s="18" t="s">
        <v>595</v>
      </c>
      <c r="D914" s="12">
        <v>6238</v>
      </c>
      <c r="E914" s="17" t="s">
        <v>305</v>
      </c>
      <c r="F914" s="12" t="s">
        <v>306</v>
      </c>
      <c r="G914" s="14">
        <v>1</v>
      </c>
      <c r="H914" s="24">
        <v>340000</v>
      </c>
      <c r="I914" s="12" t="s">
        <v>546</v>
      </c>
      <c r="J914" s="6" t="s">
        <v>610</v>
      </c>
      <c r="K914" s="6">
        <f t="shared" si="43"/>
        <v>9</v>
      </c>
      <c r="L914" s="6" t="str">
        <f t="shared" si="44"/>
        <v>SEPTIEMBRE</v>
      </c>
    </row>
    <row r="915" spans="1:12" x14ac:dyDescent="0.25">
      <c r="A915" s="5">
        <f t="shared" si="42"/>
        <v>2025</v>
      </c>
      <c r="B915" s="18" t="s">
        <v>1190</v>
      </c>
      <c r="C915" s="18" t="s">
        <v>595</v>
      </c>
      <c r="D915" s="12">
        <v>6307</v>
      </c>
      <c r="E915" s="17" t="s">
        <v>1034</v>
      </c>
      <c r="F915" s="12" t="s">
        <v>1040</v>
      </c>
      <c r="G915" s="14">
        <v>2</v>
      </c>
      <c r="H915" s="24">
        <v>118000</v>
      </c>
      <c r="I915" s="12" t="s">
        <v>546</v>
      </c>
      <c r="J915" s="6" t="s">
        <v>610</v>
      </c>
      <c r="K915" s="6">
        <f t="shared" si="43"/>
        <v>10</v>
      </c>
      <c r="L915" s="6" t="str">
        <f t="shared" si="44"/>
        <v>OCTUBRE</v>
      </c>
    </row>
    <row r="916" spans="1:12" x14ac:dyDescent="0.25">
      <c r="A916" s="5">
        <f t="shared" si="42"/>
        <v>2025</v>
      </c>
      <c r="B916" s="18" t="s">
        <v>1177</v>
      </c>
      <c r="C916" s="18" t="s">
        <v>595</v>
      </c>
      <c r="D916" s="12">
        <v>6269</v>
      </c>
      <c r="E916" s="17" t="s">
        <v>490</v>
      </c>
      <c r="F916" s="12" t="s">
        <v>491</v>
      </c>
      <c r="G916" s="14">
        <v>2</v>
      </c>
      <c r="H916" s="24">
        <v>17396</v>
      </c>
      <c r="I916" s="12" t="s">
        <v>546</v>
      </c>
      <c r="J916" s="6" t="s">
        <v>610</v>
      </c>
      <c r="K916" s="6">
        <f t="shared" si="43"/>
        <v>9</v>
      </c>
      <c r="L916" s="6" t="str">
        <f t="shared" si="44"/>
        <v>SEPTIEMBRE</v>
      </c>
    </row>
    <row r="917" spans="1:12" x14ac:dyDescent="0.25">
      <c r="A917" s="5">
        <f t="shared" si="42"/>
        <v>2025</v>
      </c>
      <c r="B917" s="18" t="s">
        <v>1177</v>
      </c>
      <c r="C917" s="18" t="s">
        <v>595</v>
      </c>
      <c r="D917" s="12">
        <v>6269</v>
      </c>
      <c r="E917" s="17" t="s">
        <v>282</v>
      </c>
      <c r="F917" s="12" t="s">
        <v>283</v>
      </c>
      <c r="G917" s="14">
        <v>1</v>
      </c>
      <c r="H917" s="24">
        <v>330000</v>
      </c>
      <c r="I917" s="12" t="s">
        <v>546</v>
      </c>
      <c r="J917" s="6" t="s">
        <v>610</v>
      </c>
      <c r="K917" s="6">
        <f t="shared" si="43"/>
        <v>9</v>
      </c>
      <c r="L917" s="6" t="str">
        <f t="shared" si="44"/>
        <v>SEPTIEMBRE</v>
      </c>
    </row>
    <row r="918" spans="1:12" x14ac:dyDescent="0.25">
      <c r="A918" s="5">
        <f t="shared" si="42"/>
        <v>2025</v>
      </c>
      <c r="B918" s="18" t="s">
        <v>1177</v>
      </c>
      <c r="C918" s="18" t="s">
        <v>595</v>
      </c>
      <c r="D918" s="12">
        <v>6269</v>
      </c>
      <c r="E918" s="17">
        <v>4024808</v>
      </c>
      <c r="F918" s="12" t="s">
        <v>1111</v>
      </c>
      <c r="G918" s="14">
        <v>2</v>
      </c>
      <c r="H918" s="24">
        <v>262000</v>
      </c>
      <c r="I918" s="12" t="s">
        <v>546</v>
      </c>
      <c r="J918" s="6" t="s">
        <v>610</v>
      </c>
      <c r="K918" s="6">
        <f t="shared" si="43"/>
        <v>9</v>
      </c>
      <c r="L918" s="6" t="str">
        <f t="shared" si="44"/>
        <v>SEPTIEMBRE</v>
      </c>
    </row>
    <row r="919" spans="1:12" x14ac:dyDescent="0.25">
      <c r="A919" s="5">
        <f t="shared" si="42"/>
        <v>2025</v>
      </c>
      <c r="B919" s="18" t="s">
        <v>1177</v>
      </c>
      <c r="C919" s="18" t="s">
        <v>595</v>
      </c>
      <c r="D919" s="12">
        <v>6269</v>
      </c>
      <c r="E919" s="17" t="s">
        <v>1053</v>
      </c>
      <c r="F919" s="12" t="s">
        <v>115</v>
      </c>
      <c r="G919" s="14">
        <v>1</v>
      </c>
      <c r="H919" s="24">
        <v>107800</v>
      </c>
      <c r="I919" s="12" t="s">
        <v>546</v>
      </c>
      <c r="J919" s="6" t="s">
        <v>610</v>
      </c>
      <c r="K919" s="6">
        <f t="shared" si="43"/>
        <v>9</v>
      </c>
      <c r="L919" s="6" t="str">
        <f t="shared" si="44"/>
        <v>SEPTIEMBRE</v>
      </c>
    </row>
    <row r="920" spans="1:12" x14ac:dyDescent="0.25">
      <c r="A920" s="5">
        <f t="shared" si="42"/>
        <v>2025</v>
      </c>
      <c r="B920" s="18" t="s">
        <v>1177</v>
      </c>
      <c r="C920" s="18" t="s">
        <v>595</v>
      </c>
      <c r="D920" s="12">
        <v>6269</v>
      </c>
      <c r="E920" s="17">
        <v>4304023</v>
      </c>
      <c r="F920" s="12" t="s">
        <v>284</v>
      </c>
      <c r="G920" s="14">
        <v>1</v>
      </c>
      <c r="H920" s="24">
        <v>14500</v>
      </c>
      <c r="I920" s="12" t="s">
        <v>546</v>
      </c>
      <c r="J920" s="6" t="s">
        <v>610</v>
      </c>
      <c r="K920" s="6">
        <f t="shared" si="43"/>
        <v>9</v>
      </c>
      <c r="L920" s="6" t="str">
        <f t="shared" si="44"/>
        <v>SEPTIEMBRE</v>
      </c>
    </row>
    <row r="921" spans="1:12" x14ac:dyDescent="0.25">
      <c r="A921" s="5">
        <f t="shared" si="42"/>
        <v>2025</v>
      </c>
      <c r="B921" s="18" t="s">
        <v>1177</v>
      </c>
      <c r="C921" s="18" t="s">
        <v>595</v>
      </c>
      <c r="D921" s="12">
        <v>6269</v>
      </c>
      <c r="E921" s="17" t="s">
        <v>1089</v>
      </c>
      <c r="F921" s="12" t="s">
        <v>1090</v>
      </c>
      <c r="G921" s="14">
        <v>2</v>
      </c>
      <c r="H921" s="24">
        <v>244000</v>
      </c>
      <c r="I921" s="12" t="s">
        <v>546</v>
      </c>
      <c r="J921" s="6" t="s">
        <v>610</v>
      </c>
      <c r="K921" s="6">
        <f t="shared" si="43"/>
        <v>9</v>
      </c>
      <c r="L921" s="6" t="str">
        <f t="shared" si="44"/>
        <v>SEPTIEMBRE</v>
      </c>
    </row>
    <row r="922" spans="1:12" x14ac:dyDescent="0.25">
      <c r="A922" s="5">
        <f t="shared" si="42"/>
        <v>2025</v>
      </c>
      <c r="B922" s="18" t="s">
        <v>1283</v>
      </c>
      <c r="C922" s="18" t="s">
        <v>595</v>
      </c>
      <c r="D922" s="12">
        <v>6378</v>
      </c>
      <c r="E922" s="17" t="s">
        <v>1001</v>
      </c>
      <c r="F922" s="12" t="s">
        <v>1002</v>
      </c>
      <c r="G922" s="14">
        <v>9</v>
      </c>
      <c r="H922" s="24">
        <v>828000</v>
      </c>
      <c r="I922" s="12" t="s">
        <v>546</v>
      </c>
      <c r="J922" s="6" t="s">
        <v>610</v>
      </c>
      <c r="K922" s="6">
        <f t="shared" si="43"/>
        <v>11</v>
      </c>
      <c r="L922" s="6" t="str">
        <f t="shared" si="44"/>
        <v>NOVIEMBRE</v>
      </c>
    </row>
    <row r="923" spans="1:12" x14ac:dyDescent="0.25">
      <c r="A923" s="5">
        <f t="shared" si="42"/>
        <v>2025</v>
      </c>
      <c r="B923" s="18" t="s">
        <v>1283</v>
      </c>
      <c r="C923" s="18" t="s">
        <v>595</v>
      </c>
      <c r="D923" s="12">
        <v>6378</v>
      </c>
      <c r="E923" s="17" t="s">
        <v>1121</v>
      </c>
      <c r="F923" s="12" t="s">
        <v>1124</v>
      </c>
      <c r="G923" s="14">
        <v>6</v>
      </c>
      <c r="H923" s="24">
        <v>456534</v>
      </c>
      <c r="I923" s="12" t="s">
        <v>546</v>
      </c>
      <c r="J923" s="6" t="s">
        <v>610</v>
      </c>
      <c r="K923" s="6">
        <f t="shared" si="43"/>
        <v>11</v>
      </c>
      <c r="L923" s="6" t="str">
        <f t="shared" si="44"/>
        <v>NOVIEMBRE</v>
      </c>
    </row>
    <row r="924" spans="1:12" x14ac:dyDescent="0.25">
      <c r="A924" s="5">
        <f t="shared" si="42"/>
        <v>2025</v>
      </c>
      <c r="B924" s="18" t="s">
        <v>1283</v>
      </c>
      <c r="C924" s="18" t="s">
        <v>595</v>
      </c>
      <c r="D924" s="12">
        <v>6378</v>
      </c>
      <c r="E924" s="17" t="s">
        <v>325</v>
      </c>
      <c r="F924" s="12" t="s">
        <v>326</v>
      </c>
      <c r="G924" s="14">
        <v>3</v>
      </c>
      <c r="H924" s="24">
        <v>611682</v>
      </c>
      <c r="I924" s="12" t="s">
        <v>546</v>
      </c>
      <c r="J924" s="6" t="s">
        <v>610</v>
      </c>
      <c r="K924" s="6">
        <f t="shared" si="43"/>
        <v>11</v>
      </c>
      <c r="L924" s="6" t="str">
        <f t="shared" si="44"/>
        <v>NOVIEMBRE</v>
      </c>
    </row>
    <row r="925" spans="1:12" x14ac:dyDescent="0.25">
      <c r="A925" s="5">
        <f t="shared" si="42"/>
        <v>2025</v>
      </c>
      <c r="B925" s="18" t="s">
        <v>1283</v>
      </c>
      <c r="C925" s="18" t="s">
        <v>595</v>
      </c>
      <c r="D925" s="12">
        <v>6378</v>
      </c>
      <c r="E925" s="17" t="s">
        <v>1023</v>
      </c>
      <c r="F925" s="12" t="s">
        <v>1024</v>
      </c>
      <c r="G925" s="14">
        <v>52</v>
      </c>
      <c r="H925" s="24">
        <v>5091528</v>
      </c>
      <c r="I925" s="12" t="s">
        <v>546</v>
      </c>
      <c r="J925" s="6" t="s">
        <v>610</v>
      </c>
      <c r="K925" s="6">
        <f t="shared" si="43"/>
        <v>11</v>
      </c>
      <c r="L925" s="6" t="str">
        <f t="shared" si="44"/>
        <v>NOVIEMBRE</v>
      </c>
    </row>
    <row r="926" spans="1:12" x14ac:dyDescent="0.25">
      <c r="A926" s="5">
        <f t="shared" si="42"/>
        <v>2025</v>
      </c>
      <c r="B926" s="18" t="s">
        <v>1283</v>
      </c>
      <c r="C926" s="18" t="s">
        <v>595</v>
      </c>
      <c r="D926" s="12">
        <v>6378</v>
      </c>
      <c r="E926" s="17">
        <v>3683695</v>
      </c>
      <c r="F926" s="12" t="s">
        <v>1216</v>
      </c>
      <c r="G926" s="14">
        <v>2</v>
      </c>
      <c r="H926" s="24">
        <v>96000</v>
      </c>
      <c r="I926" s="12" t="s">
        <v>546</v>
      </c>
      <c r="J926" s="6" t="s">
        <v>610</v>
      </c>
      <c r="K926" s="6">
        <f t="shared" si="43"/>
        <v>11</v>
      </c>
      <c r="L926" s="6" t="str">
        <f t="shared" si="44"/>
        <v>NOVIEMBRE</v>
      </c>
    </row>
    <row r="927" spans="1:12" x14ac:dyDescent="0.25">
      <c r="A927" s="5">
        <f t="shared" si="42"/>
        <v>2025</v>
      </c>
      <c r="B927" s="18" t="s">
        <v>1283</v>
      </c>
      <c r="C927" s="18" t="s">
        <v>595</v>
      </c>
      <c r="D927" s="12">
        <v>6378</v>
      </c>
      <c r="E927" s="17" t="s">
        <v>1091</v>
      </c>
      <c r="F927" s="12" t="s">
        <v>203</v>
      </c>
      <c r="G927" s="14">
        <v>2</v>
      </c>
      <c r="H927" s="24">
        <v>196000</v>
      </c>
      <c r="I927" s="12" t="s">
        <v>546</v>
      </c>
      <c r="J927" s="6" t="s">
        <v>610</v>
      </c>
      <c r="K927" s="6">
        <f t="shared" si="43"/>
        <v>11</v>
      </c>
      <c r="L927" s="6" t="str">
        <f t="shared" si="44"/>
        <v>NOVIEMBRE</v>
      </c>
    </row>
    <row r="928" spans="1:12" x14ac:dyDescent="0.25">
      <c r="A928" s="5">
        <f t="shared" si="42"/>
        <v>2025</v>
      </c>
      <c r="B928" s="18" t="s">
        <v>1283</v>
      </c>
      <c r="C928" s="18" t="s">
        <v>595</v>
      </c>
      <c r="D928" s="12">
        <v>6378</v>
      </c>
      <c r="E928" s="17" t="s">
        <v>215</v>
      </c>
      <c r="F928" s="12" t="s">
        <v>216</v>
      </c>
      <c r="G928" s="14">
        <v>3</v>
      </c>
      <c r="H928" s="24">
        <v>540000</v>
      </c>
      <c r="I928" s="12" t="s">
        <v>546</v>
      </c>
      <c r="J928" s="6" t="s">
        <v>610</v>
      </c>
      <c r="K928" s="6">
        <f t="shared" si="43"/>
        <v>11</v>
      </c>
      <c r="L928" s="6" t="str">
        <f t="shared" si="44"/>
        <v>NOVIEMBRE</v>
      </c>
    </row>
    <row r="929" spans="1:12" x14ac:dyDescent="0.25">
      <c r="A929" s="5">
        <f t="shared" si="42"/>
        <v>2025</v>
      </c>
      <c r="B929" s="18" t="s">
        <v>1283</v>
      </c>
      <c r="C929" s="18" t="s">
        <v>595</v>
      </c>
      <c r="D929" s="12">
        <v>6378</v>
      </c>
      <c r="E929" s="17" t="s">
        <v>484</v>
      </c>
      <c r="F929" s="12" t="s">
        <v>485</v>
      </c>
      <c r="G929" s="14">
        <v>4</v>
      </c>
      <c r="H929" s="24">
        <v>132000</v>
      </c>
      <c r="I929" s="12" t="s">
        <v>546</v>
      </c>
      <c r="J929" s="6" t="s">
        <v>610</v>
      </c>
      <c r="K929" s="6">
        <f t="shared" si="43"/>
        <v>11</v>
      </c>
      <c r="L929" s="6" t="str">
        <f t="shared" si="44"/>
        <v>NOVIEMBRE</v>
      </c>
    </row>
    <row r="930" spans="1:12" x14ac:dyDescent="0.25">
      <c r="A930" s="5">
        <f t="shared" si="42"/>
        <v>2025</v>
      </c>
      <c r="B930" s="18" t="s">
        <v>1283</v>
      </c>
      <c r="C930" s="18" t="s">
        <v>595</v>
      </c>
      <c r="D930" s="12">
        <v>6378</v>
      </c>
      <c r="E930" s="17" t="s">
        <v>1085</v>
      </c>
      <c r="F930" s="12" t="s">
        <v>1055</v>
      </c>
      <c r="G930" s="14">
        <v>16</v>
      </c>
      <c r="H930" s="24">
        <v>929680</v>
      </c>
      <c r="I930" s="12" t="s">
        <v>546</v>
      </c>
      <c r="J930" s="6" t="s">
        <v>610</v>
      </c>
      <c r="K930" s="6">
        <f t="shared" si="43"/>
        <v>11</v>
      </c>
      <c r="L930" s="6" t="str">
        <f t="shared" si="44"/>
        <v>NOVIEMBRE</v>
      </c>
    </row>
    <row r="931" spans="1:12" x14ac:dyDescent="0.25">
      <c r="A931" s="5">
        <f t="shared" si="42"/>
        <v>2025</v>
      </c>
      <c r="B931" s="18" t="s">
        <v>1283</v>
      </c>
      <c r="C931" s="18" t="s">
        <v>595</v>
      </c>
      <c r="D931" s="12">
        <v>6378</v>
      </c>
      <c r="E931" s="17" t="s">
        <v>1084</v>
      </c>
      <c r="F931" s="12" t="s">
        <v>1022</v>
      </c>
      <c r="G931" s="14">
        <v>21</v>
      </c>
      <c r="H931" s="24">
        <v>1023267</v>
      </c>
      <c r="I931" s="12" t="s">
        <v>546</v>
      </c>
      <c r="J931" s="6" t="s">
        <v>610</v>
      </c>
      <c r="K931" s="6">
        <f t="shared" si="43"/>
        <v>11</v>
      </c>
      <c r="L931" s="6" t="str">
        <f t="shared" si="44"/>
        <v>NOVIEMBRE</v>
      </c>
    </row>
    <row r="932" spans="1:12" x14ac:dyDescent="0.25">
      <c r="A932" s="5">
        <f t="shared" si="42"/>
        <v>2025</v>
      </c>
      <c r="B932" s="18" t="s">
        <v>1283</v>
      </c>
      <c r="C932" s="18" t="s">
        <v>595</v>
      </c>
      <c r="D932" s="12">
        <v>6378</v>
      </c>
      <c r="E932" s="17" t="s">
        <v>421</v>
      </c>
      <c r="F932" s="12" t="s">
        <v>422</v>
      </c>
      <c r="G932" s="14">
        <v>1</v>
      </c>
      <c r="H932" s="24">
        <v>368000</v>
      </c>
      <c r="I932" s="12" t="s">
        <v>546</v>
      </c>
      <c r="J932" s="6" t="s">
        <v>610</v>
      </c>
      <c r="K932" s="6">
        <f t="shared" si="43"/>
        <v>11</v>
      </c>
      <c r="L932" s="6" t="str">
        <f t="shared" si="44"/>
        <v>NOVIEMBRE</v>
      </c>
    </row>
    <row r="933" spans="1:12" x14ac:dyDescent="0.25">
      <c r="A933" s="5">
        <f t="shared" si="42"/>
        <v>2025</v>
      </c>
      <c r="B933" s="18" t="s">
        <v>1283</v>
      </c>
      <c r="C933" s="18" t="s">
        <v>595</v>
      </c>
      <c r="D933" s="12">
        <v>6378</v>
      </c>
      <c r="E933" s="17" t="s">
        <v>1109</v>
      </c>
      <c r="F933" s="12" t="s">
        <v>1110</v>
      </c>
      <c r="G933" s="14">
        <v>10</v>
      </c>
      <c r="H933" s="24">
        <v>4580000</v>
      </c>
      <c r="I933" s="12" t="s">
        <v>546</v>
      </c>
      <c r="J933" s="6" t="s">
        <v>610</v>
      </c>
      <c r="K933" s="6">
        <f t="shared" si="43"/>
        <v>11</v>
      </c>
      <c r="L933" s="6" t="str">
        <f t="shared" si="44"/>
        <v>NOVIEMBRE</v>
      </c>
    </row>
    <row r="934" spans="1:12" x14ac:dyDescent="0.25">
      <c r="A934" s="5">
        <f t="shared" si="42"/>
        <v>2025</v>
      </c>
      <c r="B934" s="18" t="s">
        <v>1283</v>
      </c>
      <c r="C934" s="18" t="s">
        <v>595</v>
      </c>
      <c r="D934" s="12">
        <v>6378</v>
      </c>
      <c r="E934" s="17" t="s">
        <v>679</v>
      </c>
      <c r="F934" s="12" t="s">
        <v>696</v>
      </c>
      <c r="G934" s="14">
        <v>20</v>
      </c>
      <c r="H934" s="24">
        <v>1019740</v>
      </c>
      <c r="I934" s="12" t="s">
        <v>546</v>
      </c>
      <c r="J934" s="6" t="s">
        <v>610</v>
      </c>
      <c r="K934" s="6">
        <f t="shared" si="43"/>
        <v>11</v>
      </c>
      <c r="L934" s="6" t="str">
        <f t="shared" si="44"/>
        <v>NOVIEMBRE</v>
      </c>
    </row>
    <row r="935" spans="1:12" x14ac:dyDescent="0.25">
      <c r="A935" s="5">
        <f t="shared" si="42"/>
        <v>2025</v>
      </c>
      <c r="B935" s="18" t="s">
        <v>1283</v>
      </c>
      <c r="C935" s="18" t="s">
        <v>595</v>
      </c>
      <c r="D935" s="12">
        <v>6378</v>
      </c>
      <c r="E935" s="17" t="s">
        <v>447</v>
      </c>
      <c r="F935" s="12" t="s">
        <v>448</v>
      </c>
      <c r="G935" s="14">
        <v>10</v>
      </c>
      <c r="H935" s="24">
        <v>3900000</v>
      </c>
      <c r="I935" s="12" t="s">
        <v>546</v>
      </c>
      <c r="J935" s="6" t="s">
        <v>610</v>
      </c>
      <c r="K935" s="6">
        <f t="shared" si="43"/>
        <v>11</v>
      </c>
      <c r="L935" s="6" t="str">
        <f t="shared" si="44"/>
        <v>NOVIEMBRE</v>
      </c>
    </row>
    <row r="936" spans="1:12" x14ac:dyDescent="0.25">
      <c r="A936" s="5">
        <f t="shared" si="42"/>
        <v>2025</v>
      </c>
      <c r="B936" s="18" t="s">
        <v>1283</v>
      </c>
      <c r="C936" s="18" t="s">
        <v>595</v>
      </c>
      <c r="D936" s="12">
        <v>6378</v>
      </c>
      <c r="E936" s="17" t="s">
        <v>1157</v>
      </c>
      <c r="F936" s="12" t="s">
        <v>1163</v>
      </c>
      <c r="G936" s="14">
        <v>29</v>
      </c>
      <c r="H936" s="24">
        <v>1740000</v>
      </c>
      <c r="I936" s="12" t="s">
        <v>546</v>
      </c>
      <c r="J936" s="6" t="s">
        <v>610</v>
      </c>
      <c r="K936" s="6">
        <f t="shared" si="43"/>
        <v>11</v>
      </c>
      <c r="L936" s="6" t="str">
        <f t="shared" si="44"/>
        <v>NOVIEMBRE</v>
      </c>
    </row>
    <row r="937" spans="1:12" x14ac:dyDescent="0.25">
      <c r="A937" s="5">
        <f t="shared" si="42"/>
        <v>2025</v>
      </c>
      <c r="B937" s="18" t="s">
        <v>1283</v>
      </c>
      <c r="C937" s="18" t="s">
        <v>595</v>
      </c>
      <c r="D937" s="12">
        <v>6378</v>
      </c>
      <c r="E937" s="17" t="s">
        <v>333</v>
      </c>
      <c r="F937" s="12" t="s">
        <v>334</v>
      </c>
      <c r="G937" s="14">
        <v>4</v>
      </c>
      <c r="H937" s="24">
        <v>1960000</v>
      </c>
      <c r="I937" s="12" t="s">
        <v>546</v>
      </c>
      <c r="J937" s="6" t="s">
        <v>610</v>
      </c>
      <c r="K937" s="6">
        <f t="shared" si="43"/>
        <v>11</v>
      </c>
      <c r="L937" s="6" t="str">
        <f t="shared" si="44"/>
        <v>NOVIEMBRE</v>
      </c>
    </row>
    <row r="938" spans="1:12" x14ac:dyDescent="0.25">
      <c r="A938" s="5">
        <f t="shared" si="42"/>
        <v>2025</v>
      </c>
      <c r="B938" s="18" t="s">
        <v>1283</v>
      </c>
      <c r="C938" s="18" t="s">
        <v>595</v>
      </c>
      <c r="D938" s="12">
        <v>6378</v>
      </c>
      <c r="E938" s="17">
        <v>4305294</v>
      </c>
      <c r="F938" s="12" t="s">
        <v>1056</v>
      </c>
      <c r="G938" s="14">
        <v>5</v>
      </c>
      <c r="H938" s="24">
        <v>110000</v>
      </c>
      <c r="I938" s="12" t="s">
        <v>546</v>
      </c>
      <c r="J938" s="6" t="s">
        <v>610</v>
      </c>
      <c r="K938" s="6">
        <f t="shared" si="43"/>
        <v>11</v>
      </c>
      <c r="L938" s="6" t="str">
        <f t="shared" si="44"/>
        <v>NOVIEMBRE</v>
      </c>
    </row>
    <row r="939" spans="1:12" x14ac:dyDescent="0.25">
      <c r="A939" s="5">
        <f t="shared" si="42"/>
        <v>2025</v>
      </c>
      <c r="B939" s="18" t="s">
        <v>1283</v>
      </c>
      <c r="C939" s="18" t="s">
        <v>595</v>
      </c>
      <c r="D939" s="12">
        <v>6378</v>
      </c>
      <c r="E939" s="17" t="s">
        <v>605</v>
      </c>
      <c r="F939" s="12" t="s">
        <v>607</v>
      </c>
      <c r="G939" s="14">
        <v>181</v>
      </c>
      <c r="H939" s="24">
        <v>6685597</v>
      </c>
      <c r="I939" s="12" t="s">
        <v>546</v>
      </c>
      <c r="J939" s="6" t="s">
        <v>610</v>
      </c>
      <c r="K939" s="6">
        <f t="shared" si="43"/>
        <v>11</v>
      </c>
      <c r="L939" s="6" t="str">
        <f t="shared" si="44"/>
        <v>NOVIEMBRE</v>
      </c>
    </row>
    <row r="940" spans="1:12" x14ac:dyDescent="0.25">
      <c r="A940" s="5">
        <f t="shared" si="42"/>
        <v>2025</v>
      </c>
      <c r="B940" s="18" t="s">
        <v>1283</v>
      </c>
      <c r="C940" s="18" t="s">
        <v>595</v>
      </c>
      <c r="D940" s="12">
        <v>6378</v>
      </c>
      <c r="E940" s="17" t="s">
        <v>413</v>
      </c>
      <c r="F940" s="12" t="s">
        <v>414</v>
      </c>
      <c r="G940" s="14">
        <v>1</v>
      </c>
      <c r="H940" s="24">
        <v>78000</v>
      </c>
      <c r="I940" s="12" t="s">
        <v>546</v>
      </c>
      <c r="J940" s="6" t="s">
        <v>610</v>
      </c>
      <c r="K940" s="6">
        <f t="shared" si="43"/>
        <v>11</v>
      </c>
      <c r="L940" s="6" t="str">
        <f t="shared" si="44"/>
        <v>NOVIEMBRE</v>
      </c>
    </row>
    <row r="941" spans="1:12" x14ac:dyDescent="0.25">
      <c r="A941" s="5">
        <f t="shared" si="42"/>
        <v>2025</v>
      </c>
      <c r="B941" s="18" t="s">
        <v>1283</v>
      </c>
      <c r="C941" s="18" t="s">
        <v>595</v>
      </c>
      <c r="D941" s="12">
        <v>6378</v>
      </c>
      <c r="E941" s="17" t="s">
        <v>359</v>
      </c>
      <c r="F941" s="12" t="s">
        <v>360</v>
      </c>
      <c r="G941" s="14">
        <v>6</v>
      </c>
      <c r="H941" s="24">
        <v>324000</v>
      </c>
      <c r="I941" s="12" t="s">
        <v>546</v>
      </c>
      <c r="J941" s="6" t="s">
        <v>610</v>
      </c>
      <c r="K941" s="6">
        <f t="shared" si="43"/>
        <v>11</v>
      </c>
      <c r="L941" s="6" t="str">
        <f t="shared" si="44"/>
        <v>NOVIEMBRE</v>
      </c>
    </row>
    <row r="942" spans="1:12" x14ac:dyDescent="0.25">
      <c r="A942" s="5">
        <f t="shared" si="42"/>
        <v>2025</v>
      </c>
      <c r="B942" s="18" t="s">
        <v>1283</v>
      </c>
      <c r="C942" s="18" t="s">
        <v>595</v>
      </c>
      <c r="D942" s="12">
        <v>6378</v>
      </c>
      <c r="E942" s="17" t="s">
        <v>342</v>
      </c>
      <c r="F942" s="12" t="s">
        <v>343</v>
      </c>
      <c r="G942" s="14">
        <v>2</v>
      </c>
      <c r="H942" s="24">
        <v>499550</v>
      </c>
      <c r="I942" s="12" t="s">
        <v>546</v>
      </c>
      <c r="J942" s="6" t="s">
        <v>610</v>
      </c>
      <c r="K942" s="6">
        <f t="shared" si="43"/>
        <v>11</v>
      </c>
      <c r="L942" s="6" t="str">
        <f t="shared" si="44"/>
        <v>NOVIEMBRE</v>
      </c>
    </row>
    <row r="943" spans="1:12" x14ac:dyDescent="0.25">
      <c r="A943" s="5">
        <f t="shared" si="42"/>
        <v>2025</v>
      </c>
      <c r="B943" s="18" t="s">
        <v>1283</v>
      </c>
      <c r="C943" s="18" t="s">
        <v>595</v>
      </c>
      <c r="D943" s="12">
        <v>6378</v>
      </c>
      <c r="E943" s="17" t="s">
        <v>305</v>
      </c>
      <c r="F943" s="12" t="s">
        <v>306</v>
      </c>
      <c r="G943" s="14">
        <v>3</v>
      </c>
      <c r="H943" s="24">
        <v>1020000</v>
      </c>
      <c r="I943" s="12" t="s">
        <v>546</v>
      </c>
      <c r="J943" s="6" t="s">
        <v>610</v>
      </c>
      <c r="K943" s="6">
        <f t="shared" si="43"/>
        <v>11</v>
      </c>
      <c r="L943" s="6" t="str">
        <f t="shared" si="44"/>
        <v>NOVIEMBRE</v>
      </c>
    </row>
    <row r="944" spans="1:12" x14ac:dyDescent="0.25">
      <c r="A944" s="5">
        <f t="shared" si="42"/>
        <v>2025</v>
      </c>
      <c r="B944" s="18" t="s">
        <v>1283</v>
      </c>
      <c r="C944" s="18" t="s">
        <v>595</v>
      </c>
      <c r="D944" s="12">
        <v>6378</v>
      </c>
      <c r="E944" s="17">
        <v>4304615</v>
      </c>
      <c r="F944" s="12" t="s">
        <v>354</v>
      </c>
      <c r="G944" s="14">
        <v>4</v>
      </c>
      <c r="H944" s="24">
        <v>56000</v>
      </c>
      <c r="I944" s="12" t="s">
        <v>546</v>
      </c>
      <c r="J944" s="6" t="s">
        <v>610</v>
      </c>
      <c r="K944" s="6">
        <f t="shared" si="43"/>
        <v>11</v>
      </c>
      <c r="L944" s="6" t="str">
        <f t="shared" si="44"/>
        <v>NOVIEMBRE</v>
      </c>
    </row>
    <row r="945" spans="1:12" x14ac:dyDescent="0.25">
      <c r="A945" s="5">
        <f t="shared" si="42"/>
        <v>2025</v>
      </c>
      <c r="B945" s="18" t="s">
        <v>1283</v>
      </c>
      <c r="C945" s="18" t="s">
        <v>595</v>
      </c>
      <c r="D945" s="12">
        <v>6378</v>
      </c>
      <c r="E945" s="17" t="s">
        <v>927</v>
      </c>
      <c r="F945" s="12" t="s">
        <v>928</v>
      </c>
      <c r="G945" s="14">
        <v>4</v>
      </c>
      <c r="H945" s="24">
        <v>232000</v>
      </c>
      <c r="I945" s="12" t="s">
        <v>546</v>
      </c>
      <c r="J945" s="6" t="s">
        <v>610</v>
      </c>
      <c r="K945" s="6">
        <f t="shared" si="43"/>
        <v>11</v>
      </c>
      <c r="L945" s="6" t="str">
        <f t="shared" si="44"/>
        <v>NOVIEMBRE</v>
      </c>
    </row>
    <row r="946" spans="1:12" x14ac:dyDescent="0.25">
      <c r="A946" s="5">
        <f t="shared" si="42"/>
        <v>2025</v>
      </c>
      <c r="B946" s="18" t="s">
        <v>1283</v>
      </c>
      <c r="C946" s="18" t="s">
        <v>595</v>
      </c>
      <c r="D946" s="12">
        <v>6378</v>
      </c>
      <c r="E946" s="17" t="s">
        <v>1430</v>
      </c>
      <c r="F946" s="12" t="s">
        <v>1199</v>
      </c>
      <c r="G946" s="14">
        <v>4</v>
      </c>
      <c r="H946" s="24">
        <v>665456</v>
      </c>
      <c r="I946" s="12" t="s">
        <v>546</v>
      </c>
      <c r="J946" s="6" t="s">
        <v>610</v>
      </c>
      <c r="K946" s="6">
        <f t="shared" si="43"/>
        <v>11</v>
      </c>
      <c r="L946" s="6" t="str">
        <f t="shared" si="44"/>
        <v>NOVIEMBRE</v>
      </c>
    </row>
    <row r="947" spans="1:12" x14ac:dyDescent="0.25">
      <c r="A947" s="5">
        <f t="shared" si="42"/>
        <v>2025</v>
      </c>
      <c r="B947" s="18" t="s">
        <v>1283</v>
      </c>
      <c r="C947" s="18" t="s">
        <v>595</v>
      </c>
      <c r="D947" s="12">
        <v>6378</v>
      </c>
      <c r="E947" s="17" t="s">
        <v>1187</v>
      </c>
      <c r="F947" s="12" t="s">
        <v>1188</v>
      </c>
      <c r="G947" s="14">
        <v>2</v>
      </c>
      <c r="H947" s="24">
        <v>7600000</v>
      </c>
      <c r="I947" s="12" t="s">
        <v>546</v>
      </c>
      <c r="J947" s="6" t="s">
        <v>610</v>
      </c>
      <c r="K947" s="6">
        <f t="shared" si="43"/>
        <v>11</v>
      </c>
      <c r="L947" s="6" t="str">
        <f t="shared" si="44"/>
        <v>NOVIEMBRE</v>
      </c>
    </row>
    <row r="948" spans="1:12" x14ac:dyDescent="0.25">
      <c r="A948" s="5">
        <f t="shared" si="42"/>
        <v>2025</v>
      </c>
      <c r="B948" s="18" t="s">
        <v>1283</v>
      </c>
      <c r="C948" s="18" t="s">
        <v>595</v>
      </c>
      <c r="D948" s="12">
        <v>6378</v>
      </c>
      <c r="E948" s="17" t="s">
        <v>43</v>
      </c>
      <c r="F948" s="12" t="s">
        <v>44</v>
      </c>
      <c r="G948" s="14">
        <v>3</v>
      </c>
      <c r="H948" s="24">
        <v>780000</v>
      </c>
      <c r="I948" s="12" t="s">
        <v>546</v>
      </c>
      <c r="J948" s="6" t="s">
        <v>610</v>
      </c>
      <c r="K948" s="6">
        <f t="shared" si="43"/>
        <v>11</v>
      </c>
      <c r="L948" s="6" t="str">
        <f t="shared" si="44"/>
        <v>NOVIEMBRE</v>
      </c>
    </row>
    <row r="949" spans="1:12" x14ac:dyDescent="0.25">
      <c r="A949" s="5">
        <f t="shared" ref="A949:A1012" si="45">+YEAR(B949)</f>
        <v>2025</v>
      </c>
      <c r="B949" s="18" t="s">
        <v>1283</v>
      </c>
      <c r="C949" s="18" t="s">
        <v>595</v>
      </c>
      <c r="D949" s="12">
        <v>6378</v>
      </c>
      <c r="E949" s="17" t="s">
        <v>377</v>
      </c>
      <c r="F949" s="12" t="s">
        <v>378</v>
      </c>
      <c r="G949" s="14">
        <v>2</v>
      </c>
      <c r="H949" s="24">
        <v>526000</v>
      </c>
      <c r="I949" s="12" t="s">
        <v>546</v>
      </c>
      <c r="J949" s="6" t="s">
        <v>610</v>
      </c>
      <c r="K949" s="6">
        <f t="shared" ref="K949:K1012" si="46">+MONTH(B949)</f>
        <v>11</v>
      </c>
      <c r="L949" s="6" t="str">
        <f t="shared" si="44"/>
        <v>NOVIEMBRE</v>
      </c>
    </row>
    <row r="950" spans="1:12" x14ac:dyDescent="0.25">
      <c r="A950" s="5">
        <f t="shared" si="45"/>
        <v>2025</v>
      </c>
      <c r="B950" s="18" t="s">
        <v>1283</v>
      </c>
      <c r="C950" s="18" t="s">
        <v>595</v>
      </c>
      <c r="D950" s="12">
        <v>6378</v>
      </c>
      <c r="E950" s="17" t="s">
        <v>68</v>
      </c>
      <c r="F950" s="12" t="s">
        <v>69</v>
      </c>
      <c r="G950" s="14">
        <v>17</v>
      </c>
      <c r="H950" s="24">
        <v>9660573</v>
      </c>
      <c r="I950" s="12" t="s">
        <v>546</v>
      </c>
      <c r="J950" s="6" t="s">
        <v>610</v>
      </c>
      <c r="K950" s="6">
        <f t="shared" si="46"/>
        <v>11</v>
      </c>
      <c r="L950" s="6" t="str">
        <f t="shared" si="44"/>
        <v>NOVIEMBRE</v>
      </c>
    </row>
    <row r="951" spans="1:12" x14ac:dyDescent="0.25">
      <c r="A951" s="5">
        <f t="shared" si="45"/>
        <v>2025</v>
      </c>
      <c r="B951" s="18" t="s">
        <v>1283</v>
      </c>
      <c r="C951" s="18" t="s">
        <v>595</v>
      </c>
      <c r="D951" s="12">
        <v>6378</v>
      </c>
      <c r="E951" s="17" t="s">
        <v>295</v>
      </c>
      <c r="F951" s="12" t="s">
        <v>296</v>
      </c>
      <c r="G951" s="14">
        <v>3</v>
      </c>
      <c r="H951" s="24">
        <v>423000</v>
      </c>
      <c r="I951" s="12" t="s">
        <v>546</v>
      </c>
      <c r="J951" s="6" t="s">
        <v>610</v>
      </c>
      <c r="K951" s="6">
        <f t="shared" si="46"/>
        <v>11</v>
      </c>
      <c r="L951" s="6" t="str">
        <f t="shared" si="44"/>
        <v>NOVIEMBRE</v>
      </c>
    </row>
    <row r="952" spans="1:12" x14ac:dyDescent="0.25">
      <c r="A952" s="5">
        <f t="shared" si="45"/>
        <v>2025</v>
      </c>
      <c r="B952" s="18" t="s">
        <v>1283</v>
      </c>
      <c r="C952" s="18" t="s">
        <v>595</v>
      </c>
      <c r="D952" s="12">
        <v>6378</v>
      </c>
      <c r="E952" s="17" t="s">
        <v>289</v>
      </c>
      <c r="F952" s="12" t="s">
        <v>290</v>
      </c>
      <c r="G952" s="14">
        <v>1</v>
      </c>
      <c r="H952" s="24">
        <v>650000</v>
      </c>
      <c r="I952" s="12" t="s">
        <v>546</v>
      </c>
      <c r="J952" s="6" t="s">
        <v>610</v>
      </c>
      <c r="K952" s="6">
        <f t="shared" si="46"/>
        <v>11</v>
      </c>
      <c r="L952" s="6" t="str">
        <f t="shared" si="44"/>
        <v>NOVIEMBRE</v>
      </c>
    </row>
    <row r="953" spans="1:12" x14ac:dyDescent="0.25">
      <c r="A953" s="5">
        <f t="shared" si="45"/>
        <v>2025</v>
      </c>
      <c r="B953" s="18" t="s">
        <v>1283</v>
      </c>
      <c r="C953" s="18" t="s">
        <v>595</v>
      </c>
      <c r="D953" s="12">
        <v>6378</v>
      </c>
      <c r="E953" s="17" t="s">
        <v>188</v>
      </c>
      <c r="F953" s="12" t="s">
        <v>189</v>
      </c>
      <c r="G953" s="14">
        <v>4</v>
      </c>
      <c r="H953" s="24">
        <v>140000</v>
      </c>
      <c r="I953" s="12" t="s">
        <v>546</v>
      </c>
      <c r="J953" s="6" t="s">
        <v>610</v>
      </c>
      <c r="K953" s="6">
        <f t="shared" si="46"/>
        <v>11</v>
      </c>
      <c r="L953" s="6" t="str">
        <f t="shared" si="44"/>
        <v>NOVIEMBRE</v>
      </c>
    </row>
    <row r="954" spans="1:12" x14ac:dyDescent="0.25">
      <c r="A954" s="5">
        <f t="shared" si="45"/>
        <v>2025</v>
      </c>
      <c r="B954" s="18" t="s">
        <v>1283</v>
      </c>
      <c r="C954" s="18" t="s">
        <v>595</v>
      </c>
      <c r="D954" s="12">
        <v>6378</v>
      </c>
      <c r="E954" s="17" t="s">
        <v>352</v>
      </c>
      <c r="F954" s="12" t="s">
        <v>353</v>
      </c>
      <c r="G954" s="14">
        <v>1</v>
      </c>
      <c r="H954" s="24">
        <v>63000</v>
      </c>
      <c r="I954" s="12" t="s">
        <v>546</v>
      </c>
      <c r="J954" s="6" t="s">
        <v>610</v>
      </c>
      <c r="K954" s="6">
        <f t="shared" si="46"/>
        <v>11</v>
      </c>
      <c r="L954" s="6" t="str">
        <f t="shared" si="44"/>
        <v>NOVIEMBRE</v>
      </c>
    </row>
    <row r="955" spans="1:12" x14ac:dyDescent="0.25">
      <c r="A955" s="5">
        <f t="shared" si="45"/>
        <v>2025</v>
      </c>
      <c r="B955" s="18" t="s">
        <v>1283</v>
      </c>
      <c r="C955" s="18" t="s">
        <v>595</v>
      </c>
      <c r="D955" s="12">
        <v>6378</v>
      </c>
      <c r="E955" s="17" t="s">
        <v>413</v>
      </c>
      <c r="F955" s="12" t="s">
        <v>414</v>
      </c>
      <c r="G955" s="14">
        <v>2</v>
      </c>
      <c r="H955" s="24">
        <v>156000</v>
      </c>
      <c r="I955" s="12" t="s">
        <v>546</v>
      </c>
      <c r="J955" s="6" t="s">
        <v>610</v>
      </c>
      <c r="K955" s="6">
        <f t="shared" si="46"/>
        <v>11</v>
      </c>
      <c r="L955" s="6" t="str">
        <f t="shared" si="44"/>
        <v>NOVIEMBRE</v>
      </c>
    </row>
    <row r="956" spans="1:12" x14ac:dyDescent="0.25">
      <c r="A956" s="5">
        <f t="shared" si="45"/>
        <v>2025</v>
      </c>
      <c r="B956" s="18" t="s">
        <v>1283</v>
      </c>
      <c r="C956" s="18" t="s">
        <v>595</v>
      </c>
      <c r="D956" s="12">
        <v>6378</v>
      </c>
      <c r="E956" s="17" t="s">
        <v>270</v>
      </c>
      <c r="F956" s="12" t="s">
        <v>271</v>
      </c>
      <c r="G956" s="14">
        <v>6</v>
      </c>
      <c r="H956" s="24">
        <v>6000000</v>
      </c>
      <c r="I956" s="12" t="s">
        <v>546</v>
      </c>
      <c r="J956" s="6" t="s">
        <v>610</v>
      </c>
      <c r="K956" s="6">
        <f t="shared" si="46"/>
        <v>11</v>
      </c>
      <c r="L956" s="6" t="str">
        <f t="shared" si="44"/>
        <v>NOVIEMBRE</v>
      </c>
    </row>
    <row r="957" spans="1:12" x14ac:dyDescent="0.25">
      <c r="A957" s="5">
        <f t="shared" si="45"/>
        <v>2025</v>
      </c>
      <c r="B957" s="18" t="s">
        <v>1283</v>
      </c>
      <c r="C957" s="18" t="s">
        <v>595</v>
      </c>
      <c r="D957" s="12">
        <v>6378</v>
      </c>
      <c r="E957" s="17" t="s">
        <v>1053</v>
      </c>
      <c r="F957" s="12" t="s">
        <v>115</v>
      </c>
      <c r="G957" s="14">
        <v>1</v>
      </c>
      <c r="H957" s="24">
        <v>107800</v>
      </c>
      <c r="I957" s="12" t="s">
        <v>546</v>
      </c>
      <c r="J957" s="6" t="s">
        <v>610</v>
      </c>
      <c r="K957" s="6">
        <f t="shared" si="46"/>
        <v>11</v>
      </c>
      <c r="L957" s="6" t="str">
        <f t="shared" si="44"/>
        <v>NOVIEMBRE</v>
      </c>
    </row>
    <row r="958" spans="1:12" x14ac:dyDescent="0.25">
      <c r="A958" s="5">
        <f t="shared" si="45"/>
        <v>2025</v>
      </c>
      <c r="B958" s="18" t="s">
        <v>1283</v>
      </c>
      <c r="C958" s="18" t="s">
        <v>595</v>
      </c>
      <c r="D958" s="12">
        <v>6378</v>
      </c>
      <c r="E958" s="17" t="s">
        <v>561</v>
      </c>
      <c r="F958" s="12" t="s">
        <v>575</v>
      </c>
      <c r="G958" s="14">
        <v>2</v>
      </c>
      <c r="H958" s="24">
        <v>790000</v>
      </c>
      <c r="I958" s="12" t="s">
        <v>546</v>
      </c>
      <c r="J958" s="6" t="s">
        <v>610</v>
      </c>
      <c r="K958" s="6">
        <f t="shared" si="46"/>
        <v>11</v>
      </c>
      <c r="L958" s="6" t="str">
        <f t="shared" si="44"/>
        <v>NOVIEMBRE</v>
      </c>
    </row>
    <row r="959" spans="1:12" x14ac:dyDescent="0.25">
      <c r="A959" s="5">
        <f t="shared" si="45"/>
        <v>2025</v>
      </c>
      <c r="B959" s="18" t="s">
        <v>1283</v>
      </c>
      <c r="C959" s="18" t="s">
        <v>595</v>
      </c>
      <c r="D959" s="12">
        <v>6378</v>
      </c>
      <c r="E959" s="17" t="s">
        <v>897</v>
      </c>
      <c r="F959" s="12" t="s">
        <v>898</v>
      </c>
      <c r="G959" s="14">
        <v>3</v>
      </c>
      <c r="H959" s="24">
        <v>840000</v>
      </c>
      <c r="I959" s="12" t="s">
        <v>546</v>
      </c>
      <c r="J959" s="6" t="s">
        <v>610</v>
      </c>
      <c r="K959" s="6">
        <f t="shared" si="46"/>
        <v>11</v>
      </c>
      <c r="L959" s="6" t="str">
        <f t="shared" si="44"/>
        <v>NOVIEMBRE</v>
      </c>
    </row>
    <row r="960" spans="1:12" x14ac:dyDescent="0.25">
      <c r="A960" s="5">
        <f t="shared" si="45"/>
        <v>2025</v>
      </c>
      <c r="B960" s="18" t="s">
        <v>1283</v>
      </c>
      <c r="C960" s="18" t="s">
        <v>595</v>
      </c>
      <c r="D960" s="12">
        <v>6378</v>
      </c>
      <c r="E960" s="17" t="s">
        <v>905</v>
      </c>
      <c r="F960" s="12" t="s">
        <v>906</v>
      </c>
      <c r="G960" s="14">
        <v>1</v>
      </c>
      <c r="H960" s="24">
        <v>693288</v>
      </c>
      <c r="I960" s="12" t="s">
        <v>546</v>
      </c>
      <c r="J960" s="6" t="s">
        <v>610</v>
      </c>
      <c r="K960" s="6">
        <f t="shared" si="46"/>
        <v>11</v>
      </c>
      <c r="L960" s="6" t="str">
        <f t="shared" si="44"/>
        <v>NOVIEMBRE</v>
      </c>
    </row>
    <row r="961" spans="1:12" x14ac:dyDescent="0.25">
      <c r="A961" s="5">
        <f t="shared" si="45"/>
        <v>2025</v>
      </c>
      <c r="B961" s="18" t="s">
        <v>1283</v>
      </c>
      <c r="C961" s="18" t="s">
        <v>595</v>
      </c>
      <c r="D961" s="12">
        <v>6378</v>
      </c>
      <c r="E961" s="17" t="s">
        <v>272</v>
      </c>
      <c r="F961" s="12" t="s">
        <v>273</v>
      </c>
      <c r="G961" s="14">
        <v>1</v>
      </c>
      <c r="H961" s="24">
        <v>285000</v>
      </c>
      <c r="I961" s="12" t="s">
        <v>546</v>
      </c>
      <c r="J961" s="6" t="s">
        <v>610</v>
      </c>
      <c r="K961" s="6">
        <f t="shared" si="46"/>
        <v>11</v>
      </c>
      <c r="L961" s="6" t="str">
        <f t="shared" si="44"/>
        <v>NOVIEMBRE</v>
      </c>
    </row>
    <row r="962" spans="1:12" x14ac:dyDescent="0.25">
      <c r="A962" s="5">
        <f t="shared" si="45"/>
        <v>2025</v>
      </c>
      <c r="B962" s="18" t="s">
        <v>1283</v>
      </c>
      <c r="C962" s="18" t="s">
        <v>595</v>
      </c>
      <c r="D962" s="12">
        <v>6378</v>
      </c>
      <c r="E962" s="17" t="s">
        <v>1067</v>
      </c>
      <c r="F962" s="12" t="s">
        <v>1068</v>
      </c>
      <c r="G962" s="14">
        <v>2</v>
      </c>
      <c r="H962" s="24">
        <v>320850</v>
      </c>
      <c r="I962" s="12" t="s">
        <v>546</v>
      </c>
      <c r="J962" s="6" t="s">
        <v>610</v>
      </c>
      <c r="K962" s="6">
        <f t="shared" si="46"/>
        <v>11</v>
      </c>
      <c r="L962" s="6" t="str">
        <f t="shared" si="44"/>
        <v>NOVIEMBRE</v>
      </c>
    </row>
    <row r="963" spans="1:12" x14ac:dyDescent="0.25">
      <c r="A963" s="5">
        <f t="shared" si="45"/>
        <v>2025</v>
      </c>
      <c r="B963" s="18" t="s">
        <v>1283</v>
      </c>
      <c r="C963" s="18" t="s">
        <v>595</v>
      </c>
      <c r="D963" s="12">
        <v>6378</v>
      </c>
      <c r="E963" s="17" t="s">
        <v>1285</v>
      </c>
      <c r="F963" s="12" t="s">
        <v>1286</v>
      </c>
      <c r="G963" s="14">
        <v>2</v>
      </c>
      <c r="H963" s="24">
        <v>182280</v>
      </c>
      <c r="I963" s="12" t="s">
        <v>546</v>
      </c>
      <c r="J963" s="6" t="s">
        <v>610</v>
      </c>
      <c r="K963" s="6">
        <f t="shared" si="46"/>
        <v>11</v>
      </c>
      <c r="L963" s="6" t="str">
        <f t="shared" ref="L963:L1026" si="47">VLOOKUP(K963,N:O,2,0)</f>
        <v>NOVIEMBRE</v>
      </c>
    </row>
    <row r="964" spans="1:12" x14ac:dyDescent="0.25">
      <c r="A964" s="5">
        <f t="shared" si="45"/>
        <v>2025</v>
      </c>
      <c r="B964" s="18" t="s">
        <v>1283</v>
      </c>
      <c r="C964" s="18" t="s">
        <v>595</v>
      </c>
      <c r="D964" s="12">
        <v>6378</v>
      </c>
      <c r="E964" s="17" t="s">
        <v>589</v>
      </c>
      <c r="F964" s="12" t="s">
        <v>590</v>
      </c>
      <c r="G964" s="14">
        <v>6</v>
      </c>
      <c r="H964" s="24">
        <v>1290000</v>
      </c>
      <c r="I964" s="12" t="s">
        <v>546</v>
      </c>
      <c r="J964" s="6" t="s">
        <v>610</v>
      </c>
      <c r="K964" s="6">
        <f t="shared" si="46"/>
        <v>11</v>
      </c>
      <c r="L964" s="6" t="str">
        <f t="shared" si="47"/>
        <v>NOVIEMBRE</v>
      </c>
    </row>
    <row r="965" spans="1:12" x14ac:dyDescent="0.25">
      <c r="A965" s="5">
        <f t="shared" si="45"/>
        <v>2025</v>
      </c>
      <c r="B965" s="18" t="s">
        <v>1081</v>
      </c>
      <c r="C965" s="18" t="s">
        <v>595</v>
      </c>
      <c r="D965" s="12">
        <v>6154</v>
      </c>
      <c r="E965" s="17" t="s">
        <v>359</v>
      </c>
      <c r="F965" s="12" t="s">
        <v>360</v>
      </c>
      <c r="G965" s="14">
        <v>4</v>
      </c>
      <c r="H965" s="24">
        <v>216000</v>
      </c>
      <c r="I965" s="12" t="s">
        <v>546</v>
      </c>
      <c r="J965" s="6" t="s">
        <v>610</v>
      </c>
      <c r="K965" s="6">
        <f t="shared" si="46"/>
        <v>7</v>
      </c>
      <c r="L965" s="6" t="str">
        <f t="shared" si="47"/>
        <v>JULIO</v>
      </c>
    </row>
    <row r="966" spans="1:12" x14ac:dyDescent="0.25">
      <c r="A966" s="5">
        <f t="shared" si="45"/>
        <v>2025</v>
      </c>
      <c r="B966" s="18" t="s">
        <v>1152</v>
      </c>
      <c r="C966" s="18" t="s">
        <v>595</v>
      </c>
      <c r="D966" s="12">
        <v>6238</v>
      </c>
      <c r="E966" s="17" t="s">
        <v>373</v>
      </c>
      <c r="F966" s="12" t="s">
        <v>374</v>
      </c>
      <c r="G966" s="14">
        <v>1</v>
      </c>
      <c r="H966" s="24">
        <v>383058</v>
      </c>
      <c r="I966" s="12" t="s">
        <v>546</v>
      </c>
      <c r="J966" s="6" t="s">
        <v>610</v>
      </c>
      <c r="K966" s="6">
        <f t="shared" si="46"/>
        <v>9</v>
      </c>
      <c r="L966" s="6" t="str">
        <f t="shared" si="47"/>
        <v>SEPTIEMBRE</v>
      </c>
    </row>
    <row r="967" spans="1:12" x14ac:dyDescent="0.25">
      <c r="A967" s="5">
        <f t="shared" si="45"/>
        <v>2025</v>
      </c>
      <c r="B967" s="18" t="s">
        <v>1192</v>
      </c>
      <c r="C967" s="18" t="s">
        <v>595</v>
      </c>
      <c r="D967" s="12">
        <v>6290</v>
      </c>
      <c r="E967" s="17" t="s">
        <v>377</v>
      </c>
      <c r="F967" s="12" t="s">
        <v>378</v>
      </c>
      <c r="G967" s="14">
        <v>1</v>
      </c>
      <c r="H967" s="24">
        <v>263000</v>
      </c>
      <c r="I967" s="12" t="s">
        <v>546</v>
      </c>
      <c r="J967" s="6" t="s">
        <v>610</v>
      </c>
      <c r="K967" s="6">
        <f t="shared" si="46"/>
        <v>10</v>
      </c>
      <c r="L967" s="6" t="str">
        <f t="shared" si="47"/>
        <v>OCTUBRE</v>
      </c>
    </row>
    <row r="968" spans="1:12" x14ac:dyDescent="0.25">
      <c r="A968" s="5">
        <f t="shared" si="45"/>
        <v>2025</v>
      </c>
      <c r="B968" s="18" t="s">
        <v>1192</v>
      </c>
      <c r="C968" s="18" t="s">
        <v>595</v>
      </c>
      <c r="D968" s="12">
        <v>6290</v>
      </c>
      <c r="E968" s="17" t="s">
        <v>309</v>
      </c>
      <c r="F968" s="12" t="s">
        <v>310</v>
      </c>
      <c r="G968" s="14">
        <v>2</v>
      </c>
      <c r="H968" s="24">
        <v>4214000</v>
      </c>
      <c r="I968" s="12" t="s">
        <v>546</v>
      </c>
      <c r="J968" s="6" t="s">
        <v>610</v>
      </c>
      <c r="K968" s="6">
        <f t="shared" si="46"/>
        <v>10</v>
      </c>
      <c r="L968" s="6" t="str">
        <f t="shared" si="47"/>
        <v>OCTUBRE</v>
      </c>
    </row>
    <row r="969" spans="1:12" x14ac:dyDescent="0.25">
      <c r="A969" s="5">
        <f t="shared" si="45"/>
        <v>2025</v>
      </c>
      <c r="B969" s="18" t="s">
        <v>1192</v>
      </c>
      <c r="C969" s="18" t="s">
        <v>595</v>
      </c>
      <c r="D969" s="12">
        <v>6290</v>
      </c>
      <c r="E969" s="17" t="s">
        <v>927</v>
      </c>
      <c r="F969" s="12" t="s">
        <v>928</v>
      </c>
      <c r="G969" s="14">
        <v>2</v>
      </c>
      <c r="H969" s="24">
        <v>116000</v>
      </c>
      <c r="I969" s="12" t="s">
        <v>546</v>
      </c>
      <c r="J969" s="6" t="s">
        <v>610</v>
      </c>
      <c r="K969" s="6">
        <f t="shared" si="46"/>
        <v>10</v>
      </c>
      <c r="L969" s="6" t="str">
        <f t="shared" si="47"/>
        <v>OCTUBRE</v>
      </c>
    </row>
    <row r="970" spans="1:12" x14ac:dyDescent="0.25">
      <c r="A970" s="5">
        <f t="shared" si="45"/>
        <v>2025</v>
      </c>
      <c r="B970" s="18" t="s">
        <v>1192</v>
      </c>
      <c r="C970" s="18" t="s">
        <v>595</v>
      </c>
      <c r="D970" s="12">
        <v>6290</v>
      </c>
      <c r="E970" s="17" t="s">
        <v>235</v>
      </c>
      <c r="F970" s="12" t="s">
        <v>236</v>
      </c>
      <c r="G970" s="14">
        <v>2</v>
      </c>
      <c r="H970" s="24">
        <v>2487564</v>
      </c>
      <c r="I970" s="12" t="s">
        <v>546</v>
      </c>
      <c r="J970" s="6" t="s">
        <v>610</v>
      </c>
      <c r="K970" s="6">
        <f t="shared" si="46"/>
        <v>10</v>
      </c>
      <c r="L970" s="6" t="str">
        <f t="shared" si="47"/>
        <v>OCTUBRE</v>
      </c>
    </row>
    <row r="971" spans="1:12" x14ac:dyDescent="0.25">
      <c r="A971" s="5">
        <f t="shared" si="45"/>
        <v>2025</v>
      </c>
      <c r="B971" s="18" t="s">
        <v>1192</v>
      </c>
      <c r="C971" s="18" t="s">
        <v>595</v>
      </c>
      <c r="D971" s="12">
        <v>6290</v>
      </c>
      <c r="E971" s="17">
        <v>4921473</v>
      </c>
      <c r="F971" s="12" t="s">
        <v>1200</v>
      </c>
      <c r="G971" s="14">
        <v>2</v>
      </c>
      <c r="H971" s="24">
        <v>1130000</v>
      </c>
      <c r="I971" s="12" t="s">
        <v>546</v>
      </c>
      <c r="J971" s="6" t="s">
        <v>610</v>
      </c>
      <c r="K971" s="6">
        <f t="shared" si="46"/>
        <v>10</v>
      </c>
      <c r="L971" s="6" t="str">
        <f t="shared" si="47"/>
        <v>OCTUBRE</v>
      </c>
    </row>
    <row r="972" spans="1:12" x14ac:dyDescent="0.25">
      <c r="A972" s="5">
        <f t="shared" si="45"/>
        <v>2025</v>
      </c>
      <c r="B972" s="18" t="s">
        <v>1192</v>
      </c>
      <c r="C972" s="18" t="s">
        <v>595</v>
      </c>
      <c r="D972" s="12">
        <v>6290</v>
      </c>
      <c r="E972" s="17" t="s">
        <v>181</v>
      </c>
      <c r="F972" s="12" t="s">
        <v>182</v>
      </c>
      <c r="G972" s="14">
        <v>3</v>
      </c>
      <c r="H972" s="24">
        <v>294000</v>
      </c>
      <c r="I972" s="12" t="s">
        <v>546</v>
      </c>
      <c r="J972" s="6" t="s">
        <v>610</v>
      </c>
      <c r="K972" s="6">
        <f t="shared" si="46"/>
        <v>10</v>
      </c>
      <c r="L972" s="6" t="str">
        <f t="shared" si="47"/>
        <v>OCTUBRE</v>
      </c>
    </row>
    <row r="973" spans="1:12" x14ac:dyDescent="0.25">
      <c r="A973" s="5">
        <f t="shared" si="45"/>
        <v>2025</v>
      </c>
      <c r="B973" s="18" t="s">
        <v>1192</v>
      </c>
      <c r="C973" s="18" t="s">
        <v>595</v>
      </c>
      <c r="D973" s="12">
        <v>6290</v>
      </c>
      <c r="E973" s="17" t="s">
        <v>196</v>
      </c>
      <c r="F973" s="12" t="s">
        <v>197</v>
      </c>
      <c r="G973" s="14">
        <v>3</v>
      </c>
      <c r="H973" s="24">
        <v>7680000</v>
      </c>
      <c r="I973" s="12" t="s">
        <v>546</v>
      </c>
      <c r="J973" s="6" t="s">
        <v>610</v>
      </c>
      <c r="K973" s="6">
        <f t="shared" si="46"/>
        <v>10</v>
      </c>
      <c r="L973" s="6" t="str">
        <f t="shared" si="47"/>
        <v>OCTUBRE</v>
      </c>
    </row>
    <row r="974" spans="1:12" x14ac:dyDescent="0.25">
      <c r="A974" s="5">
        <f t="shared" si="45"/>
        <v>2025</v>
      </c>
      <c r="B974" s="18" t="s">
        <v>1192</v>
      </c>
      <c r="C974" s="18" t="s">
        <v>595</v>
      </c>
      <c r="D974" s="12">
        <v>6290</v>
      </c>
      <c r="E974" s="17">
        <v>4300382</v>
      </c>
      <c r="F974" s="12" t="s">
        <v>411</v>
      </c>
      <c r="G974" s="14">
        <v>3</v>
      </c>
      <c r="H974" s="24">
        <v>105000</v>
      </c>
      <c r="I974" s="12" t="s">
        <v>546</v>
      </c>
      <c r="J974" s="6" t="s">
        <v>610</v>
      </c>
      <c r="K974" s="6">
        <f t="shared" si="46"/>
        <v>10</v>
      </c>
      <c r="L974" s="6" t="str">
        <f t="shared" si="47"/>
        <v>OCTUBRE</v>
      </c>
    </row>
    <row r="975" spans="1:12" x14ac:dyDescent="0.25">
      <c r="A975" s="5">
        <f t="shared" si="45"/>
        <v>2025</v>
      </c>
      <c r="B975" s="18" t="s">
        <v>1208</v>
      </c>
      <c r="C975" s="18" t="s">
        <v>595</v>
      </c>
      <c r="D975" s="12">
        <v>6317</v>
      </c>
      <c r="E975" s="17" t="s">
        <v>319</v>
      </c>
      <c r="F975" s="12" t="s">
        <v>320</v>
      </c>
      <c r="G975" s="14">
        <v>7</v>
      </c>
      <c r="H975" s="24">
        <v>3504865</v>
      </c>
      <c r="I975" s="12" t="s">
        <v>546</v>
      </c>
      <c r="J975" s="6" t="s">
        <v>610</v>
      </c>
      <c r="K975" s="6">
        <f t="shared" si="46"/>
        <v>10</v>
      </c>
      <c r="L975" s="6" t="str">
        <f t="shared" si="47"/>
        <v>OCTUBRE</v>
      </c>
    </row>
    <row r="976" spans="1:12" x14ac:dyDescent="0.25">
      <c r="A976" s="5">
        <f t="shared" si="45"/>
        <v>2025</v>
      </c>
      <c r="B976" s="18" t="s">
        <v>1208</v>
      </c>
      <c r="C976" s="18" t="s">
        <v>595</v>
      </c>
      <c r="D976" s="12">
        <v>6317</v>
      </c>
      <c r="E976" s="17" t="s">
        <v>68</v>
      </c>
      <c r="F976" s="12" t="s">
        <v>69</v>
      </c>
      <c r="G976" s="14">
        <v>7</v>
      </c>
      <c r="H976" s="24">
        <v>3977883</v>
      </c>
      <c r="I976" s="12" t="s">
        <v>546</v>
      </c>
      <c r="J976" s="6" t="s">
        <v>610</v>
      </c>
      <c r="K976" s="6">
        <f t="shared" si="46"/>
        <v>10</v>
      </c>
      <c r="L976" s="6" t="str">
        <f t="shared" si="47"/>
        <v>OCTUBRE</v>
      </c>
    </row>
    <row r="977" spans="1:12" x14ac:dyDescent="0.25">
      <c r="A977" s="5">
        <f t="shared" si="45"/>
        <v>2025</v>
      </c>
      <c r="B977" s="18" t="s">
        <v>1208</v>
      </c>
      <c r="C977" s="18" t="s">
        <v>595</v>
      </c>
      <c r="D977" s="12">
        <v>6317</v>
      </c>
      <c r="E977" s="17">
        <v>4301851</v>
      </c>
      <c r="F977" s="12" t="s">
        <v>185</v>
      </c>
      <c r="G977" s="14">
        <v>4</v>
      </c>
      <c r="H977" s="24">
        <v>440000</v>
      </c>
      <c r="I977" s="12" t="s">
        <v>546</v>
      </c>
      <c r="J977" s="6" t="s">
        <v>610</v>
      </c>
      <c r="K977" s="6">
        <f t="shared" si="46"/>
        <v>10</v>
      </c>
      <c r="L977" s="6" t="str">
        <f t="shared" si="47"/>
        <v>OCTUBRE</v>
      </c>
    </row>
    <row r="978" spans="1:12" x14ac:dyDescent="0.25">
      <c r="A978" s="5">
        <f t="shared" si="45"/>
        <v>2025</v>
      </c>
      <c r="B978" s="18" t="s">
        <v>1208</v>
      </c>
      <c r="C978" s="18" t="s">
        <v>595</v>
      </c>
      <c r="D978" s="12">
        <v>6317</v>
      </c>
      <c r="E978" s="17">
        <v>4300902</v>
      </c>
      <c r="F978" s="12" t="s">
        <v>978</v>
      </c>
      <c r="G978" s="14">
        <v>1</v>
      </c>
      <c r="H978" s="24">
        <v>322000</v>
      </c>
      <c r="I978" s="12" t="s">
        <v>546</v>
      </c>
      <c r="J978" s="6" t="s">
        <v>610</v>
      </c>
      <c r="K978" s="6">
        <f t="shared" si="46"/>
        <v>10</v>
      </c>
      <c r="L978" s="6" t="str">
        <f t="shared" si="47"/>
        <v>OCTUBRE</v>
      </c>
    </row>
    <row r="979" spans="1:12" x14ac:dyDescent="0.25">
      <c r="A979" s="5">
        <f t="shared" si="45"/>
        <v>2025</v>
      </c>
      <c r="B979" s="18" t="s">
        <v>1208</v>
      </c>
      <c r="C979" s="18" t="s">
        <v>595</v>
      </c>
      <c r="D979" s="12">
        <v>6317</v>
      </c>
      <c r="E979" s="17">
        <v>4303424</v>
      </c>
      <c r="F979" s="12" t="s">
        <v>135</v>
      </c>
      <c r="G979" s="14">
        <v>1</v>
      </c>
      <c r="H979" s="24">
        <v>19000</v>
      </c>
      <c r="I979" s="12" t="s">
        <v>546</v>
      </c>
      <c r="J979" s="6" t="s">
        <v>610</v>
      </c>
      <c r="K979" s="6">
        <f t="shared" si="46"/>
        <v>10</v>
      </c>
      <c r="L979" s="6" t="str">
        <f t="shared" si="47"/>
        <v>OCTUBRE</v>
      </c>
    </row>
    <row r="980" spans="1:12" x14ac:dyDescent="0.25">
      <c r="A980" s="5">
        <f t="shared" si="45"/>
        <v>2025</v>
      </c>
      <c r="B980" s="18" t="s">
        <v>1208</v>
      </c>
      <c r="C980" s="18" t="s">
        <v>595</v>
      </c>
      <c r="D980" s="12">
        <v>6317</v>
      </c>
      <c r="E980" s="17" t="s">
        <v>492</v>
      </c>
      <c r="F980" s="12" t="s">
        <v>493</v>
      </c>
      <c r="G980" s="14">
        <v>3</v>
      </c>
      <c r="H980" s="24">
        <v>234000</v>
      </c>
      <c r="I980" s="12" t="s">
        <v>546</v>
      </c>
      <c r="J980" s="6" t="s">
        <v>610</v>
      </c>
      <c r="K980" s="6">
        <f t="shared" si="46"/>
        <v>10</v>
      </c>
      <c r="L980" s="6" t="str">
        <f t="shared" si="47"/>
        <v>OCTUBRE</v>
      </c>
    </row>
    <row r="981" spans="1:12" x14ac:dyDescent="0.25">
      <c r="A981" s="5">
        <f t="shared" si="45"/>
        <v>2025</v>
      </c>
      <c r="B981" s="18" t="s">
        <v>1208</v>
      </c>
      <c r="C981" s="18" t="s">
        <v>595</v>
      </c>
      <c r="D981" s="12">
        <v>6317</v>
      </c>
      <c r="E981" s="17" t="s">
        <v>404</v>
      </c>
      <c r="F981" s="12" t="s">
        <v>405</v>
      </c>
      <c r="G981" s="14">
        <v>1</v>
      </c>
      <c r="H981" s="24">
        <v>550000</v>
      </c>
      <c r="I981" s="12" t="s">
        <v>546</v>
      </c>
      <c r="J981" s="6" t="s">
        <v>610</v>
      </c>
      <c r="K981" s="6">
        <f t="shared" si="46"/>
        <v>10</v>
      </c>
      <c r="L981" s="6" t="str">
        <f t="shared" si="47"/>
        <v>OCTUBRE</v>
      </c>
    </row>
    <row r="982" spans="1:12" x14ac:dyDescent="0.25">
      <c r="A982" s="5">
        <f t="shared" si="45"/>
        <v>2025</v>
      </c>
      <c r="B982" s="18" t="s">
        <v>1208</v>
      </c>
      <c r="C982" s="18" t="s">
        <v>595</v>
      </c>
      <c r="D982" s="12">
        <v>6317</v>
      </c>
      <c r="E982" s="17" t="s">
        <v>251</v>
      </c>
      <c r="F982" s="12" t="s">
        <v>252</v>
      </c>
      <c r="G982" s="14">
        <v>2</v>
      </c>
      <c r="H982" s="24">
        <v>110000</v>
      </c>
      <c r="I982" s="12" t="s">
        <v>546</v>
      </c>
      <c r="J982" s="6" t="s">
        <v>610</v>
      </c>
      <c r="K982" s="6">
        <f t="shared" si="46"/>
        <v>10</v>
      </c>
      <c r="L982" s="6" t="str">
        <f t="shared" si="47"/>
        <v>OCTUBRE</v>
      </c>
    </row>
    <row r="983" spans="1:12" x14ac:dyDescent="0.25">
      <c r="A983" s="5">
        <f t="shared" si="45"/>
        <v>2025</v>
      </c>
      <c r="B983" s="18" t="s">
        <v>1208</v>
      </c>
      <c r="C983" s="18" t="s">
        <v>595</v>
      </c>
      <c r="D983" s="12">
        <v>6317</v>
      </c>
      <c r="E983" s="17" t="s">
        <v>188</v>
      </c>
      <c r="F983" s="12" t="s">
        <v>189</v>
      </c>
      <c r="G983" s="14">
        <v>4</v>
      </c>
      <c r="H983" s="24">
        <v>140000</v>
      </c>
      <c r="I983" s="12" t="s">
        <v>546</v>
      </c>
      <c r="J983" s="6" t="s">
        <v>610</v>
      </c>
      <c r="K983" s="6">
        <f t="shared" si="46"/>
        <v>10</v>
      </c>
      <c r="L983" s="6" t="str">
        <f t="shared" si="47"/>
        <v>OCTUBRE</v>
      </c>
    </row>
    <row r="984" spans="1:12" x14ac:dyDescent="0.25">
      <c r="A984" s="5">
        <f t="shared" si="45"/>
        <v>2025</v>
      </c>
      <c r="B984" s="18" t="s">
        <v>1208</v>
      </c>
      <c r="C984" s="18" t="s">
        <v>595</v>
      </c>
      <c r="D984" s="12">
        <v>6317</v>
      </c>
      <c r="E984" s="17" t="s">
        <v>1020</v>
      </c>
      <c r="F984" s="12" t="s">
        <v>1021</v>
      </c>
      <c r="G984" s="14">
        <v>2</v>
      </c>
      <c r="H984" s="24">
        <v>147000</v>
      </c>
      <c r="I984" s="12" t="s">
        <v>546</v>
      </c>
      <c r="J984" s="6" t="s">
        <v>610</v>
      </c>
      <c r="K984" s="6">
        <f t="shared" si="46"/>
        <v>10</v>
      </c>
      <c r="L984" s="6" t="str">
        <f t="shared" si="47"/>
        <v>OCTUBRE</v>
      </c>
    </row>
    <row r="985" spans="1:12" x14ac:dyDescent="0.25">
      <c r="A985" s="5">
        <f t="shared" si="45"/>
        <v>2025</v>
      </c>
      <c r="B985" s="18" t="s">
        <v>1255</v>
      </c>
      <c r="C985" s="18" t="s">
        <v>595</v>
      </c>
      <c r="D985" s="12">
        <v>6338</v>
      </c>
      <c r="E985" s="17" t="s">
        <v>228</v>
      </c>
      <c r="F985" s="12" t="s">
        <v>229</v>
      </c>
      <c r="G985" s="14">
        <v>6</v>
      </c>
      <c r="H985" s="24">
        <v>750000</v>
      </c>
      <c r="I985" s="12" t="s">
        <v>546</v>
      </c>
      <c r="J985" s="6" t="s">
        <v>610</v>
      </c>
      <c r="K985" s="6">
        <f t="shared" si="46"/>
        <v>10</v>
      </c>
      <c r="L985" s="6" t="str">
        <f t="shared" si="47"/>
        <v>OCTUBRE</v>
      </c>
    </row>
    <row r="986" spans="1:12" x14ac:dyDescent="0.25">
      <c r="A986" s="5">
        <f t="shared" si="45"/>
        <v>2025</v>
      </c>
      <c r="B986" s="18" t="s">
        <v>1255</v>
      </c>
      <c r="C986" s="18" t="s">
        <v>595</v>
      </c>
      <c r="D986" s="12">
        <v>6338</v>
      </c>
      <c r="E986" s="17" t="s">
        <v>486</v>
      </c>
      <c r="F986" s="12" t="s">
        <v>487</v>
      </c>
      <c r="G986" s="14">
        <v>2</v>
      </c>
      <c r="H986" s="24">
        <v>530000</v>
      </c>
      <c r="I986" s="12" t="s">
        <v>546</v>
      </c>
      <c r="J986" s="6" t="s">
        <v>610</v>
      </c>
      <c r="K986" s="6">
        <f t="shared" si="46"/>
        <v>10</v>
      </c>
      <c r="L986" s="6" t="str">
        <f t="shared" si="47"/>
        <v>OCTUBRE</v>
      </c>
    </row>
    <row r="987" spans="1:12" x14ac:dyDescent="0.25">
      <c r="A987" s="5">
        <f t="shared" si="45"/>
        <v>2025</v>
      </c>
      <c r="B987" s="18" t="s">
        <v>1255</v>
      </c>
      <c r="C987" s="18" t="s">
        <v>595</v>
      </c>
      <c r="D987" s="12">
        <v>6338</v>
      </c>
      <c r="E987" s="17">
        <v>85003</v>
      </c>
      <c r="F987" s="12" t="s">
        <v>449</v>
      </c>
      <c r="G987" s="14">
        <v>10</v>
      </c>
      <c r="H987" s="24">
        <v>181070</v>
      </c>
      <c r="I987" s="12" t="s">
        <v>546</v>
      </c>
      <c r="J987" s="6" t="s">
        <v>610</v>
      </c>
      <c r="K987" s="6">
        <f t="shared" si="46"/>
        <v>10</v>
      </c>
      <c r="L987" s="6" t="str">
        <f t="shared" si="47"/>
        <v>OCTUBRE</v>
      </c>
    </row>
    <row r="988" spans="1:12" x14ac:dyDescent="0.25">
      <c r="A988" s="5">
        <f t="shared" si="45"/>
        <v>2025</v>
      </c>
      <c r="B988" s="18" t="s">
        <v>1255</v>
      </c>
      <c r="C988" s="18" t="s">
        <v>595</v>
      </c>
      <c r="D988" s="12">
        <v>6338</v>
      </c>
      <c r="E988" s="17" t="s">
        <v>60</v>
      </c>
      <c r="F988" s="12" t="s">
        <v>61</v>
      </c>
      <c r="G988" s="14">
        <v>1</v>
      </c>
      <c r="H988" s="24">
        <v>42000</v>
      </c>
      <c r="I988" s="12" t="s">
        <v>546</v>
      </c>
      <c r="J988" s="6" t="s">
        <v>610</v>
      </c>
      <c r="K988" s="6">
        <f t="shared" si="46"/>
        <v>10</v>
      </c>
      <c r="L988" s="6" t="str">
        <f t="shared" si="47"/>
        <v>OCTUBRE</v>
      </c>
    </row>
    <row r="989" spans="1:12" x14ac:dyDescent="0.25">
      <c r="A989" s="5">
        <f t="shared" si="45"/>
        <v>2025</v>
      </c>
      <c r="B989" s="18" t="s">
        <v>1255</v>
      </c>
      <c r="C989" s="18" t="s">
        <v>595</v>
      </c>
      <c r="D989" s="12">
        <v>6338</v>
      </c>
      <c r="E989" s="17" t="s">
        <v>936</v>
      </c>
      <c r="F989" s="12" t="s">
        <v>937</v>
      </c>
      <c r="G989" s="14">
        <v>1</v>
      </c>
      <c r="H989" s="24">
        <v>60000</v>
      </c>
      <c r="I989" s="12" t="s">
        <v>546</v>
      </c>
      <c r="J989" s="6" t="s">
        <v>610</v>
      </c>
      <c r="K989" s="6">
        <f t="shared" si="46"/>
        <v>10</v>
      </c>
      <c r="L989" s="6" t="str">
        <f t="shared" si="47"/>
        <v>OCTUBRE</v>
      </c>
    </row>
    <row r="990" spans="1:12" x14ac:dyDescent="0.25">
      <c r="A990" s="5">
        <f t="shared" si="45"/>
        <v>2025</v>
      </c>
      <c r="B990" s="18" t="s">
        <v>1255</v>
      </c>
      <c r="C990" s="18" t="s">
        <v>595</v>
      </c>
      <c r="D990" s="12">
        <v>6338</v>
      </c>
      <c r="E990" s="17" t="s">
        <v>1053</v>
      </c>
      <c r="F990" s="12" t="s">
        <v>115</v>
      </c>
      <c r="G990" s="14">
        <v>1</v>
      </c>
      <c r="H990" s="24">
        <v>107800</v>
      </c>
      <c r="I990" s="12" t="s">
        <v>546</v>
      </c>
      <c r="J990" s="6" t="s">
        <v>610</v>
      </c>
      <c r="K990" s="6">
        <f t="shared" si="46"/>
        <v>10</v>
      </c>
      <c r="L990" s="6" t="str">
        <f t="shared" si="47"/>
        <v>OCTUBRE</v>
      </c>
    </row>
    <row r="991" spans="1:12" x14ac:dyDescent="0.25">
      <c r="A991" s="5">
        <f t="shared" si="45"/>
        <v>2025</v>
      </c>
      <c r="B991" s="18" t="s">
        <v>1255</v>
      </c>
      <c r="C991" s="18" t="s">
        <v>595</v>
      </c>
      <c r="D991" s="12">
        <v>6338</v>
      </c>
      <c r="E991" s="17" t="s">
        <v>37</v>
      </c>
      <c r="F991" s="12" t="s">
        <v>38</v>
      </c>
      <c r="G991" s="14">
        <v>2</v>
      </c>
      <c r="H991" s="24">
        <v>644810</v>
      </c>
      <c r="I991" s="12" t="s">
        <v>546</v>
      </c>
      <c r="J991" s="6" t="s">
        <v>610</v>
      </c>
      <c r="K991" s="6">
        <f t="shared" si="46"/>
        <v>10</v>
      </c>
      <c r="L991" s="6" t="str">
        <f t="shared" si="47"/>
        <v>OCTUBRE</v>
      </c>
    </row>
    <row r="992" spans="1:12" x14ac:dyDescent="0.25">
      <c r="A992" s="5">
        <f t="shared" si="45"/>
        <v>2025</v>
      </c>
      <c r="B992" s="18" t="s">
        <v>1255</v>
      </c>
      <c r="C992" s="18" t="s">
        <v>595</v>
      </c>
      <c r="D992" s="12">
        <v>6338</v>
      </c>
      <c r="E992" s="17">
        <v>4026684</v>
      </c>
      <c r="F992" s="12" t="s">
        <v>1069</v>
      </c>
      <c r="G992" s="14">
        <v>1</v>
      </c>
      <c r="H992" s="24">
        <v>358000</v>
      </c>
      <c r="I992" s="12" t="s">
        <v>546</v>
      </c>
      <c r="J992" s="6" t="s">
        <v>610</v>
      </c>
      <c r="K992" s="6">
        <f t="shared" si="46"/>
        <v>10</v>
      </c>
      <c r="L992" s="6" t="str">
        <f t="shared" si="47"/>
        <v>OCTUBRE</v>
      </c>
    </row>
    <row r="993" spans="1:12" x14ac:dyDescent="0.25">
      <c r="A993" s="5">
        <f t="shared" si="45"/>
        <v>2025</v>
      </c>
      <c r="B993" s="18" t="s">
        <v>1255</v>
      </c>
      <c r="C993" s="18" t="s">
        <v>595</v>
      </c>
      <c r="D993" s="12">
        <v>6338</v>
      </c>
      <c r="E993" s="17" t="s">
        <v>1120</v>
      </c>
      <c r="F993" s="12" t="s">
        <v>1123</v>
      </c>
      <c r="G993" s="14">
        <v>3</v>
      </c>
      <c r="H993" s="24">
        <v>195000</v>
      </c>
      <c r="I993" s="12" t="s">
        <v>546</v>
      </c>
      <c r="J993" s="6" t="s">
        <v>610</v>
      </c>
      <c r="K993" s="6">
        <f t="shared" si="46"/>
        <v>10</v>
      </c>
      <c r="L993" s="6" t="str">
        <f t="shared" si="47"/>
        <v>OCTUBRE</v>
      </c>
    </row>
    <row r="994" spans="1:12" x14ac:dyDescent="0.25">
      <c r="A994" s="5">
        <f t="shared" si="45"/>
        <v>2025</v>
      </c>
      <c r="B994" s="18" t="s">
        <v>1255</v>
      </c>
      <c r="C994" s="18" t="s">
        <v>595</v>
      </c>
      <c r="D994" s="12">
        <v>6338</v>
      </c>
      <c r="E994" s="17" t="s">
        <v>56</v>
      </c>
      <c r="F994" s="12" t="s">
        <v>57</v>
      </c>
      <c r="G994" s="14">
        <v>6</v>
      </c>
      <c r="H994" s="24">
        <v>144000</v>
      </c>
      <c r="I994" s="12" t="s">
        <v>546</v>
      </c>
      <c r="J994" s="6" t="s">
        <v>610</v>
      </c>
      <c r="K994" s="6">
        <f t="shared" si="46"/>
        <v>10</v>
      </c>
      <c r="L994" s="6" t="str">
        <f t="shared" si="47"/>
        <v>OCTUBRE</v>
      </c>
    </row>
    <row r="995" spans="1:12" x14ac:dyDescent="0.25">
      <c r="A995" s="5">
        <f t="shared" si="45"/>
        <v>2025</v>
      </c>
      <c r="B995" s="18" t="s">
        <v>1270</v>
      </c>
      <c r="C995" s="18" t="s">
        <v>595</v>
      </c>
      <c r="D995" s="12">
        <v>6360</v>
      </c>
      <c r="E995" s="17">
        <v>4955383</v>
      </c>
      <c r="F995" s="12" t="s">
        <v>1206</v>
      </c>
      <c r="G995" s="14">
        <v>1</v>
      </c>
      <c r="H995" s="24">
        <v>190519</v>
      </c>
      <c r="I995" s="12" t="s">
        <v>546</v>
      </c>
      <c r="J995" s="6" t="s">
        <v>610</v>
      </c>
      <c r="K995" s="6">
        <f t="shared" si="46"/>
        <v>11</v>
      </c>
      <c r="L995" s="6" t="str">
        <f t="shared" si="47"/>
        <v>NOVIEMBRE</v>
      </c>
    </row>
    <row r="996" spans="1:12" x14ac:dyDescent="0.25">
      <c r="A996" s="5">
        <f t="shared" si="45"/>
        <v>2025</v>
      </c>
      <c r="B996" s="18" t="s">
        <v>1270</v>
      </c>
      <c r="C996" s="18" t="s">
        <v>595</v>
      </c>
      <c r="D996" s="12">
        <v>6360</v>
      </c>
      <c r="E996" s="17" t="s">
        <v>684</v>
      </c>
      <c r="F996" s="12" t="s">
        <v>701</v>
      </c>
      <c r="G996" s="14">
        <v>4</v>
      </c>
      <c r="H996" s="24">
        <v>405676</v>
      </c>
      <c r="I996" s="12" t="s">
        <v>546</v>
      </c>
      <c r="J996" s="6" t="s">
        <v>610</v>
      </c>
      <c r="K996" s="6">
        <f t="shared" si="46"/>
        <v>11</v>
      </c>
      <c r="L996" s="6" t="str">
        <f t="shared" si="47"/>
        <v>NOVIEMBRE</v>
      </c>
    </row>
    <row r="997" spans="1:12" x14ac:dyDescent="0.25">
      <c r="A997" s="5">
        <f t="shared" si="45"/>
        <v>2025</v>
      </c>
      <c r="B997" s="18" t="s">
        <v>1270</v>
      </c>
      <c r="C997" s="18" t="s">
        <v>595</v>
      </c>
      <c r="D997" s="12">
        <v>6360</v>
      </c>
      <c r="E997" s="17" t="s">
        <v>1212</v>
      </c>
      <c r="F997" s="12" t="s">
        <v>1215</v>
      </c>
      <c r="G997" s="14">
        <v>1</v>
      </c>
      <c r="H997" s="24">
        <v>290000</v>
      </c>
      <c r="I997" s="12" t="s">
        <v>546</v>
      </c>
      <c r="J997" s="6" t="s">
        <v>610</v>
      </c>
      <c r="K997" s="6">
        <f t="shared" si="46"/>
        <v>11</v>
      </c>
      <c r="L997" s="6" t="str">
        <f t="shared" si="47"/>
        <v>NOVIEMBRE</v>
      </c>
    </row>
    <row r="998" spans="1:12" x14ac:dyDescent="0.25">
      <c r="A998" s="5">
        <f t="shared" si="45"/>
        <v>2025</v>
      </c>
      <c r="B998" s="18" t="s">
        <v>1275</v>
      </c>
      <c r="C998" s="18" t="s">
        <v>595</v>
      </c>
      <c r="D998" s="12">
        <v>6368</v>
      </c>
      <c r="E998" s="17">
        <v>4303603</v>
      </c>
      <c r="F998" s="12" t="s">
        <v>335</v>
      </c>
      <c r="G998" s="14">
        <v>3</v>
      </c>
      <c r="H998" s="24">
        <v>129000</v>
      </c>
      <c r="I998" s="12" t="s">
        <v>546</v>
      </c>
      <c r="J998" s="6" t="s">
        <v>610</v>
      </c>
      <c r="K998" s="6">
        <f t="shared" si="46"/>
        <v>11</v>
      </c>
      <c r="L998" s="6" t="str">
        <f t="shared" si="47"/>
        <v>NOVIEMBRE</v>
      </c>
    </row>
    <row r="999" spans="1:12" x14ac:dyDescent="0.25">
      <c r="A999" s="5">
        <f t="shared" si="45"/>
        <v>2025</v>
      </c>
      <c r="B999" s="18" t="s">
        <v>1275</v>
      </c>
      <c r="C999" s="18" t="s">
        <v>595</v>
      </c>
      <c r="D999" s="12">
        <v>6368</v>
      </c>
      <c r="E999" s="17" t="s">
        <v>156</v>
      </c>
      <c r="F999" s="12" t="s">
        <v>157</v>
      </c>
      <c r="G999" s="14">
        <v>7</v>
      </c>
      <c r="H999" s="24">
        <v>3486000</v>
      </c>
      <c r="I999" s="12" t="s">
        <v>546</v>
      </c>
      <c r="J999" s="6" t="s">
        <v>610</v>
      </c>
      <c r="K999" s="6">
        <f t="shared" si="46"/>
        <v>11</v>
      </c>
      <c r="L999" s="6" t="str">
        <f t="shared" si="47"/>
        <v>NOVIEMBRE</v>
      </c>
    </row>
    <row r="1000" spans="1:12" x14ac:dyDescent="0.25">
      <c r="A1000" s="5">
        <f t="shared" si="45"/>
        <v>2025</v>
      </c>
      <c r="B1000" s="18" t="s">
        <v>1275</v>
      </c>
      <c r="C1000" s="18" t="s">
        <v>595</v>
      </c>
      <c r="D1000" s="12">
        <v>6368</v>
      </c>
      <c r="E1000" s="17">
        <v>85003</v>
      </c>
      <c r="F1000" s="12" t="s">
        <v>449</v>
      </c>
      <c r="G1000" s="14">
        <v>30</v>
      </c>
      <c r="H1000" s="24">
        <v>543210</v>
      </c>
      <c r="I1000" s="12" t="s">
        <v>546</v>
      </c>
      <c r="J1000" s="6" t="s">
        <v>610</v>
      </c>
      <c r="K1000" s="6">
        <f t="shared" si="46"/>
        <v>11</v>
      </c>
      <c r="L1000" s="6" t="str">
        <f t="shared" si="47"/>
        <v>NOVIEMBRE</v>
      </c>
    </row>
    <row r="1001" spans="1:12" x14ac:dyDescent="0.25">
      <c r="A1001" s="5">
        <f t="shared" si="45"/>
        <v>2025</v>
      </c>
      <c r="B1001" s="18" t="s">
        <v>1275</v>
      </c>
      <c r="C1001" s="18" t="s">
        <v>595</v>
      </c>
      <c r="D1001" s="12">
        <v>6368</v>
      </c>
      <c r="E1001" s="17" t="s">
        <v>342</v>
      </c>
      <c r="F1001" s="12" t="s">
        <v>343</v>
      </c>
      <c r="G1001" s="14">
        <v>3</v>
      </c>
      <c r="H1001" s="24">
        <v>749325</v>
      </c>
      <c r="I1001" s="12" t="s">
        <v>546</v>
      </c>
      <c r="J1001" s="6" t="s">
        <v>610</v>
      </c>
      <c r="K1001" s="6">
        <f t="shared" si="46"/>
        <v>11</v>
      </c>
      <c r="L1001" s="6" t="str">
        <f t="shared" si="47"/>
        <v>NOVIEMBRE</v>
      </c>
    </row>
    <row r="1002" spans="1:12" x14ac:dyDescent="0.25">
      <c r="A1002" s="5">
        <f t="shared" si="45"/>
        <v>2025</v>
      </c>
      <c r="B1002" s="18" t="s">
        <v>1275</v>
      </c>
      <c r="C1002" s="18" t="s">
        <v>595</v>
      </c>
      <c r="D1002" s="12">
        <v>6368</v>
      </c>
      <c r="E1002" s="17" t="s">
        <v>305</v>
      </c>
      <c r="F1002" s="12" t="s">
        <v>306</v>
      </c>
      <c r="G1002" s="14">
        <v>3</v>
      </c>
      <c r="H1002" s="24">
        <v>1020000</v>
      </c>
      <c r="I1002" s="12" t="s">
        <v>546</v>
      </c>
      <c r="J1002" s="6" t="s">
        <v>610</v>
      </c>
      <c r="K1002" s="6">
        <f t="shared" si="46"/>
        <v>11</v>
      </c>
      <c r="L1002" s="6" t="str">
        <f t="shared" si="47"/>
        <v>NOVIEMBRE</v>
      </c>
    </row>
    <row r="1003" spans="1:12" x14ac:dyDescent="0.25">
      <c r="A1003" s="5">
        <f t="shared" si="45"/>
        <v>2025</v>
      </c>
      <c r="B1003" s="18" t="s">
        <v>1275</v>
      </c>
      <c r="C1003" s="18" t="s">
        <v>595</v>
      </c>
      <c r="D1003" s="12">
        <v>6368</v>
      </c>
      <c r="E1003" s="17">
        <v>4304615</v>
      </c>
      <c r="F1003" s="12" t="s">
        <v>354</v>
      </c>
      <c r="G1003" s="14">
        <v>3</v>
      </c>
      <c r="H1003" s="24">
        <v>42000</v>
      </c>
      <c r="I1003" s="12" t="s">
        <v>546</v>
      </c>
      <c r="J1003" s="6" t="s">
        <v>610</v>
      </c>
      <c r="K1003" s="6">
        <f t="shared" si="46"/>
        <v>11</v>
      </c>
      <c r="L1003" s="6" t="str">
        <f t="shared" si="47"/>
        <v>NOVIEMBRE</v>
      </c>
    </row>
    <row r="1004" spans="1:12" x14ac:dyDescent="0.25">
      <c r="A1004" s="5">
        <f t="shared" si="45"/>
        <v>2025</v>
      </c>
      <c r="B1004" s="18" t="s">
        <v>1275</v>
      </c>
      <c r="C1004" s="18" t="s">
        <v>595</v>
      </c>
      <c r="D1004" s="12">
        <v>6368</v>
      </c>
      <c r="E1004" s="17" t="s">
        <v>419</v>
      </c>
      <c r="F1004" s="12" t="s">
        <v>420</v>
      </c>
      <c r="G1004" s="14">
        <v>16</v>
      </c>
      <c r="H1004" s="24">
        <v>3520000</v>
      </c>
      <c r="I1004" s="12" t="s">
        <v>546</v>
      </c>
      <c r="J1004" s="6" t="s">
        <v>610</v>
      </c>
      <c r="K1004" s="6">
        <f t="shared" si="46"/>
        <v>11</v>
      </c>
      <c r="L1004" s="6" t="str">
        <f t="shared" si="47"/>
        <v>NOVIEMBRE</v>
      </c>
    </row>
    <row r="1005" spans="1:12" x14ac:dyDescent="0.25">
      <c r="A1005" s="5">
        <f t="shared" si="45"/>
        <v>2025</v>
      </c>
      <c r="B1005" s="18" t="s">
        <v>1275</v>
      </c>
      <c r="C1005" s="18" t="s">
        <v>595</v>
      </c>
      <c r="D1005" s="12">
        <v>6368</v>
      </c>
      <c r="E1005" s="17">
        <v>23559</v>
      </c>
      <c r="F1005" s="12" t="s">
        <v>129</v>
      </c>
      <c r="G1005" s="14">
        <v>3</v>
      </c>
      <c r="H1005" s="24">
        <v>13524</v>
      </c>
      <c r="I1005" s="12" t="s">
        <v>546</v>
      </c>
      <c r="J1005" s="6" t="s">
        <v>610</v>
      </c>
      <c r="K1005" s="6">
        <f t="shared" si="46"/>
        <v>11</v>
      </c>
      <c r="L1005" s="6" t="str">
        <f t="shared" si="47"/>
        <v>NOVIEMBRE</v>
      </c>
    </row>
    <row r="1006" spans="1:12" x14ac:dyDescent="0.25">
      <c r="A1006" s="5">
        <f t="shared" si="45"/>
        <v>2025</v>
      </c>
      <c r="B1006" s="18" t="s">
        <v>1275</v>
      </c>
      <c r="C1006" s="18" t="s">
        <v>595</v>
      </c>
      <c r="D1006" s="12">
        <v>6368</v>
      </c>
      <c r="E1006" s="17" t="s">
        <v>355</v>
      </c>
      <c r="F1006" s="12" t="s">
        <v>356</v>
      </c>
      <c r="G1006" s="14">
        <v>5</v>
      </c>
      <c r="H1006" s="24">
        <v>875000</v>
      </c>
      <c r="I1006" s="12" t="s">
        <v>546</v>
      </c>
      <c r="J1006" s="6" t="s">
        <v>610</v>
      </c>
      <c r="K1006" s="6">
        <f t="shared" si="46"/>
        <v>11</v>
      </c>
      <c r="L1006" s="6" t="str">
        <f t="shared" si="47"/>
        <v>NOVIEMBRE</v>
      </c>
    </row>
    <row r="1007" spans="1:12" x14ac:dyDescent="0.25">
      <c r="A1007" s="5">
        <f t="shared" si="45"/>
        <v>2025</v>
      </c>
      <c r="B1007" s="18" t="s">
        <v>1282</v>
      </c>
      <c r="C1007" s="18" t="s">
        <v>595</v>
      </c>
      <c r="D1007" s="12">
        <v>6364</v>
      </c>
      <c r="E1007" s="17" t="s">
        <v>894</v>
      </c>
      <c r="F1007" s="12" t="s">
        <v>895</v>
      </c>
      <c r="G1007" s="14">
        <v>32</v>
      </c>
      <c r="H1007" s="24">
        <v>1033600</v>
      </c>
      <c r="I1007" s="12" t="s">
        <v>712</v>
      </c>
      <c r="J1007" s="6" t="s">
        <v>608</v>
      </c>
      <c r="K1007" s="6">
        <f t="shared" si="46"/>
        <v>11</v>
      </c>
      <c r="L1007" s="6" t="str">
        <f t="shared" si="47"/>
        <v>NOVIEMBRE</v>
      </c>
    </row>
    <row r="1008" spans="1:12" x14ac:dyDescent="0.25">
      <c r="A1008" s="5">
        <f t="shared" si="45"/>
        <v>2025</v>
      </c>
      <c r="B1008" s="18" t="s">
        <v>1282</v>
      </c>
      <c r="C1008" s="18" t="s">
        <v>595</v>
      </c>
      <c r="D1008" s="12">
        <v>6364</v>
      </c>
      <c r="E1008" s="17" t="s">
        <v>1003</v>
      </c>
      <c r="F1008" s="12" t="s">
        <v>1004</v>
      </c>
      <c r="G1008" s="14">
        <v>15</v>
      </c>
      <c r="H1008" s="24">
        <v>570000</v>
      </c>
      <c r="I1008" s="12" t="s">
        <v>712</v>
      </c>
      <c r="J1008" s="6" t="s">
        <v>608</v>
      </c>
      <c r="K1008" s="6">
        <f t="shared" si="46"/>
        <v>11</v>
      </c>
      <c r="L1008" s="6" t="str">
        <f t="shared" si="47"/>
        <v>NOVIEMBRE</v>
      </c>
    </row>
    <row r="1009" spans="1:12" x14ac:dyDescent="0.25">
      <c r="A1009" s="5">
        <f t="shared" si="45"/>
        <v>2025</v>
      </c>
      <c r="B1009" s="18" t="s">
        <v>1282</v>
      </c>
      <c r="C1009" s="18" t="s">
        <v>595</v>
      </c>
      <c r="D1009" s="12">
        <v>6364</v>
      </c>
      <c r="E1009" s="17" t="s">
        <v>494</v>
      </c>
      <c r="F1009" s="12" t="s">
        <v>495</v>
      </c>
      <c r="G1009" s="14">
        <v>2</v>
      </c>
      <c r="H1009" s="24">
        <v>90000</v>
      </c>
      <c r="I1009" s="12" t="s">
        <v>712</v>
      </c>
      <c r="J1009" s="6" t="s">
        <v>608</v>
      </c>
      <c r="K1009" s="6">
        <f t="shared" si="46"/>
        <v>11</v>
      </c>
      <c r="L1009" s="6" t="str">
        <f t="shared" si="47"/>
        <v>NOVIEMBRE</v>
      </c>
    </row>
    <row r="1010" spans="1:12" x14ac:dyDescent="0.25">
      <c r="A1010" s="5">
        <f t="shared" si="45"/>
        <v>2025</v>
      </c>
      <c r="B1010" s="18" t="s">
        <v>1282</v>
      </c>
      <c r="C1010" s="18" t="s">
        <v>595</v>
      </c>
      <c r="D1010" s="12">
        <v>6364</v>
      </c>
      <c r="E1010" s="17" t="s">
        <v>148</v>
      </c>
      <c r="F1010" s="12" t="s">
        <v>149</v>
      </c>
      <c r="G1010" s="14">
        <v>1</v>
      </c>
      <c r="H1010" s="24">
        <v>605000</v>
      </c>
      <c r="I1010" s="12" t="s">
        <v>712</v>
      </c>
      <c r="J1010" s="6" t="s">
        <v>608</v>
      </c>
      <c r="K1010" s="6">
        <f t="shared" si="46"/>
        <v>11</v>
      </c>
      <c r="L1010" s="6" t="str">
        <f t="shared" si="47"/>
        <v>NOVIEMBRE</v>
      </c>
    </row>
    <row r="1011" spans="1:12" x14ac:dyDescent="0.25">
      <c r="A1011" s="5">
        <f t="shared" si="45"/>
        <v>2025</v>
      </c>
      <c r="B1011" s="18" t="s">
        <v>1282</v>
      </c>
      <c r="C1011" s="18" t="s">
        <v>595</v>
      </c>
      <c r="D1011" s="12">
        <v>6364</v>
      </c>
      <c r="E1011" s="17">
        <v>9373</v>
      </c>
      <c r="F1011" s="12" t="s">
        <v>128</v>
      </c>
      <c r="G1011" s="14">
        <v>2</v>
      </c>
      <c r="H1011" s="24">
        <v>920000</v>
      </c>
      <c r="I1011" s="12" t="s">
        <v>712</v>
      </c>
      <c r="J1011" s="6" t="s">
        <v>608</v>
      </c>
      <c r="K1011" s="6">
        <f t="shared" si="46"/>
        <v>11</v>
      </c>
      <c r="L1011" s="6" t="str">
        <f t="shared" si="47"/>
        <v>NOVIEMBRE</v>
      </c>
    </row>
    <row r="1012" spans="1:12" x14ac:dyDescent="0.25">
      <c r="A1012" s="5">
        <f t="shared" si="45"/>
        <v>2025</v>
      </c>
      <c r="B1012" s="18" t="s">
        <v>1282</v>
      </c>
      <c r="C1012" s="18" t="s">
        <v>595</v>
      </c>
      <c r="D1012" s="12">
        <v>6364</v>
      </c>
      <c r="E1012" s="17" t="s">
        <v>228</v>
      </c>
      <c r="F1012" s="12" t="s">
        <v>229</v>
      </c>
      <c r="G1012" s="14">
        <v>2</v>
      </c>
      <c r="H1012" s="24">
        <v>240000</v>
      </c>
      <c r="I1012" s="12" t="s">
        <v>712</v>
      </c>
      <c r="J1012" s="6" t="s">
        <v>608</v>
      </c>
      <c r="K1012" s="6">
        <f t="shared" si="46"/>
        <v>11</v>
      </c>
      <c r="L1012" s="6" t="str">
        <f t="shared" si="47"/>
        <v>NOVIEMBRE</v>
      </c>
    </row>
    <row r="1013" spans="1:12" x14ac:dyDescent="0.25">
      <c r="A1013" s="5">
        <f t="shared" ref="A1013:A1076" si="48">+YEAR(B1013)</f>
        <v>2025</v>
      </c>
      <c r="B1013" s="18" t="s">
        <v>1282</v>
      </c>
      <c r="C1013" s="18" t="s">
        <v>595</v>
      </c>
      <c r="D1013" s="12">
        <v>6364</v>
      </c>
      <c r="E1013" s="17" t="s">
        <v>274</v>
      </c>
      <c r="F1013" s="12" t="s">
        <v>275</v>
      </c>
      <c r="G1013" s="14">
        <v>3</v>
      </c>
      <c r="H1013" s="24">
        <v>186000</v>
      </c>
      <c r="I1013" s="12" t="s">
        <v>712</v>
      </c>
      <c r="J1013" s="6" t="s">
        <v>608</v>
      </c>
      <c r="K1013" s="6">
        <f t="shared" ref="K1013:K1076" si="49">+MONTH(B1013)</f>
        <v>11</v>
      </c>
      <c r="L1013" s="6" t="str">
        <f t="shared" si="47"/>
        <v>NOVIEMBRE</v>
      </c>
    </row>
    <row r="1014" spans="1:12" x14ac:dyDescent="0.25">
      <c r="A1014" s="5">
        <f t="shared" si="48"/>
        <v>2025</v>
      </c>
      <c r="B1014" s="18" t="s">
        <v>1282</v>
      </c>
      <c r="C1014" s="18" t="s">
        <v>595</v>
      </c>
      <c r="D1014" s="12">
        <v>6364</v>
      </c>
      <c r="E1014" s="17" t="s">
        <v>213</v>
      </c>
      <c r="F1014" s="12" t="s">
        <v>214</v>
      </c>
      <c r="G1014" s="14">
        <v>1</v>
      </c>
      <c r="H1014" s="24">
        <v>1200000</v>
      </c>
      <c r="I1014" s="12" t="s">
        <v>712</v>
      </c>
      <c r="J1014" s="6" t="s">
        <v>608</v>
      </c>
      <c r="K1014" s="6">
        <f t="shared" si="49"/>
        <v>11</v>
      </c>
      <c r="L1014" s="6" t="str">
        <f t="shared" si="47"/>
        <v>NOVIEMBRE</v>
      </c>
    </row>
    <row r="1015" spans="1:12" x14ac:dyDescent="0.25">
      <c r="A1015" s="5">
        <f t="shared" si="48"/>
        <v>2025</v>
      </c>
      <c r="B1015" s="18" t="s">
        <v>1282</v>
      </c>
      <c r="C1015" s="18" t="s">
        <v>595</v>
      </c>
      <c r="D1015" s="12">
        <v>6364</v>
      </c>
      <c r="E1015" s="17" t="s">
        <v>56</v>
      </c>
      <c r="F1015" s="12" t="s">
        <v>57</v>
      </c>
      <c r="G1015" s="14">
        <v>1</v>
      </c>
      <c r="H1015" s="24">
        <v>23000</v>
      </c>
      <c r="I1015" s="12" t="s">
        <v>712</v>
      </c>
      <c r="J1015" s="6" t="s">
        <v>608</v>
      </c>
      <c r="K1015" s="6">
        <f t="shared" si="49"/>
        <v>11</v>
      </c>
      <c r="L1015" s="6" t="str">
        <f t="shared" si="47"/>
        <v>NOVIEMBRE</v>
      </c>
    </row>
    <row r="1016" spans="1:12" x14ac:dyDescent="0.25">
      <c r="A1016" s="5">
        <f t="shared" si="48"/>
        <v>2025</v>
      </c>
      <c r="B1016" s="18" t="s">
        <v>1282</v>
      </c>
      <c r="C1016" s="18" t="s">
        <v>595</v>
      </c>
      <c r="D1016" s="12">
        <v>6364</v>
      </c>
      <c r="E1016" s="17" t="s">
        <v>348</v>
      </c>
      <c r="F1016" s="12" t="s">
        <v>349</v>
      </c>
      <c r="G1016" s="14">
        <v>6</v>
      </c>
      <c r="H1016" s="24">
        <v>7200</v>
      </c>
      <c r="I1016" s="12" t="s">
        <v>712</v>
      </c>
      <c r="J1016" s="6" t="s">
        <v>608</v>
      </c>
      <c r="K1016" s="6">
        <f t="shared" si="49"/>
        <v>11</v>
      </c>
      <c r="L1016" s="6" t="str">
        <f t="shared" si="47"/>
        <v>NOVIEMBRE</v>
      </c>
    </row>
    <row r="1017" spans="1:12" x14ac:dyDescent="0.25">
      <c r="A1017" s="5">
        <f t="shared" si="48"/>
        <v>2025</v>
      </c>
      <c r="B1017" s="18" t="s">
        <v>1282</v>
      </c>
      <c r="C1017" s="18" t="s">
        <v>595</v>
      </c>
      <c r="D1017" s="12">
        <v>6364</v>
      </c>
      <c r="E1017" s="17" t="s">
        <v>272</v>
      </c>
      <c r="F1017" s="12" t="s">
        <v>273</v>
      </c>
      <c r="G1017" s="14">
        <v>1</v>
      </c>
      <c r="H1017" s="24">
        <v>295000</v>
      </c>
      <c r="I1017" s="12" t="s">
        <v>712</v>
      </c>
      <c r="J1017" s="6" t="s">
        <v>608</v>
      </c>
      <c r="K1017" s="6">
        <f t="shared" si="49"/>
        <v>11</v>
      </c>
      <c r="L1017" s="6" t="str">
        <f t="shared" si="47"/>
        <v>NOVIEMBRE</v>
      </c>
    </row>
    <row r="1018" spans="1:12" x14ac:dyDescent="0.25">
      <c r="A1018" s="5">
        <f t="shared" si="48"/>
        <v>2025</v>
      </c>
      <c r="B1018" s="18" t="s">
        <v>1282</v>
      </c>
      <c r="C1018" s="18" t="s">
        <v>595</v>
      </c>
      <c r="D1018" s="12">
        <v>6364</v>
      </c>
      <c r="E1018" s="17" t="s">
        <v>453</v>
      </c>
      <c r="F1018" s="12" t="s">
        <v>454</v>
      </c>
      <c r="G1018" s="14">
        <v>1</v>
      </c>
      <c r="H1018" s="24">
        <v>335000</v>
      </c>
      <c r="I1018" s="12" t="s">
        <v>712</v>
      </c>
      <c r="J1018" s="6" t="s">
        <v>608</v>
      </c>
      <c r="K1018" s="6">
        <f t="shared" si="49"/>
        <v>11</v>
      </c>
      <c r="L1018" s="6" t="str">
        <f t="shared" si="47"/>
        <v>NOVIEMBRE</v>
      </c>
    </row>
    <row r="1019" spans="1:12" x14ac:dyDescent="0.25">
      <c r="A1019" s="5">
        <f t="shared" si="48"/>
        <v>2025</v>
      </c>
      <c r="B1019" s="18" t="s">
        <v>1282</v>
      </c>
      <c r="C1019" s="18" t="s">
        <v>595</v>
      </c>
      <c r="D1019" s="12">
        <v>6364</v>
      </c>
      <c r="E1019" s="17">
        <v>126155</v>
      </c>
      <c r="F1019" s="12" t="s">
        <v>503</v>
      </c>
      <c r="G1019" s="14">
        <v>1</v>
      </c>
      <c r="H1019" s="24">
        <v>130752</v>
      </c>
      <c r="I1019" s="12" t="s">
        <v>712</v>
      </c>
      <c r="J1019" s="6" t="s">
        <v>608</v>
      </c>
      <c r="K1019" s="6">
        <f t="shared" si="49"/>
        <v>11</v>
      </c>
      <c r="L1019" s="6" t="str">
        <f t="shared" si="47"/>
        <v>NOVIEMBRE</v>
      </c>
    </row>
    <row r="1020" spans="1:12" x14ac:dyDescent="0.25">
      <c r="A1020" s="5">
        <f t="shared" si="48"/>
        <v>2025</v>
      </c>
      <c r="B1020" s="18" t="s">
        <v>1282</v>
      </c>
      <c r="C1020" s="18" t="s">
        <v>595</v>
      </c>
      <c r="D1020" s="12">
        <v>6364</v>
      </c>
      <c r="E1020" s="17">
        <v>78931</v>
      </c>
      <c r="F1020" s="12" t="s">
        <v>379</v>
      </c>
      <c r="G1020" s="14">
        <v>2</v>
      </c>
      <c r="H1020" s="24">
        <v>5000</v>
      </c>
      <c r="I1020" s="12" t="s">
        <v>712</v>
      </c>
      <c r="J1020" s="6" t="s">
        <v>608</v>
      </c>
      <c r="K1020" s="6">
        <f t="shared" si="49"/>
        <v>11</v>
      </c>
      <c r="L1020" s="6" t="str">
        <f t="shared" si="47"/>
        <v>NOVIEMBRE</v>
      </c>
    </row>
    <row r="1021" spans="1:12" x14ac:dyDescent="0.25">
      <c r="A1021" s="5">
        <f t="shared" si="48"/>
        <v>2025</v>
      </c>
      <c r="B1021" s="18" t="s">
        <v>1282</v>
      </c>
      <c r="C1021" s="18" t="s">
        <v>595</v>
      </c>
      <c r="D1021" s="12">
        <v>6364</v>
      </c>
      <c r="E1021" s="17" t="s">
        <v>86</v>
      </c>
      <c r="F1021" s="12" t="s">
        <v>87</v>
      </c>
      <c r="G1021" s="14">
        <v>1</v>
      </c>
      <c r="H1021" s="24">
        <v>163000</v>
      </c>
      <c r="I1021" s="12" t="s">
        <v>712</v>
      </c>
      <c r="J1021" s="6" t="s">
        <v>608</v>
      </c>
      <c r="K1021" s="6">
        <f t="shared" si="49"/>
        <v>11</v>
      </c>
      <c r="L1021" s="6" t="str">
        <f t="shared" si="47"/>
        <v>NOVIEMBRE</v>
      </c>
    </row>
    <row r="1022" spans="1:12" x14ac:dyDescent="0.25">
      <c r="A1022" s="5">
        <f t="shared" si="48"/>
        <v>2025</v>
      </c>
      <c r="B1022" s="18" t="s">
        <v>1282</v>
      </c>
      <c r="C1022" s="18" t="s">
        <v>595</v>
      </c>
      <c r="D1022" s="12">
        <v>6364</v>
      </c>
      <c r="E1022" s="17" t="s">
        <v>363</v>
      </c>
      <c r="F1022" s="12" t="s">
        <v>364</v>
      </c>
      <c r="G1022" s="14">
        <v>1</v>
      </c>
      <c r="H1022" s="24">
        <v>66000</v>
      </c>
      <c r="I1022" s="12" t="s">
        <v>712</v>
      </c>
      <c r="J1022" s="6" t="s">
        <v>608</v>
      </c>
      <c r="K1022" s="6">
        <f t="shared" si="49"/>
        <v>11</v>
      </c>
      <c r="L1022" s="6" t="str">
        <f t="shared" si="47"/>
        <v>NOVIEMBRE</v>
      </c>
    </row>
    <row r="1023" spans="1:12" x14ac:dyDescent="0.25">
      <c r="A1023" s="5">
        <f t="shared" si="48"/>
        <v>2025</v>
      </c>
      <c r="B1023" s="18" t="s">
        <v>1282</v>
      </c>
      <c r="C1023" s="18" t="s">
        <v>595</v>
      </c>
      <c r="D1023" s="12">
        <v>6364</v>
      </c>
      <c r="E1023" s="17">
        <v>328345</v>
      </c>
      <c r="F1023" s="12" t="s">
        <v>520</v>
      </c>
      <c r="G1023" s="14">
        <v>1</v>
      </c>
      <c r="H1023" s="24">
        <v>870000</v>
      </c>
      <c r="I1023" s="12" t="s">
        <v>712</v>
      </c>
      <c r="J1023" s="6" t="s">
        <v>608</v>
      </c>
      <c r="K1023" s="6">
        <f t="shared" si="49"/>
        <v>11</v>
      </c>
      <c r="L1023" s="6" t="str">
        <f t="shared" si="47"/>
        <v>NOVIEMBRE</v>
      </c>
    </row>
    <row r="1024" spans="1:12" x14ac:dyDescent="0.25">
      <c r="A1024" s="5">
        <f t="shared" si="48"/>
        <v>2025</v>
      </c>
      <c r="B1024" s="18" t="s">
        <v>1061</v>
      </c>
      <c r="C1024" s="18" t="s">
        <v>595</v>
      </c>
      <c r="D1024" s="12">
        <v>6123</v>
      </c>
      <c r="E1024" s="17" t="s">
        <v>114</v>
      </c>
      <c r="F1024" s="12" t="s">
        <v>115</v>
      </c>
      <c r="G1024" s="14">
        <v>1</v>
      </c>
      <c r="H1024" s="24">
        <v>148635</v>
      </c>
      <c r="I1024" s="12" t="s">
        <v>712</v>
      </c>
      <c r="J1024" s="6" t="s">
        <v>608</v>
      </c>
      <c r="K1024" s="6">
        <f t="shared" si="49"/>
        <v>6</v>
      </c>
      <c r="L1024" s="6" t="str">
        <f t="shared" si="47"/>
        <v>JUNIO</v>
      </c>
    </row>
    <row r="1025" spans="1:12" x14ac:dyDescent="0.25">
      <c r="A1025" s="5">
        <f t="shared" si="48"/>
        <v>2025</v>
      </c>
      <c r="B1025" s="18" t="s">
        <v>1061</v>
      </c>
      <c r="C1025" s="18" t="s">
        <v>595</v>
      </c>
      <c r="D1025" s="12">
        <v>6123</v>
      </c>
      <c r="E1025" s="17">
        <v>4301254</v>
      </c>
      <c r="F1025" s="12" t="s">
        <v>403</v>
      </c>
      <c r="G1025" s="14">
        <v>1</v>
      </c>
      <c r="H1025" s="24">
        <v>3300</v>
      </c>
      <c r="I1025" s="12" t="s">
        <v>712</v>
      </c>
      <c r="J1025" s="6" t="s">
        <v>608</v>
      </c>
      <c r="K1025" s="6">
        <f t="shared" si="49"/>
        <v>6</v>
      </c>
      <c r="L1025" s="6" t="str">
        <f t="shared" si="47"/>
        <v>JUNIO</v>
      </c>
    </row>
    <row r="1026" spans="1:12" x14ac:dyDescent="0.25">
      <c r="A1026" s="5">
        <f t="shared" si="48"/>
        <v>2025</v>
      </c>
      <c r="B1026" s="18" t="s">
        <v>1061</v>
      </c>
      <c r="C1026" s="18" t="s">
        <v>595</v>
      </c>
      <c r="D1026" s="12">
        <v>6123</v>
      </c>
      <c r="E1026" s="17">
        <v>4303424</v>
      </c>
      <c r="F1026" s="12" t="s">
        <v>135</v>
      </c>
      <c r="G1026" s="14">
        <v>1</v>
      </c>
      <c r="H1026" s="24">
        <v>19000</v>
      </c>
      <c r="I1026" s="12" t="s">
        <v>712</v>
      </c>
      <c r="J1026" s="6" t="s">
        <v>608</v>
      </c>
      <c r="K1026" s="6">
        <f t="shared" si="49"/>
        <v>6</v>
      </c>
      <c r="L1026" s="6" t="str">
        <f t="shared" si="47"/>
        <v>JUNIO</v>
      </c>
    </row>
    <row r="1027" spans="1:12" x14ac:dyDescent="0.25">
      <c r="A1027" s="5">
        <f t="shared" si="48"/>
        <v>2025</v>
      </c>
      <c r="B1027" s="18" t="s">
        <v>1261</v>
      </c>
      <c r="C1027" s="18" t="s">
        <v>595</v>
      </c>
      <c r="D1027" s="12">
        <v>6350</v>
      </c>
      <c r="E1027" s="17" t="s">
        <v>932</v>
      </c>
      <c r="F1027" s="12" t="s">
        <v>933</v>
      </c>
      <c r="G1027" s="14">
        <v>5</v>
      </c>
      <c r="H1027" s="24">
        <v>465000</v>
      </c>
      <c r="I1027" s="12" t="s">
        <v>546</v>
      </c>
      <c r="J1027" s="6" t="s">
        <v>610</v>
      </c>
      <c r="K1027" s="6">
        <f t="shared" si="49"/>
        <v>11</v>
      </c>
      <c r="L1027" s="6" t="str">
        <f t="shared" ref="L1027:L1090" si="50">VLOOKUP(K1027,N:O,2,0)</f>
        <v>NOVIEMBRE</v>
      </c>
    </row>
    <row r="1028" spans="1:12" x14ac:dyDescent="0.25">
      <c r="A1028" s="5">
        <f t="shared" si="48"/>
        <v>2025</v>
      </c>
      <c r="B1028" s="18" t="s">
        <v>1261</v>
      </c>
      <c r="C1028" s="18" t="s">
        <v>595</v>
      </c>
      <c r="D1028" s="12">
        <v>6350</v>
      </c>
      <c r="E1028" s="17" t="s">
        <v>299</v>
      </c>
      <c r="F1028" s="12" t="s">
        <v>300</v>
      </c>
      <c r="G1028" s="14">
        <v>7</v>
      </c>
      <c r="H1028" s="24">
        <v>429611</v>
      </c>
      <c r="I1028" s="12" t="s">
        <v>546</v>
      </c>
      <c r="J1028" s="6" t="s">
        <v>610</v>
      </c>
      <c r="K1028" s="6">
        <f t="shared" si="49"/>
        <v>11</v>
      </c>
      <c r="L1028" s="6" t="str">
        <f t="shared" si="50"/>
        <v>NOVIEMBRE</v>
      </c>
    </row>
    <row r="1029" spans="1:12" x14ac:dyDescent="0.25">
      <c r="A1029" s="5">
        <f t="shared" si="48"/>
        <v>2025</v>
      </c>
      <c r="B1029" s="18" t="s">
        <v>1261</v>
      </c>
      <c r="C1029" s="18" t="s">
        <v>595</v>
      </c>
      <c r="D1029" s="12">
        <v>6350</v>
      </c>
      <c r="E1029" s="17" t="s">
        <v>245</v>
      </c>
      <c r="F1029" s="12" t="s">
        <v>246</v>
      </c>
      <c r="G1029" s="14">
        <v>50</v>
      </c>
      <c r="H1029" s="24">
        <v>249900</v>
      </c>
      <c r="I1029" s="12" t="s">
        <v>546</v>
      </c>
      <c r="J1029" s="6" t="s">
        <v>610</v>
      </c>
      <c r="K1029" s="6">
        <f t="shared" si="49"/>
        <v>11</v>
      </c>
      <c r="L1029" s="6" t="str">
        <f t="shared" si="50"/>
        <v>NOVIEMBRE</v>
      </c>
    </row>
    <row r="1030" spans="1:12" x14ac:dyDescent="0.25">
      <c r="A1030" s="5">
        <f t="shared" si="48"/>
        <v>2025</v>
      </c>
      <c r="B1030" s="18" t="s">
        <v>1261</v>
      </c>
      <c r="C1030" s="18" t="s">
        <v>595</v>
      </c>
      <c r="D1030" s="12">
        <v>6350</v>
      </c>
      <c r="E1030" s="17" t="s">
        <v>930</v>
      </c>
      <c r="F1030" s="12" t="s">
        <v>931</v>
      </c>
      <c r="G1030" s="14">
        <v>11</v>
      </c>
      <c r="H1030" s="24">
        <v>715000</v>
      </c>
      <c r="I1030" s="12" t="s">
        <v>546</v>
      </c>
      <c r="J1030" s="6" t="s">
        <v>610</v>
      </c>
      <c r="K1030" s="6">
        <f t="shared" si="49"/>
        <v>11</v>
      </c>
      <c r="L1030" s="6" t="str">
        <f t="shared" si="50"/>
        <v>NOVIEMBRE</v>
      </c>
    </row>
    <row r="1031" spans="1:12" x14ac:dyDescent="0.25">
      <c r="A1031" s="5">
        <f t="shared" si="48"/>
        <v>2025</v>
      </c>
      <c r="B1031" s="18" t="s">
        <v>1261</v>
      </c>
      <c r="C1031" s="18" t="s">
        <v>595</v>
      </c>
      <c r="D1031" s="12">
        <v>6350</v>
      </c>
      <c r="E1031" s="17" t="s">
        <v>447</v>
      </c>
      <c r="F1031" s="12" t="s">
        <v>448</v>
      </c>
      <c r="G1031" s="14">
        <v>3</v>
      </c>
      <c r="H1031" s="24">
        <v>1170000</v>
      </c>
      <c r="I1031" s="12" t="s">
        <v>546</v>
      </c>
      <c r="J1031" s="6" t="s">
        <v>610</v>
      </c>
      <c r="K1031" s="6">
        <f t="shared" si="49"/>
        <v>11</v>
      </c>
      <c r="L1031" s="6" t="str">
        <f t="shared" si="50"/>
        <v>NOVIEMBRE</v>
      </c>
    </row>
    <row r="1032" spans="1:12" x14ac:dyDescent="0.25">
      <c r="A1032" s="5">
        <f t="shared" si="48"/>
        <v>2025</v>
      </c>
      <c r="B1032" s="18" t="s">
        <v>1261</v>
      </c>
      <c r="C1032" s="18" t="s">
        <v>595</v>
      </c>
      <c r="D1032" s="12">
        <v>6350</v>
      </c>
      <c r="E1032" s="17" t="s">
        <v>1157</v>
      </c>
      <c r="F1032" s="12" t="s">
        <v>1163</v>
      </c>
      <c r="G1032" s="14">
        <v>3</v>
      </c>
      <c r="H1032" s="24">
        <v>180000</v>
      </c>
      <c r="I1032" s="12" t="s">
        <v>546</v>
      </c>
      <c r="J1032" s="6" t="s">
        <v>610</v>
      </c>
      <c r="K1032" s="6">
        <f t="shared" si="49"/>
        <v>11</v>
      </c>
      <c r="L1032" s="6" t="str">
        <f t="shared" si="50"/>
        <v>NOVIEMBRE</v>
      </c>
    </row>
    <row r="1033" spans="1:12" x14ac:dyDescent="0.25">
      <c r="A1033" s="5">
        <f t="shared" si="48"/>
        <v>2025</v>
      </c>
      <c r="B1033" s="18" t="s">
        <v>1261</v>
      </c>
      <c r="C1033" s="18" t="s">
        <v>595</v>
      </c>
      <c r="D1033" s="12">
        <v>6350</v>
      </c>
      <c r="E1033" s="17">
        <v>5005037</v>
      </c>
      <c r="F1033" s="12" t="s">
        <v>1009</v>
      </c>
      <c r="G1033" s="14">
        <v>1</v>
      </c>
      <c r="H1033" s="24">
        <v>174432</v>
      </c>
      <c r="I1033" s="12" t="s">
        <v>546</v>
      </c>
      <c r="J1033" s="6" t="s">
        <v>610</v>
      </c>
      <c r="K1033" s="6">
        <f t="shared" si="49"/>
        <v>11</v>
      </c>
      <c r="L1033" s="6" t="str">
        <f t="shared" si="50"/>
        <v>NOVIEMBRE</v>
      </c>
    </row>
    <row r="1034" spans="1:12" x14ac:dyDescent="0.25">
      <c r="A1034" s="5">
        <f t="shared" si="48"/>
        <v>2025</v>
      </c>
      <c r="B1034" s="18" t="s">
        <v>1261</v>
      </c>
      <c r="C1034" s="18" t="s">
        <v>595</v>
      </c>
      <c r="D1034" s="12">
        <v>6350</v>
      </c>
      <c r="E1034" s="17">
        <v>4305294</v>
      </c>
      <c r="F1034" s="12" t="s">
        <v>1056</v>
      </c>
      <c r="G1034" s="14">
        <v>1</v>
      </c>
      <c r="H1034" s="24">
        <v>22000</v>
      </c>
      <c r="I1034" s="12" t="s">
        <v>546</v>
      </c>
      <c r="J1034" s="6" t="s">
        <v>610</v>
      </c>
      <c r="K1034" s="6">
        <f t="shared" si="49"/>
        <v>11</v>
      </c>
      <c r="L1034" s="6" t="str">
        <f t="shared" si="50"/>
        <v>NOVIEMBRE</v>
      </c>
    </row>
    <row r="1035" spans="1:12" x14ac:dyDescent="0.25">
      <c r="A1035" s="5">
        <f t="shared" si="48"/>
        <v>2025</v>
      </c>
      <c r="B1035" s="18" t="s">
        <v>1261</v>
      </c>
      <c r="C1035" s="18" t="s">
        <v>595</v>
      </c>
      <c r="D1035" s="12">
        <v>6350</v>
      </c>
      <c r="E1035" s="17" t="s">
        <v>457</v>
      </c>
      <c r="F1035" s="12" t="s">
        <v>458</v>
      </c>
      <c r="G1035" s="14">
        <v>1</v>
      </c>
      <c r="H1035" s="24">
        <v>1120000</v>
      </c>
      <c r="I1035" s="12" t="s">
        <v>546</v>
      </c>
      <c r="J1035" s="6" t="s">
        <v>610</v>
      </c>
      <c r="K1035" s="6">
        <f t="shared" si="49"/>
        <v>11</v>
      </c>
      <c r="L1035" s="6" t="str">
        <f t="shared" si="50"/>
        <v>NOVIEMBRE</v>
      </c>
    </row>
    <row r="1036" spans="1:12" x14ac:dyDescent="0.25">
      <c r="A1036" s="5">
        <f t="shared" si="48"/>
        <v>2025</v>
      </c>
      <c r="B1036" s="18" t="s">
        <v>1261</v>
      </c>
      <c r="C1036" s="18" t="s">
        <v>595</v>
      </c>
      <c r="D1036" s="12">
        <v>6350</v>
      </c>
      <c r="E1036" s="17" t="s">
        <v>589</v>
      </c>
      <c r="F1036" s="12" t="s">
        <v>590</v>
      </c>
      <c r="G1036" s="14">
        <v>2</v>
      </c>
      <c r="H1036" s="24">
        <v>430000</v>
      </c>
      <c r="I1036" s="12" t="s">
        <v>546</v>
      </c>
      <c r="J1036" s="6" t="s">
        <v>610</v>
      </c>
      <c r="K1036" s="6">
        <f t="shared" si="49"/>
        <v>11</v>
      </c>
      <c r="L1036" s="6" t="str">
        <f t="shared" si="50"/>
        <v>NOVIEMBRE</v>
      </c>
    </row>
    <row r="1037" spans="1:12" x14ac:dyDescent="0.25">
      <c r="A1037" s="5">
        <f t="shared" si="48"/>
        <v>2025</v>
      </c>
      <c r="B1037" s="18" t="s">
        <v>1261</v>
      </c>
      <c r="C1037" s="18" t="s">
        <v>595</v>
      </c>
      <c r="D1037" s="12">
        <v>6350</v>
      </c>
      <c r="E1037" s="17" t="s">
        <v>605</v>
      </c>
      <c r="F1037" s="12" t="s">
        <v>607</v>
      </c>
      <c r="G1037" s="14">
        <v>53</v>
      </c>
      <c r="H1037" s="24">
        <v>1957661</v>
      </c>
      <c r="I1037" s="12" t="s">
        <v>546</v>
      </c>
      <c r="J1037" s="6" t="s">
        <v>610</v>
      </c>
      <c r="K1037" s="6">
        <f t="shared" si="49"/>
        <v>11</v>
      </c>
      <c r="L1037" s="6" t="str">
        <f t="shared" si="50"/>
        <v>NOVIEMBRE</v>
      </c>
    </row>
    <row r="1038" spans="1:12" x14ac:dyDescent="0.25">
      <c r="A1038" s="5">
        <f t="shared" si="48"/>
        <v>2025</v>
      </c>
      <c r="B1038" s="18" t="s">
        <v>1261</v>
      </c>
      <c r="C1038" s="18" t="s">
        <v>595</v>
      </c>
      <c r="D1038" s="12">
        <v>6350</v>
      </c>
      <c r="E1038" s="17" t="s">
        <v>679</v>
      </c>
      <c r="F1038" s="12" t="s">
        <v>696</v>
      </c>
      <c r="G1038" s="14">
        <v>2</v>
      </c>
      <c r="H1038" s="24">
        <v>101974</v>
      </c>
      <c r="I1038" s="12" t="s">
        <v>546</v>
      </c>
      <c r="J1038" s="6" t="s">
        <v>610</v>
      </c>
      <c r="K1038" s="6">
        <f t="shared" si="49"/>
        <v>11</v>
      </c>
      <c r="L1038" s="6" t="str">
        <f t="shared" si="50"/>
        <v>NOVIEMBRE</v>
      </c>
    </row>
    <row r="1039" spans="1:12" x14ac:dyDescent="0.25">
      <c r="A1039" s="5">
        <f t="shared" si="48"/>
        <v>2025</v>
      </c>
      <c r="B1039" s="18" t="s">
        <v>1261</v>
      </c>
      <c r="C1039" s="18" t="s">
        <v>595</v>
      </c>
      <c r="D1039" s="12">
        <v>6350</v>
      </c>
      <c r="E1039" s="17" t="s">
        <v>1266</v>
      </c>
      <c r="F1039" s="12" t="s">
        <v>1267</v>
      </c>
      <c r="G1039" s="14">
        <v>2</v>
      </c>
      <c r="H1039" s="24">
        <v>30772</v>
      </c>
      <c r="I1039" s="12" t="s">
        <v>546</v>
      </c>
      <c r="J1039" s="6" t="s">
        <v>610</v>
      </c>
      <c r="K1039" s="6">
        <f t="shared" si="49"/>
        <v>11</v>
      </c>
      <c r="L1039" s="6" t="str">
        <f t="shared" si="50"/>
        <v>NOVIEMBRE</v>
      </c>
    </row>
    <row r="1040" spans="1:12" x14ac:dyDescent="0.25">
      <c r="A1040" s="5">
        <f t="shared" si="48"/>
        <v>2025</v>
      </c>
      <c r="B1040" s="18" t="s">
        <v>1261</v>
      </c>
      <c r="C1040" s="18" t="s">
        <v>595</v>
      </c>
      <c r="D1040" s="12">
        <v>6350</v>
      </c>
      <c r="E1040" s="17" t="s">
        <v>1074</v>
      </c>
      <c r="F1040" s="12" t="s">
        <v>1075</v>
      </c>
      <c r="G1040" s="14">
        <v>1</v>
      </c>
      <c r="H1040" s="24">
        <v>280000</v>
      </c>
      <c r="I1040" s="12" t="s">
        <v>546</v>
      </c>
      <c r="J1040" s="6" t="s">
        <v>610</v>
      </c>
      <c r="K1040" s="6">
        <f t="shared" si="49"/>
        <v>11</v>
      </c>
      <c r="L1040" s="6" t="str">
        <f t="shared" si="50"/>
        <v>NOVIEMBRE</v>
      </c>
    </row>
    <row r="1041" spans="1:12" x14ac:dyDescent="0.25">
      <c r="A1041" s="5">
        <f t="shared" si="48"/>
        <v>2025</v>
      </c>
      <c r="B1041" s="18" t="s">
        <v>1261</v>
      </c>
      <c r="C1041" s="18" t="s">
        <v>595</v>
      </c>
      <c r="D1041" s="12">
        <v>6350</v>
      </c>
      <c r="E1041" s="17">
        <v>4026884</v>
      </c>
      <c r="F1041" s="12" t="s">
        <v>1198</v>
      </c>
      <c r="G1041" s="14">
        <v>4</v>
      </c>
      <c r="H1041" s="24">
        <v>254000</v>
      </c>
      <c r="I1041" s="12" t="s">
        <v>546</v>
      </c>
      <c r="J1041" s="6" t="s">
        <v>610</v>
      </c>
      <c r="K1041" s="6">
        <f t="shared" si="49"/>
        <v>11</v>
      </c>
      <c r="L1041" s="6" t="str">
        <f t="shared" si="50"/>
        <v>NOVIEMBRE</v>
      </c>
    </row>
    <row r="1042" spans="1:12" x14ac:dyDescent="0.25">
      <c r="A1042" s="5">
        <f t="shared" si="48"/>
        <v>2025</v>
      </c>
      <c r="B1042" s="18" t="s">
        <v>1261</v>
      </c>
      <c r="C1042" s="18" t="s">
        <v>595</v>
      </c>
      <c r="D1042" s="12">
        <v>6350</v>
      </c>
      <c r="E1042" s="17" t="s">
        <v>92</v>
      </c>
      <c r="F1042" s="12" t="s">
        <v>93</v>
      </c>
      <c r="G1042" s="14">
        <v>2</v>
      </c>
      <c r="H1042" s="24">
        <v>72520</v>
      </c>
      <c r="I1042" s="12" t="s">
        <v>546</v>
      </c>
      <c r="J1042" s="6" t="s">
        <v>610</v>
      </c>
      <c r="K1042" s="6">
        <f t="shared" si="49"/>
        <v>11</v>
      </c>
      <c r="L1042" s="6" t="str">
        <f t="shared" si="50"/>
        <v>NOVIEMBRE</v>
      </c>
    </row>
    <row r="1043" spans="1:12" x14ac:dyDescent="0.25">
      <c r="A1043" s="5">
        <f t="shared" si="48"/>
        <v>2025</v>
      </c>
      <c r="B1043" s="18" t="s">
        <v>1261</v>
      </c>
      <c r="C1043" s="18" t="s">
        <v>595</v>
      </c>
      <c r="D1043" s="12">
        <v>6350</v>
      </c>
      <c r="E1043" s="17" t="s">
        <v>434</v>
      </c>
      <c r="F1043" s="12" t="s">
        <v>435</v>
      </c>
      <c r="G1043" s="14">
        <v>2</v>
      </c>
      <c r="H1043" s="24">
        <v>290000</v>
      </c>
      <c r="I1043" s="12" t="s">
        <v>546</v>
      </c>
      <c r="J1043" s="6" t="s">
        <v>610</v>
      </c>
      <c r="K1043" s="6">
        <f t="shared" si="49"/>
        <v>11</v>
      </c>
      <c r="L1043" s="6" t="str">
        <f t="shared" si="50"/>
        <v>NOVIEMBRE</v>
      </c>
    </row>
    <row r="1044" spans="1:12" x14ac:dyDescent="0.25">
      <c r="A1044" s="5">
        <f t="shared" si="48"/>
        <v>2025</v>
      </c>
      <c r="B1044" s="18" t="s">
        <v>1261</v>
      </c>
      <c r="C1044" s="18" t="s">
        <v>595</v>
      </c>
      <c r="D1044" s="12">
        <v>6350</v>
      </c>
      <c r="E1044" s="17" t="s">
        <v>272</v>
      </c>
      <c r="F1044" s="12" t="s">
        <v>273</v>
      </c>
      <c r="G1044" s="14">
        <v>3</v>
      </c>
      <c r="H1044" s="24">
        <v>855000</v>
      </c>
      <c r="I1044" s="12" t="s">
        <v>546</v>
      </c>
      <c r="J1044" s="6" t="s">
        <v>610</v>
      </c>
      <c r="K1044" s="6">
        <f t="shared" si="49"/>
        <v>11</v>
      </c>
      <c r="L1044" s="6" t="str">
        <f t="shared" si="50"/>
        <v>NOVIEMBRE</v>
      </c>
    </row>
    <row r="1045" spans="1:12" x14ac:dyDescent="0.25">
      <c r="A1045" s="5">
        <f t="shared" si="48"/>
        <v>2025</v>
      </c>
      <c r="B1045" s="18" t="s">
        <v>1261</v>
      </c>
      <c r="C1045" s="18" t="s">
        <v>595</v>
      </c>
      <c r="D1045" s="12">
        <v>6350</v>
      </c>
      <c r="E1045" s="17">
        <v>4088327</v>
      </c>
      <c r="F1045" s="12" t="s">
        <v>1264</v>
      </c>
      <c r="G1045" s="14">
        <v>3</v>
      </c>
      <c r="H1045" s="24">
        <v>6360984</v>
      </c>
      <c r="I1045" s="12" t="s">
        <v>546</v>
      </c>
      <c r="J1045" s="6" t="s">
        <v>610</v>
      </c>
      <c r="K1045" s="6">
        <f t="shared" si="49"/>
        <v>11</v>
      </c>
      <c r="L1045" s="6" t="str">
        <f t="shared" si="50"/>
        <v>NOVIEMBRE</v>
      </c>
    </row>
    <row r="1046" spans="1:12" x14ac:dyDescent="0.25">
      <c r="A1046" s="5">
        <f t="shared" si="48"/>
        <v>2025</v>
      </c>
      <c r="B1046" s="18" t="s">
        <v>1261</v>
      </c>
      <c r="C1046" s="18" t="s">
        <v>595</v>
      </c>
      <c r="D1046" s="12">
        <v>6350</v>
      </c>
      <c r="E1046" s="17" t="s">
        <v>352</v>
      </c>
      <c r="F1046" s="12" t="s">
        <v>353</v>
      </c>
      <c r="G1046" s="14">
        <v>2</v>
      </c>
      <c r="H1046" s="24">
        <v>126000</v>
      </c>
      <c r="I1046" s="12" t="s">
        <v>546</v>
      </c>
      <c r="J1046" s="6" t="s">
        <v>610</v>
      </c>
      <c r="K1046" s="6">
        <f t="shared" si="49"/>
        <v>11</v>
      </c>
      <c r="L1046" s="6" t="str">
        <f t="shared" si="50"/>
        <v>NOVIEMBRE</v>
      </c>
    </row>
    <row r="1047" spans="1:12" x14ac:dyDescent="0.25">
      <c r="A1047" s="5">
        <f t="shared" si="48"/>
        <v>2025</v>
      </c>
      <c r="B1047" s="18" t="s">
        <v>1261</v>
      </c>
      <c r="C1047" s="18" t="s">
        <v>595</v>
      </c>
      <c r="D1047" s="12">
        <v>6350</v>
      </c>
      <c r="E1047" s="17" t="s">
        <v>251</v>
      </c>
      <c r="F1047" s="12" t="s">
        <v>252</v>
      </c>
      <c r="G1047" s="14">
        <v>2</v>
      </c>
      <c r="H1047" s="24">
        <v>110000</v>
      </c>
      <c r="I1047" s="12" t="s">
        <v>546</v>
      </c>
      <c r="J1047" s="6" t="s">
        <v>610</v>
      </c>
      <c r="K1047" s="6">
        <f t="shared" si="49"/>
        <v>11</v>
      </c>
      <c r="L1047" s="6" t="str">
        <f t="shared" si="50"/>
        <v>NOVIEMBRE</v>
      </c>
    </row>
    <row r="1048" spans="1:12" x14ac:dyDescent="0.25">
      <c r="A1048" s="5">
        <f t="shared" si="48"/>
        <v>2025</v>
      </c>
      <c r="B1048" s="18" t="s">
        <v>1261</v>
      </c>
      <c r="C1048" s="18" t="s">
        <v>595</v>
      </c>
      <c r="D1048" s="12">
        <v>6350</v>
      </c>
      <c r="E1048" s="17" t="s">
        <v>266</v>
      </c>
      <c r="F1048" s="12" t="s">
        <v>267</v>
      </c>
      <c r="G1048" s="14">
        <v>2</v>
      </c>
      <c r="H1048" s="24">
        <v>570000</v>
      </c>
      <c r="I1048" s="12" t="s">
        <v>546</v>
      </c>
      <c r="J1048" s="6" t="s">
        <v>610</v>
      </c>
      <c r="K1048" s="6">
        <f t="shared" si="49"/>
        <v>11</v>
      </c>
      <c r="L1048" s="6" t="str">
        <f t="shared" si="50"/>
        <v>NOVIEMBRE</v>
      </c>
    </row>
    <row r="1049" spans="1:12" x14ac:dyDescent="0.25">
      <c r="A1049" s="5">
        <f t="shared" si="48"/>
        <v>2025</v>
      </c>
      <c r="B1049" s="18" t="s">
        <v>1261</v>
      </c>
      <c r="C1049" s="18" t="s">
        <v>595</v>
      </c>
      <c r="D1049" s="12">
        <v>6350</v>
      </c>
      <c r="E1049" s="17">
        <v>4952631</v>
      </c>
      <c r="F1049" s="12" t="s">
        <v>1183</v>
      </c>
      <c r="G1049" s="14">
        <v>1</v>
      </c>
      <c r="H1049" s="24">
        <v>191702</v>
      </c>
      <c r="I1049" s="12" t="s">
        <v>546</v>
      </c>
      <c r="J1049" s="6" t="s">
        <v>610</v>
      </c>
      <c r="K1049" s="6">
        <f t="shared" si="49"/>
        <v>11</v>
      </c>
      <c r="L1049" s="6" t="str">
        <f t="shared" si="50"/>
        <v>NOVIEMBRE</v>
      </c>
    </row>
    <row r="1050" spans="1:12" x14ac:dyDescent="0.25">
      <c r="A1050" s="5">
        <f t="shared" si="48"/>
        <v>2025</v>
      </c>
      <c r="B1050" s="18" t="s">
        <v>1306</v>
      </c>
      <c r="C1050" s="18" t="s">
        <v>595</v>
      </c>
      <c r="D1050" s="12">
        <v>6399</v>
      </c>
      <c r="E1050" s="17" t="s">
        <v>1294</v>
      </c>
      <c r="F1050" s="12" t="s">
        <v>1295</v>
      </c>
      <c r="G1050" s="14">
        <v>1</v>
      </c>
      <c r="H1050" s="24">
        <v>220424</v>
      </c>
      <c r="I1050" s="12" t="s">
        <v>704</v>
      </c>
      <c r="J1050" s="6" t="s">
        <v>706</v>
      </c>
      <c r="K1050" s="6">
        <f t="shared" si="49"/>
        <v>12</v>
      </c>
      <c r="L1050" s="6" t="str">
        <f t="shared" si="50"/>
        <v>DICIEMBRE</v>
      </c>
    </row>
    <row r="1051" spans="1:12" x14ac:dyDescent="0.25">
      <c r="A1051" s="5">
        <f t="shared" si="48"/>
        <v>2025</v>
      </c>
      <c r="B1051" s="18" t="s">
        <v>1306</v>
      </c>
      <c r="C1051" s="18" t="s">
        <v>595</v>
      </c>
      <c r="D1051" s="12">
        <v>6399</v>
      </c>
      <c r="E1051" s="17" t="s">
        <v>1072</v>
      </c>
      <c r="F1051" s="12" t="s">
        <v>1073</v>
      </c>
      <c r="G1051" s="14">
        <v>5</v>
      </c>
      <c r="H1051" s="24">
        <v>326930</v>
      </c>
      <c r="I1051" s="12" t="s">
        <v>704</v>
      </c>
      <c r="J1051" s="6" t="s">
        <v>706</v>
      </c>
      <c r="K1051" s="6">
        <f t="shared" si="49"/>
        <v>12</v>
      </c>
      <c r="L1051" s="6" t="str">
        <f t="shared" si="50"/>
        <v>DICIEMBRE</v>
      </c>
    </row>
    <row r="1052" spans="1:12" x14ac:dyDescent="0.25">
      <c r="A1052" s="5">
        <f t="shared" si="48"/>
        <v>2025</v>
      </c>
      <c r="B1052" s="18" t="s">
        <v>1306</v>
      </c>
      <c r="C1052" s="18" t="s">
        <v>595</v>
      </c>
      <c r="D1052" s="12">
        <v>6400</v>
      </c>
      <c r="E1052" s="17" t="s">
        <v>196</v>
      </c>
      <c r="F1052" s="12" t="s">
        <v>197</v>
      </c>
      <c r="G1052" s="14">
        <v>1</v>
      </c>
      <c r="H1052" s="24">
        <v>2500000</v>
      </c>
      <c r="I1052" s="12" t="s">
        <v>704</v>
      </c>
      <c r="J1052" s="6" t="s">
        <v>706</v>
      </c>
      <c r="K1052" s="6">
        <f t="shared" si="49"/>
        <v>12</v>
      </c>
      <c r="L1052" s="6" t="str">
        <f t="shared" si="50"/>
        <v>DICIEMBRE</v>
      </c>
    </row>
    <row r="1053" spans="1:12" x14ac:dyDescent="0.25">
      <c r="A1053" s="5">
        <f t="shared" si="48"/>
        <v>2025</v>
      </c>
      <c r="B1053" s="18" t="s">
        <v>1306</v>
      </c>
      <c r="C1053" s="18" t="s">
        <v>595</v>
      </c>
      <c r="D1053" s="12">
        <v>6400</v>
      </c>
      <c r="E1053" s="17" t="s">
        <v>673</v>
      </c>
      <c r="F1053" s="12" t="s">
        <v>688</v>
      </c>
      <c r="G1053" s="14">
        <v>1</v>
      </c>
      <c r="H1053" s="24">
        <v>258108</v>
      </c>
      <c r="I1053" s="12" t="s">
        <v>704</v>
      </c>
      <c r="J1053" s="6" t="s">
        <v>706</v>
      </c>
      <c r="K1053" s="6">
        <f t="shared" si="49"/>
        <v>12</v>
      </c>
      <c r="L1053" s="6" t="str">
        <f t="shared" si="50"/>
        <v>DICIEMBRE</v>
      </c>
    </row>
    <row r="1054" spans="1:12" x14ac:dyDescent="0.25">
      <c r="A1054" s="5">
        <f t="shared" si="48"/>
        <v>2025</v>
      </c>
      <c r="B1054" s="18" t="s">
        <v>1306</v>
      </c>
      <c r="C1054" s="18" t="s">
        <v>595</v>
      </c>
      <c r="D1054" s="12">
        <v>6400</v>
      </c>
      <c r="E1054" s="17" t="s">
        <v>367</v>
      </c>
      <c r="F1054" s="12" t="s">
        <v>368</v>
      </c>
      <c r="G1054" s="14">
        <v>4</v>
      </c>
      <c r="H1054" s="24">
        <v>1052060</v>
      </c>
      <c r="I1054" s="12" t="s">
        <v>704</v>
      </c>
      <c r="J1054" s="6" t="s">
        <v>706</v>
      </c>
      <c r="K1054" s="6">
        <f t="shared" si="49"/>
        <v>12</v>
      </c>
      <c r="L1054" s="6" t="str">
        <f t="shared" si="50"/>
        <v>DICIEMBRE</v>
      </c>
    </row>
    <row r="1055" spans="1:12" x14ac:dyDescent="0.25">
      <c r="A1055" s="5">
        <f t="shared" si="48"/>
        <v>2025</v>
      </c>
      <c r="B1055" s="18" t="s">
        <v>1306</v>
      </c>
      <c r="C1055" s="18" t="s">
        <v>595</v>
      </c>
      <c r="D1055" s="12">
        <v>6400</v>
      </c>
      <c r="E1055" s="17" t="s">
        <v>1296</v>
      </c>
      <c r="F1055" s="12" t="s">
        <v>1297</v>
      </c>
      <c r="G1055" s="14">
        <v>5</v>
      </c>
      <c r="H1055" s="24">
        <v>802555</v>
      </c>
      <c r="I1055" s="12" t="s">
        <v>704</v>
      </c>
      <c r="J1055" s="6" t="s">
        <v>706</v>
      </c>
      <c r="K1055" s="6">
        <f t="shared" si="49"/>
        <v>12</v>
      </c>
      <c r="L1055" s="6" t="str">
        <f t="shared" si="50"/>
        <v>DICIEMBRE</v>
      </c>
    </row>
    <row r="1056" spans="1:12" x14ac:dyDescent="0.25">
      <c r="A1056" s="5">
        <f t="shared" si="48"/>
        <v>2025</v>
      </c>
      <c r="B1056" s="18" t="s">
        <v>1306</v>
      </c>
      <c r="C1056" s="18" t="s">
        <v>595</v>
      </c>
      <c r="D1056" s="12">
        <v>6400</v>
      </c>
      <c r="E1056" s="17" t="s">
        <v>167</v>
      </c>
      <c r="F1056" s="12" t="s">
        <v>168</v>
      </c>
      <c r="G1056" s="14">
        <v>3</v>
      </c>
      <c r="H1056" s="24">
        <v>1943349</v>
      </c>
      <c r="I1056" s="12" t="s">
        <v>704</v>
      </c>
      <c r="J1056" s="6" t="s">
        <v>706</v>
      </c>
      <c r="K1056" s="6">
        <f t="shared" si="49"/>
        <v>12</v>
      </c>
      <c r="L1056" s="6" t="str">
        <f t="shared" si="50"/>
        <v>DICIEMBRE</v>
      </c>
    </row>
    <row r="1057" spans="1:12" x14ac:dyDescent="0.25">
      <c r="A1057" s="5">
        <f t="shared" si="48"/>
        <v>2025</v>
      </c>
      <c r="B1057" s="18" t="s">
        <v>1306</v>
      </c>
      <c r="C1057" s="18" t="s">
        <v>595</v>
      </c>
      <c r="D1057" s="12">
        <v>6400</v>
      </c>
      <c r="E1057" s="17" t="s">
        <v>342</v>
      </c>
      <c r="F1057" s="12" t="s">
        <v>343</v>
      </c>
      <c r="G1057" s="14">
        <v>1</v>
      </c>
      <c r="H1057" s="24">
        <v>255377</v>
      </c>
      <c r="I1057" s="12" t="s">
        <v>704</v>
      </c>
      <c r="J1057" s="6" t="s">
        <v>706</v>
      </c>
      <c r="K1057" s="6">
        <f t="shared" si="49"/>
        <v>12</v>
      </c>
      <c r="L1057" s="6" t="str">
        <f t="shared" si="50"/>
        <v>DICIEMBRE</v>
      </c>
    </row>
    <row r="1058" spans="1:12" x14ac:dyDescent="0.25">
      <c r="A1058" s="5">
        <f t="shared" si="48"/>
        <v>2025</v>
      </c>
      <c r="B1058" s="18" t="s">
        <v>1190</v>
      </c>
      <c r="C1058" s="18" t="s">
        <v>595</v>
      </c>
      <c r="D1058" s="12">
        <v>6300</v>
      </c>
      <c r="E1058" s="17" t="s">
        <v>305</v>
      </c>
      <c r="F1058" s="12" t="s">
        <v>306</v>
      </c>
      <c r="G1058" s="14">
        <v>1</v>
      </c>
      <c r="H1058" s="24">
        <v>348000</v>
      </c>
      <c r="I1058" s="12" t="s">
        <v>712</v>
      </c>
      <c r="J1058" s="6" t="s">
        <v>608</v>
      </c>
      <c r="K1058" s="6">
        <f t="shared" si="49"/>
        <v>10</v>
      </c>
      <c r="L1058" s="6" t="str">
        <f t="shared" si="50"/>
        <v>OCTUBRE</v>
      </c>
    </row>
    <row r="1059" spans="1:12" x14ac:dyDescent="0.25">
      <c r="A1059" s="5">
        <f t="shared" si="48"/>
        <v>2025</v>
      </c>
      <c r="B1059" s="18" t="s">
        <v>1190</v>
      </c>
      <c r="C1059" s="18" t="s">
        <v>595</v>
      </c>
      <c r="D1059" s="12">
        <v>6300</v>
      </c>
      <c r="E1059" s="17" t="s">
        <v>413</v>
      </c>
      <c r="F1059" s="12" t="s">
        <v>414</v>
      </c>
      <c r="G1059" s="14">
        <v>1</v>
      </c>
      <c r="H1059" s="24">
        <v>85000</v>
      </c>
      <c r="I1059" s="12" t="s">
        <v>712</v>
      </c>
      <c r="J1059" s="6" t="s">
        <v>608</v>
      </c>
      <c r="K1059" s="6">
        <f t="shared" si="49"/>
        <v>10</v>
      </c>
      <c r="L1059" s="6" t="str">
        <f t="shared" si="50"/>
        <v>OCTUBRE</v>
      </c>
    </row>
    <row r="1060" spans="1:12" x14ac:dyDescent="0.25">
      <c r="A1060" s="5">
        <f t="shared" si="48"/>
        <v>2025</v>
      </c>
      <c r="B1060" s="18" t="s">
        <v>1190</v>
      </c>
      <c r="C1060" s="18" t="s">
        <v>595</v>
      </c>
      <c r="D1060" s="12">
        <v>6300</v>
      </c>
      <c r="E1060" s="17">
        <v>4304615</v>
      </c>
      <c r="F1060" s="12" t="s">
        <v>354</v>
      </c>
      <c r="G1060" s="14">
        <v>1</v>
      </c>
      <c r="H1060" s="24">
        <v>14500</v>
      </c>
      <c r="I1060" s="12" t="s">
        <v>712</v>
      </c>
      <c r="J1060" s="6" t="s">
        <v>608</v>
      </c>
      <c r="K1060" s="6">
        <f t="shared" si="49"/>
        <v>10</v>
      </c>
      <c r="L1060" s="6" t="str">
        <f t="shared" si="50"/>
        <v>OCTUBRE</v>
      </c>
    </row>
    <row r="1061" spans="1:12" x14ac:dyDescent="0.25">
      <c r="A1061" s="5">
        <f t="shared" si="48"/>
        <v>2025</v>
      </c>
      <c r="B1061" s="18" t="s">
        <v>1190</v>
      </c>
      <c r="C1061" s="18" t="s">
        <v>595</v>
      </c>
      <c r="D1061" s="12">
        <v>6300</v>
      </c>
      <c r="E1061" s="17">
        <v>210724</v>
      </c>
      <c r="F1061" s="12" t="s">
        <v>450</v>
      </c>
      <c r="G1061" s="14">
        <v>1</v>
      </c>
      <c r="H1061" s="24">
        <v>132000</v>
      </c>
      <c r="I1061" s="12" t="s">
        <v>712</v>
      </c>
      <c r="J1061" s="6" t="s">
        <v>608</v>
      </c>
      <c r="K1061" s="6">
        <f t="shared" si="49"/>
        <v>10</v>
      </c>
      <c r="L1061" s="6" t="str">
        <f t="shared" si="50"/>
        <v>OCTUBRE</v>
      </c>
    </row>
    <row r="1062" spans="1:12" x14ac:dyDescent="0.25">
      <c r="A1062" s="5">
        <f t="shared" si="48"/>
        <v>2025</v>
      </c>
      <c r="B1062" s="18" t="s">
        <v>1190</v>
      </c>
      <c r="C1062" s="18" t="s">
        <v>595</v>
      </c>
      <c r="D1062" s="12">
        <v>6300</v>
      </c>
      <c r="E1062" s="17">
        <v>126155</v>
      </c>
      <c r="F1062" s="12" t="s">
        <v>503</v>
      </c>
      <c r="G1062" s="14">
        <v>1</v>
      </c>
      <c r="H1062" s="24">
        <v>130752</v>
      </c>
      <c r="I1062" s="12" t="s">
        <v>712</v>
      </c>
      <c r="J1062" s="6" t="s">
        <v>608</v>
      </c>
      <c r="K1062" s="6">
        <f t="shared" si="49"/>
        <v>10</v>
      </c>
      <c r="L1062" s="6" t="str">
        <f t="shared" si="50"/>
        <v>OCTUBRE</v>
      </c>
    </row>
    <row r="1063" spans="1:12" x14ac:dyDescent="0.25">
      <c r="A1063" s="5">
        <f t="shared" si="48"/>
        <v>2025</v>
      </c>
      <c r="B1063" s="18" t="s">
        <v>1190</v>
      </c>
      <c r="C1063" s="18" t="s">
        <v>595</v>
      </c>
      <c r="D1063" s="12">
        <v>6300</v>
      </c>
      <c r="E1063" s="17" t="s">
        <v>167</v>
      </c>
      <c r="F1063" s="12" t="s">
        <v>168</v>
      </c>
      <c r="G1063" s="14">
        <v>1</v>
      </c>
      <c r="H1063" s="24">
        <v>650000</v>
      </c>
      <c r="I1063" s="12" t="s">
        <v>712</v>
      </c>
      <c r="J1063" s="6" t="s">
        <v>608</v>
      </c>
      <c r="K1063" s="6">
        <f t="shared" si="49"/>
        <v>10</v>
      </c>
      <c r="L1063" s="6" t="str">
        <f t="shared" si="50"/>
        <v>OCTUBRE</v>
      </c>
    </row>
    <row r="1064" spans="1:12" x14ac:dyDescent="0.25">
      <c r="A1064" s="5">
        <f t="shared" si="48"/>
        <v>2025</v>
      </c>
      <c r="B1064" s="18" t="s">
        <v>1306</v>
      </c>
      <c r="C1064" s="18" t="s">
        <v>595</v>
      </c>
      <c r="D1064" s="12">
        <v>6401</v>
      </c>
      <c r="E1064" s="17" t="s">
        <v>1214</v>
      </c>
      <c r="F1064" s="12" t="s">
        <v>1217</v>
      </c>
      <c r="G1064" s="14">
        <v>2</v>
      </c>
      <c r="H1064" s="24">
        <v>1070000</v>
      </c>
      <c r="I1064" s="12" t="s">
        <v>634</v>
      </c>
      <c r="J1064" s="6" t="s">
        <v>614</v>
      </c>
      <c r="K1064" s="6">
        <f t="shared" si="49"/>
        <v>12</v>
      </c>
      <c r="L1064" s="6" t="str">
        <f t="shared" si="50"/>
        <v>DICIEMBRE</v>
      </c>
    </row>
    <row r="1065" spans="1:12" x14ac:dyDescent="0.25">
      <c r="A1065" s="5">
        <f t="shared" si="48"/>
        <v>2025</v>
      </c>
      <c r="B1065" s="18" t="s">
        <v>1351</v>
      </c>
      <c r="C1065" s="18" t="s">
        <v>595</v>
      </c>
      <c r="D1065" s="12">
        <v>6416</v>
      </c>
      <c r="E1065" s="17" t="s">
        <v>1294</v>
      </c>
      <c r="F1065" s="12" t="s">
        <v>1295</v>
      </c>
      <c r="G1065" s="14">
        <v>2</v>
      </c>
      <c r="H1065" s="24">
        <v>440848</v>
      </c>
      <c r="I1065" s="12" t="s">
        <v>704</v>
      </c>
      <c r="J1065" s="6" t="s">
        <v>706</v>
      </c>
      <c r="K1065" s="6">
        <f t="shared" si="49"/>
        <v>12</v>
      </c>
      <c r="L1065" s="6" t="str">
        <f t="shared" si="50"/>
        <v>DICIEMBRE</v>
      </c>
    </row>
    <row r="1066" spans="1:12" x14ac:dyDescent="0.25">
      <c r="A1066" s="5">
        <f t="shared" si="48"/>
        <v>2025</v>
      </c>
      <c r="B1066" s="18" t="s">
        <v>1351</v>
      </c>
      <c r="C1066" s="18" t="s">
        <v>595</v>
      </c>
      <c r="D1066" s="12">
        <v>6416</v>
      </c>
      <c r="E1066" s="17" t="s">
        <v>674</v>
      </c>
      <c r="F1066" s="12" t="s">
        <v>689</v>
      </c>
      <c r="G1066" s="14">
        <v>2</v>
      </c>
      <c r="H1066" s="24">
        <v>450400</v>
      </c>
      <c r="I1066" s="12" t="s">
        <v>704</v>
      </c>
      <c r="J1066" s="6" t="s">
        <v>706</v>
      </c>
      <c r="K1066" s="6">
        <f t="shared" si="49"/>
        <v>12</v>
      </c>
      <c r="L1066" s="6" t="str">
        <f t="shared" si="50"/>
        <v>DICIEMBRE</v>
      </c>
    </row>
    <row r="1067" spans="1:12" x14ac:dyDescent="0.25">
      <c r="A1067" s="5">
        <f t="shared" si="48"/>
        <v>2025</v>
      </c>
      <c r="B1067" s="18" t="s">
        <v>1351</v>
      </c>
      <c r="C1067" s="18" t="s">
        <v>595</v>
      </c>
      <c r="D1067" s="12">
        <v>6416</v>
      </c>
      <c r="E1067" s="17" t="s">
        <v>1070</v>
      </c>
      <c r="F1067" s="12" t="s">
        <v>1071</v>
      </c>
      <c r="G1067" s="14">
        <v>1</v>
      </c>
      <c r="H1067" s="24">
        <v>184500</v>
      </c>
      <c r="I1067" s="12" t="s">
        <v>704</v>
      </c>
      <c r="J1067" s="6" t="s">
        <v>706</v>
      </c>
      <c r="K1067" s="6">
        <f t="shared" si="49"/>
        <v>12</v>
      </c>
      <c r="L1067" s="6" t="str">
        <f t="shared" si="50"/>
        <v>DICIEMBRE</v>
      </c>
    </row>
    <row r="1068" spans="1:12" x14ac:dyDescent="0.25">
      <c r="A1068" s="5">
        <f t="shared" si="48"/>
        <v>2025</v>
      </c>
      <c r="B1068" s="18" t="s">
        <v>1351</v>
      </c>
      <c r="C1068" s="18" t="s">
        <v>595</v>
      </c>
      <c r="D1068" s="12">
        <v>6416</v>
      </c>
      <c r="E1068" s="17" t="s">
        <v>371</v>
      </c>
      <c r="F1068" s="12" t="s">
        <v>372</v>
      </c>
      <c r="G1068" s="14">
        <v>1</v>
      </c>
      <c r="H1068" s="24">
        <v>196683</v>
      </c>
      <c r="I1068" s="12" t="s">
        <v>704</v>
      </c>
      <c r="J1068" s="6" t="s">
        <v>706</v>
      </c>
      <c r="K1068" s="6">
        <f t="shared" si="49"/>
        <v>12</v>
      </c>
      <c r="L1068" s="6" t="str">
        <f t="shared" si="50"/>
        <v>DICIEMBRE</v>
      </c>
    </row>
    <row r="1069" spans="1:12" x14ac:dyDescent="0.25">
      <c r="A1069" s="5">
        <f t="shared" si="48"/>
        <v>2025</v>
      </c>
      <c r="B1069" s="18" t="s">
        <v>1351</v>
      </c>
      <c r="C1069" s="18" t="s">
        <v>595</v>
      </c>
      <c r="D1069" s="12">
        <v>6416</v>
      </c>
      <c r="E1069" s="17" t="s">
        <v>642</v>
      </c>
      <c r="F1069" s="12" t="s">
        <v>643</v>
      </c>
      <c r="G1069" s="14">
        <v>1</v>
      </c>
      <c r="H1069" s="24">
        <v>354700</v>
      </c>
      <c r="I1069" s="12" t="s">
        <v>704</v>
      </c>
      <c r="J1069" s="6" t="s">
        <v>706</v>
      </c>
      <c r="K1069" s="6">
        <f t="shared" si="49"/>
        <v>12</v>
      </c>
      <c r="L1069" s="6" t="str">
        <f t="shared" si="50"/>
        <v>DICIEMBRE</v>
      </c>
    </row>
    <row r="1070" spans="1:12" x14ac:dyDescent="0.25">
      <c r="A1070" s="5">
        <f t="shared" si="48"/>
        <v>2025</v>
      </c>
      <c r="B1070" s="18" t="s">
        <v>1351</v>
      </c>
      <c r="C1070" s="18" t="s">
        <v>595</v>
      </c>
      <c r="D1070" s="12">
        <v>6416</v>
      </c>
      <c r="E1070" s="17" t="s">
        <v>245</v>
      </c>
      <c r="F1070" s="12" t="s">
        <v>246</v>
      </c>
      <c r="G1070" s="14">
        <v>1</v>
      </c>
      <c r="H1070" s="24">
        <v>5500</v>
      </c>
      <c r="I1070" s="12" t="s">
        <v>704</v>
      </c>
      <c r="J1070" s="6" t="s">
        <v>706</v>
      </c>
      <c r="K1070" s="6">
        <f t="shared" si="49"/>
        <v>12</v>
      </c>
      <c r="L1070" s="6" t="str">
        <f t="shared" si="50"/>
        <v>DICIEMBRE</v>
      </c>
    </row>
    <row r="1071" spans="1:12" x14ac:dyDescent="0.25">
      <c r="A1071" s="5">
        <f t="shared" si="48"/>
        <v>2025</v>
      </c>
      <c r="B1071" s="18" t="s">
        <v>1351</v>
      </c>
      <c r="C1071" s="18" t="s">
        <v>595</v>
      </c>
      <c r="D1071" s="12">
        <v>6416</v>
      </c>
      <c r="E1071" s="17" t="s">
        <v>235</v>
      </c>
      <c r="F1071" s="12" t="s">
        <v>236</v>
      </c>
      <c r="G1071" s="14">
        <v>2</v>
      </c>
      <c r="H1071" s="24">
        <v>2195652</v>
      </c>
      <c r="I1071" s="12" t="s">
        <v>704</v>
      </c>
      <c r="J1071" s="6" t="s">
        <v>706</v>
      </c>
      <c r="K1071" s="6">
        <f t="shared" si="49"/>
        <v>12</v>
      </c>
      <c r="L1071" s="6" t="str">
        <f t="shared" si="50"/>
        <v>DICIEMBRE</v>
      </c>
    </row>
    <row r="1072" spans="1:12" x14ac:dyDescent="0.25">
      <c r="A1072" s="5">
        <f t="shared" si="48"/>
        <v>2025</v>
      </c>
      <c r="B1072" s="18" t="s">
        <v>1351</v>
      </c>
      <c r="C1072" s="18" t="s">
        <v>595</v>
      </c>
      <c r="D1072" s="12">
        <v>6416</v>
      </c>
      <c r="E1072" s="17" t="s">
        <v>266</v>
      </c>
      <c r="F1072" s="12" t="s">
        <v>267</v>
      </c>
      <c r="G1072" s="14">
        <v>2</v>
      </c>
      <c r="H1072" s="24">
        <v>530600</v>
      </c>
      <c r="I1072" s="12" t="s">
        <v>704</v>
      </c>
      <c r="J1072" s="6" t="s">
        <v>706</v>
      </c>
      <c r="K1072" s="6">
        <f t="shared" si="49"/>
        <v>12</v>
      </c>
      <c r="L1072" s="6" t="str">
        <f t="shared" si="50"/>
        <v>DICIEMBRE</v>
      </c>
    </row>
    <row r="1073" spans="1:12" x14ac:dyDescent="0.25">
      <c r="A1073" s="5">
        <f t="shared" si="48"/>
        <v>2025</v>
      </c>
      <c r="B1073" s="18" t="s">
        <v>1351</v>
      </c>
      <c r="C1073" s="18" t="s">
        <v>595</v>
      </c>
      <c r="D1073" s="12">
        <v>6416</v>
      </c>
      <c r="E1073" s="17" t="s">
        <v>488</v>
      </c>
      <c r="F1073" s="12" t="s">
        <v>489</v>
      </c>
      <c r="G1073" s="14">
        <v>3</v>
      </c>
      <c r="H1073" s="24">
        <v>597321</v>
      </c>
      <c r="I1073" s="12" t="s">
        <v>704</v>
      </c>
      <c r="J1073" s="6" t="s">
        <v>706</v>
      </c>
      <c r="K1073" s="6">
        <f t="shared" si="49"/>
        <v>12</v>
      </c>
      <c r="L1073" s="6" t="str">
        <f t="shared" si="50"/>
        <v>DICIEMBRE</v>
      </c>
    </row>
    <row r="1074" spans="1:12" x14ac:dyDescent="0.25">
      <c r="A1074" s="5">
        <f t="shared" si="48"/>
        <v>2025</v>
      </c>
      <c r="B1074" s="18" t="s">
        <v>1351</v>
      </c>
      <c r="C1074" s="18" t="s">
        <v>595</v>
      </c>
      <c r="D1074" s="12">
        <v>6416</v>
      </c>
      <c r="E1074" s="17" t="s">
        <v>218</v>
      </c>
      <c r="F1074" s="12" t="s">
        <v>219</v>
      </c>
      <c r="G1074" s="14">
        <v>7</v>
      </c>
      <c r="H1074" s="24">
        <v>210427</v>
      </c>
      <c r="I1074" s="12" t="s">
        <v>704</v>
      </c>
      <c r="J1074" s="6" t="s">
        <v>706</v>
      </c>
      <c r="K1074" s="6">
        <f t="shared" si="49"/>
        <v>12</v>
      </c>
      <c r="L1074" s="6" t="str">
        <f t="shared" si="50"/>
        <v>DICIEMBRE</v>
      </c>
    </row>
    <row r="1075" spans="1:12" x14ac:dyDescent="0.25">
      <c r="A1075" s="5">
        <f t="shared" si="48"/>
        <v>2025</v>
      </c>
      <c r="B1075" s="18" t="s">
        <v>1351</v>
      </c>
      <c r="C1075" s="18" t="s">
        <v>595</v>
      </c>
      <c r="D1075" s="12">
        <v>6416</v>
      </c>
      <c r="E1075" s="17" t="s">
        <v>303</v>
      </c>
      <c r="F1075" s="12" t="s">
        <v>304</v>
      </c>
      <c r="G1075" s="14">
        <v>4</v>
      </c>
      <c r="H1075" s="24">
        <v>126848</v>
      </c>
      <c r="I1075" s="12" t="s">
        <v>704</v>
      </c>
      <c r="J1075" s="6" t="s">
        <v>706</v>
      </c>
      <c r="K1075" s="6">
        <f t="shared" si="49"/>
        <v>12</v>
      </c>
      <c r="L1075" s="6" t="str">
        <f t="shared" si="50"/>
        <v>DICIEMBRE</v>
      </c>
    </row>
    <row r="1076" spans="1:12" x14ac:dyDescent="0.25">
      <c r="A1076" s="5">
        <f t="shared" si="48"/>
        <v>2025</v>
      </c>
      <c r="B1076" s="18" t="s">
        <v>1351</v>
      </c>
      <c r="C1076" s="18" t="s">
        <v>595</v>
      </c>
      <c r="D1076" s="12">
        <v>6416</v>
      </c>
      <c r="E1076" s="17" t="s">
        <v>490</v>
      </c>
      <c r="F1076" s="12" t="s">
        <v>491</v>
      </c>
      <c r="G1076" s="14">
        <v>2</v>
      </c>
      <c r="H1076" s="24">
        <v>17400</v>
      </c>
      <c r="I1076" s="12" t="s">
        <v>704</v>
      </c>
      <c r="J1076" s="6" t="s">
        <v>706</v>
      </c>
      <c r="K1076" s="6">
        <f t="shared" si="49"/>
        <v>12</v>
      </c>
      <c r="L1076" s="6" t="str">
        <f t="shared" si="50"/>
        <v>DICIEMBRE</v>
      </c>
    </row>
    <row r="1077" spans="1:12" x14ac:dyDescent="0.25">
      <c r="A1077" s="5">
        <f t="shared" ref="A1077:A1140" si="51">+YEAR(B1077)</f>
        <v>2025</v>
      </c>
      <c r="B1077" s="18" t="s">
        <v>1351</v>
      </c>
      <c r="C1077" s="18" t="s">
        <v>595</v>
      </c>
      <c r="D1077" s="12">
        <v>6416</v>
      </c>
      <c r="E1077" s="17">
        <v>4304615</v>
      </c>
      <c r="F1077" s="12" t="s">
        <v>354</v>
      </c>
      <c r="G1077" s="14">
        <v>1</v>
      </c>
      <c r="H1077" s="24">
        <v>12600</v>
      </c>
      <c r="I1077" s="12" t="s">
        <v>704</v>
      </c>
      <c r="J1077" s="6" t="s">
        <v>706</v>
      </c>
      <c r="K1077" s="6">
        <f t="shared" ref="K1077:K1140" si="52">+MONTH(B1077)</f>
        <v>12</v>
      </c>
      <c r="L1077" s="6" t="str">
        <f t="shared" si="50"/>
        <v>DICIEMBRE</v>
      </c>
    </row>
    <row r="1078" spans="1:12" x14ac:dyDescent="0.25">
      <c r="A1078" s="5">
        <f t="shared" si="51"/>
        <v>2025</v>
      </c>
      <c r="B1078" s="18" t="s">
        <v>1351</v>
      </c>
      <c r="C1078" s="18" t="s">
        <v>595</v>
      </c>
      <c r="D1078" s="12">
        <v>6416</v>
      </c>
      <c r="E1078" s="17" t="s">
        <v>293</v>
      </c>
      <c r="F1078" s="12" t="s">
        <v>294</v>
      </c>
      <c r="G1078" s="14">
        <v>1</v>
      </c>
      <c r="H1078" s="24">
        <v>432300</v>
      </c>
      <c r="I1078" s="12" t="s">
        <v>704</v>
      </c>
      <c r="J1078" s="6" t="s">
        <v>706</v>
      </c>
      <c r="K1078" s="6">
        <f t="shared" si="52"/>
        <v>12</v>
      </c>
      <c r="L1078" s="6" t="str">
        <f t="shared" si="50"/>
        <v>DICIEMBRE</v>
      </c>
    </row>
    <row r="1079" spans="1:12" x14ac:dyDescent="0.25">
      <c r="A1079" s="5">
        <f t="shared" si="51"/>
        <v>2025</v>
      </c>
      <c r="B1079" s="18" t="s">
        <v>1261</v>
      </c>
      <c r="C1079" s="18" t="s">
        <v>595</v>
      </c>
      <c r="D1079" s="12">
        <v>6345</v>
      </c>
      <c r="E1079" s="17" t="s">
        <v>228</v>
      </c>
      <c r="F1079" s="12" t="s">
        <v>229</v>
      </c>
      <c r="G1079" s="14">
        <v>2</v>
      </c>
      <c r="H1079" s="24">
        <v>240000</v>
      </c>
      <c r="I1079" s="12" t="s">
        <v>712</v>
      </c>
      <c r="J1079" s="6" t="s">
        <v>608</v>
      </c>
      <c r="K1079" s="6">
        <f t="shared" si="52"/>
        <v>11</v>
      </c>
      <c r="L1079" s="6" t="str">
        <f t="shared" si="50"/>
        <v>NOVIEMBRE</v>
      </c>
    </row>
    <row r="1080" spans="1:12" x14ac:dyDescent="0.25">
      <c r="A1080" s="5">
        <f t="shared" si="51"/>
        <v>2025</v>
      </c>
      <c r="B1080" s="18" t="s">
        <v>1261</v>
      </c>
      <c r="C1080" s="18" t="s">
        <v>595</v>
      </c>
      <c r="D1080" s="12">
        <v>6345</v>
      </c>
      <c r="E1080" s="17">
        <v>328349</v>
      </c>
      <c r="F1080" s="12" t="s">
        <v>107</v>
      </c>
      <c r="G1080" s="14">
        <v>1</v>
      </c>
      <c r="H1080" s="24">
        <v>890000</v>
      </c>
      <c r="I1080" s="12" t="s">
        <v>712</v>
      </c>
      <c r="J1080" s="6" t="s">
        <v>608</v>
      </c>
      <c r="K1080" s="6">
        <f t="shared" si="52"/>
        <v>11</v>
      </c>
      <c r="L1080" s="6" t="str">
        <f t="shared" si="50"/>
        <v>NOVIEMBRE</v>
      </c>
    </row>
    <row r="1081" spans="1:12" x14ac:dyDescent="0.25">
      <c r="A1081" s="5">
        <f t="shared" si="51"/>
        <v>2025</v>
      </c>
      <c r="B1081" s="18" t="s">
        <v>1261</v>
      </c>
      <c r="C1081" s="18" t="s">
        <v>595</v>
      </c>
      <c r="D1081" s="12">
        <v>6345</v>
      </c>
      <c r="E1081" s="17">
        <v>14750</v>
      </c>
      <c r="F1081" s="12" t="s">
        <v>462</v>
      </c>
      <c r="G1081" s="14">
        <v>1</v>
      </c>
      <c r="H1081" s="24">
        <v>3000</v>
      </c>
      <c r="I1081" s="12" t="s">
        <v>712</v>
      </c>
      <c r="J1081" s="6" t="s">
        <v>608</v>
      </c>
      <c r="K1081" s="6">
        <f t="shared" si="52"/>
        <v>11</v>
      </c>
      <c r="L1081" s="6" t="str">
        <f t="shared" si="50"/>
        <v>NOVIEMBRE</v>
      </c>
    </row>
    <row r="1082" spans="1:12" x14ac:dyDescent="0.25">
      <c r="A1082" s="5">
        <f t="shared" si="51"/>
        <v>2025</v>
      </c>
      <c r="B1082" s="18" t="s">
        <v>1261</v>
      </c>
      <c r="C1082" s="18" t="s">
        <v>595</v>
      </c>
      <c r="D1082" s="12">
        <v>6345</v>
      </c>
      <c r="E1082" s="17">
        <v>4302321</v>
      </c>
      <c r="F1082" s="12" t="s">
        <v>444</v>
      </c>
      <c r="G1082" s="14">
        <v>1</v>
      </c>
      <c r="H1082" s="24">
        <v>65000</v>
      </c>
      <c r="I1082" s="12" t="s">
        <v>712</v>
      </c>
      <c r="J1082" s="6" t="s">
        <v>608</v>
      </c>
      <c r="K1082" s="6">
        <f t="shared" si="52"/>
        <v>11</v>
      </c>
      <c r="L1082" s="6" t="str">
        <f t="shared" si="50"/>
        <v>NOVIEMBRE</v>
      </c>
    </row>
    <row r="1083" spans="1:12" x14ac:dyDescent="0.25">
      <c r="A1083" s="5">
        <f t="shared" si="51"/>
        <v>2025</v>
      </c>
      <c r="B1083" s="18" t="s">
        <v>1261</v>
      </c>
      <c r="C1083" s="18" t="s">
        <v>595</v>
      </c>
      <c r="D1083" s="12">
        <v>6345</v>
      </c>
      <c r="E1083" s="17" t="s">
        <v>262</v>
      </c>
      <c r="F1083" s="12" t="s">
        <v>263</v>
      </c>
      <c r="G1083" s="14">
        <v>1</v>
      </c>
      <c r="H1083" s="24">
        <v>128000</v>
      </c>
      <c r="I1083" s="12" t="s">
        <v>712</v>
      </c>
      <c r="J1083" s="6" t="s">
        <v>608</v>
      </c>
      <c r="K1083" s="6">
        <f t="shared" si="52"/>
        <v>11</v>
      </c>
      <c r="L1083" s="6" t="str">
        <f t="shared" si="50"/>
        <v>NOVIEMBRE</v>
      </c>
    </row>
    <row r="1084" spans="1:12" x14ac:dyDescent="0.25">
      <c r="A1084" s="5">
        <f t="shared" si="51"/>
        <v>2025</v>
      </c>
      <c r="B1084" s="18" t="s">
        <v>1261</v>
      </c>
      <c r="C1084" s="18" t="s">
        <v>595</v>
      </c>
      <c r="D1084" s="12">
        <v>6345</v>
      </c>
      <c r="E1084" s="17">
        <v>4304615</v>
      </c>
      <c r="F1084" s="12" t="s">
        <v>354</v>
      </c>
      <c r="G1084" s="14">
        <v>1</v>
      </c>
      <c r="H1084" s="24">
        <v>14500</v>
      </c>
      <c r="I1084" s="12" t="s">
        <v>712</v>
      </c>
      <c r="J1084" s="6" t="s">
        <v>608</v>
      </c>
      <c r="K1084" s="6">
        <f t="shared" si="52"/>
        <v>11</v>
      </c>
      <c r="L1084" s="6" t="str">
        <f t="shared" si="50"/>
        <v>NOVIEMBRE</v>
      </c>
    </row>
    <row r="1085" spans="1:12" x14ac:dyDescent="0.25">
      <c r="A1085" s="5">
        <f t="shared" si="51"/>
        <v>2025</v>
      </c>
      <c r="B1085" s="18" t="s">
        <v>1261</v>
      </c>
      <c r="C1085" s="18" t="s">
        <v>595</v>
      </c>
      <c r="D1085" s="12">
        <v>6345</v>
      </c>
      <c r="E1085" s="17" t="s">
        <v>413</v>
      </c>
      <c r="F1085" s="12" t="s">
        <v>414</v>
      </c>
      <c r="G1085" s="14">
        <v>1</v>
      </c>
      <c r="H1085" s="24">
        <v>85000</v>
      </c>
      <c r="I1085" s="12" t="s">
        <v>712</v>
      </c>
      <c r="J1085" s="6" t="s">
        <v>608</v>
      </c>
      <c r="K1085" s="6">
        <f t="shared" si="52"/>
        <v>11</v>
      </c>
      <c r="L1085" s="6" t="str">
        <f t="shared" si="50"/>
        <v>NOVIEMBRE</v>
      </c>
    </row>
    <row r="1086" spans="1:12" x14ac:dyDescent="0.25">
      <c r="A1086" s="5">
        <f t="shared" si="51"/>
        <v>2025</v>
      </c>
      <c r="B1086" s="18" t="s">
        <v>1261</v>
      </c>
      <c r="C1086" s="18" t="s">
        <v>595</v>
      </c>
      <c r="D1086" s="12">
        <v>6345</v>
      </c>
      <c r="E1086" s="17" t="s">
        <v>305</v>
      </c>
      <c r="F1086" s="12" t="s">
        <v>306</v>
      </c>
      <c r="G1086" s="14">
        <v>1</v>
      </c>
      <c r="H1086" s="24">
        <v>348000</v>
      </c>
      <c r="I1086" s="12" t="s">
        <v>712</v>
      </c>
      <c r="J1086" s="6" t="s">
        <v>608</v>
      </c>
      <c r="K1086" s="6">
        <f t="shared" si="52"/>
        <v>11</v>
      </c>
      <c r="L1086" s="6" t="str">
        <f t="shared" si="50"/>
        <v>NOVIEMBRE</v>
      </c>
    </row>
    <row r="1087" spans="1:12" x14ac:dyDescent="0.25">
      <c r="A1087" s="5">
        <f t="shared" si="51"/>
        <v>2025</v>
      </c>
      <c r="B1087" s="18" t="s">
        <v>1261</v>
      </c>
      <c r="C1087" s="18" t="s">
        <v>595</v>
      </c>
      <c r="D1087" s="12">
        <v>6345</v>
      </c>
      <c r="E1087" s="17">
        <v>4302398</v>
      </c>
      <c r="F1087" s="12" t="s">
        <v>412</v>
      </c>
      <c r="G1087" s="14">
        <v>4</v>
      </c>
      <c r="H1087" s="24">
        <v>124000</v>
      </c>
      <c r="I1087" s="12" t="s">
        <v>712</v>
      </c>
      <c r="J1087" s="6" t="s">
        <v>608</v>
      </c>
      <c r="K1087" s="6">
        <f t="shared" si="52"/>
        <v>11</v>
      </c>
      <c r="L1087" s="6" t="str">
        <f t="shared" si="50"/>
        <v>NOVIEMBRE</v>
      </c>
    </row>
    <row r="1088" spans="1:12" x14ac:dyDescent="0.25">
      <c r="A1088" s="5">
        <f t="shared" si="51"/>
        <v>2025</v>
      </c>
      <c r="B1088" s="18" t="s">
        <v>1261</v>
      </c>
      <c r="C1088" s="18" t="s">
        <v>595</v>
      </c>
      <c r="D1088" s="12">
        <v>6345</v>
      </c>
      <c r="E1088" s="17">
        <v>4303603</v>
      </c>
      <c r="F1088" s="12" t="s">
        <v>335</v>
      </c>
      <c r="G1088" s="14">
        <v>2</v>
      </c>
      <c r="H1088" s="24">
        <v>80000</v>
      </c>
      <c r="I1088" s="12" t="s">
        <v>712</v>
      </c>
      <c r="J1088" s="6" t="s">
        <v>608</v>
      </c>
      <c r="K1088" s="6">
        <f t="shared" si="52"/>
        <v>11</v>
      </c>
      <c r="L1088" s="6" t="str">
        <f t="shared" si="50"/>
        <v>NOVIEMBRE</v>
      </c>
    </row>
    <row r="1089" spans="1:12" x14ac:dyDescent="0.25">
      <c r="A1089" s="5">
        <f t="shared" si="51"/>
        <v>2025</v>
      </c>
      <c r="B1089" s="18" t="s">
        <v>1261</v>
      </c>
      <c r="C1089" s="18" t="s">
        <v>595</v>
      </c>
      <c r="D1089" s="12">
        <v>6345</v>
      </c>
      <c r="E1089" s="17">
        <v>4300382</v>
      </c>
      <c r="F1089" s="12" t="s">
        <v>411</v>
      </c>
      <c r="G1089" s="14">
        <v>1</v>
      </c>
      <c r="H1089" s="24">
        <v>33000</v>
      </c>
      <c r="I1089" s="12" t="s">
        <v>712</v>
      </c>
      <c r="J1089" s="6" t="s">
        <v>608</v>
      </c>
      <c r="K1089" s="6">
        <f t="shared" si="52"/>
        <v>11</v>
      </c>
      <c r="L1089" s="6" t="str">
        <f t="shared" si="50"/>
        <v>NOVIEMBRE</v>
      </c>
    </row>
    <row r="1090" spans="1:12" x14ac:dyDescent="0.25">
      <c r="A1090" s="5">
        <f t="shared" si="51"/>
        <v>2025</v>
      </c>
      <c r="B1090" s="18" t="s">
        <v>1261</v>
      </c>
      <c r="C1090" s="18" t="s">
        <v>595</v>
      </c>
      <c r="D1090" s="12">
        <v>6345</v>
      </c>
      <c r="E1090" s="17" t="s">
        <v>377</v>
      </c>
      <c r="F1090" s="12" t="s">
        <v>378</v>
      </c>
      <c r="G1090" s="14">
        <v>1</v>
      </c>
      <c r="H1090" s="24">
        <v>245000</v>
      </c>
      <c r="I1090" s="12" t="s">
        <v>712</v>
      </c>
      <c r="J1090" s="6" t="s">
        <v>608</v>
      </c>
      <c r="K1090" s="6">
        <f t="shared" si="52"/>
        <v>11</v>
      </c>
      <c r="L1090" s="6" t="str">
        <f t="shared" si="50"/>
        <v>NOVIEMBRE</v>
      </c>
    </row>
    <row r="1091" spans="1:12" x14ac:dyDescent="0.25">
      <c r="A1091" s="5">
        <f t="shared" si="51"/>
        <v>2025</v>
      </c>
      <c r="B1091" s="18" t="s">
        <v>1261</v>
      </c>
      <c r="C1091" s="18" t="s">
        <v>595</v>
      </c>
      <c r="D1091" s="12">
        <v>6345</v>
      </c>
      <c r="E1091" s="17">
        <v>4303336</v>
      </c>
      <c r="F1091" s="12" t="s">
        <v>261</v>
      </c>
      <c r="G1091" s="14">
        <v>2</v>
      </c>
      <c r="H1091" s="24">
        <v>14000</v>
      </c>
      <c r="I1091" s="12" t="s">
        <v>712</v>
      </c>
      <c r="J1091" s="6" t="s">
        <v>608</v>
      </c>
      <c r="K1091" s="6">
        <f t="shared" si="52"/>
        <v>11</v>
      </c>
      <c r="L1091" s="6" t="str">
        <f t="shared" ref="L1091:L1154" si="53">VLOOKUP(K1091,N:O,2,0)</f>
        <v>NOVIEMBRE</v>
      </c>
    </row>
    <row r="1092" spans="1:12" x14ac:dyDescent="0.25">
      <c r="A1092" s="5">
        <f t="shared" si="51"/>
        <v>2025</v>
      </c>
      <c r="B1092" s="18" t="s">
        <v>1261</v>
      </c>
      <c r="C1092" s="18" t="s">
        <v>595</v>
      </c>
      <c r="D1092" s="12">
        <v>6345</v>
      </c>
      <c r="E1092" s="17" t="s">
        <v>463</v>
      </c>
      <c r="F1092" s="12" t="s">
        <v>464</v>
      </c>
      <c r="G1092" s="14">
        <v>1</v>
      </c>
      <c r="H1092" s="24">
        <v>356000</v>
      </c>
      <c r="I1092" s="12" t="s">
        <v>712</v>
      </c>
      <c r="J1092" s="6" t="s">
        <v>608</v>
      </c>
      <c r="K1092" s="6">
        <f t="shared" si="52"/>
        <v>11</v>
      </c>
      <c r="L1092" s="6" t="str">
        <f t="shared" si="53"/>
        <v>NOVIEMBRE</v>
      </c>
    </row>
    <row r="1093" spans="1:12" x14ac:dyDescent="0.25">
      <c r="A1093" s="5">
        <f t="shared" si="51"/>
        <v>2025</v>
      </c>
      <c r="B1093" s="18" t="s">
        <v>1261</v>
      </c>
      <c r="C1093" s="18" t="s">
        <v>595</v>
      </c>
      <c r="D1093" s="12">
        <v>6345</v>
      </c>
      <c r="E1093" s="17" t="s">
        <v>293</v>
      </c>
      <c r="F1093" s="12" t="s">
        <v>294</v>
      </c>
      <c r="G1093" s="14">
        <v>1</v>
      </c>
      <c r="H1093" s="24">
        <v>421000</v>
      </c>
      <c r="I1093" s="12" t="s">
        <v>712</v>
      </c>
      <c r="J1093" s="6" t="s">
        <v>608</v>
      </c>
      <c r="K1093" s="6">
        <f t="shared" si="52"/>
        <v>11</v>
      </c>
      <c r="L1093" s="6" t="str">
        <f t="shared" si="53"/>
        <v>NOVIEMBRE</v>
      </c>
    </row>
    <row r="1094" spans="1:12" x14ac:dyDescent="0.25">
      <c r="A1094" s="5">
        <f t="shared" si="51"/>
        <v>2025</v>
      </c>
      <c r="B1094" s="18" t="s">
        <v>1261</v>
      </c>
      <c r="C1094" s="18" t="s">
        <v>595</v>
      </c>
      <c r="D1094" s="12">
        <v>6345</v>
      </c>
      <c r="E1094" s="17" t="s">
        <v>352</v>
      </c>
      <c r="F1094" s="12" t="s">
        <v>353</v>
      </c>
      <c r="G1094" s="14">
        <v>1</v>
      </c>
      <c r="H1094" s="24">
        <v>56000</v>
      </c>
      <c r="I1094" s="12" t="s">
        <v>712</v>
      </c>
      <c r="J1094" s="6" t="s">
        <v>608</v>
      </c>
      <c r="K1094" s="6">
        <f t="shared" si="52"/>
        <v>11</v>
      </c>
      <c r="L1094" s="6" t="str">
        <f t="shared" si="53"/>
        <v>NOVIEMBRE</v>
      </c>
    </row>
    <row r="1095" spans="1:12" x14ac:dyDescent="0.25">
      <c r="A1095" s="5">
        <f t="shared" si="51"/>
        <v>2025</v>
      </c>
      <c r="B1095" s="18" t="s">
        <v>1261</v>
      </c>
      <c r="C1095" s="18" t="s">
        <v>595</v>
      </c>
      <c r="D1095" s="12">
        <v>6345</v>
      </c>
      <c r="E1095" s="17" t="s">
        <v>181</v>
      </c>
      <c r="F1095" s="12" t="s">
        <v>182</v>
      </c>
      <c r="G1095" s="14">
        <v>1</v>
      </c>
      <c r="H1095" s="24">
        <v>103000</v>
      </c>
      <c r="I1095" s="12" t="s">
        <v>712</v>
      </c>
      <c r="J1095" s="6" t="s">
        <v>608</v>
      </c>
      <c r="K1095" s="6">
        <f t="shared" si="52"/>
        <v>11</v>
      </c>
      <c r="L1095" s="6" t="str">
        <f t="shared" si="53"/>
        <v>NOVIEMBRE</v>
      </c>
    </row>
    <row r="1096" spans="1:12" x14ac:dyDescent="0.25">
      <c r="A1096" s="5">
        <f t="shared" si="51"/>
        <v>2025</v>
      </c>
      <c r="B1096" s="18" t="s">
        <v>1261</v>
      </c>
      <c r="C1096" s="18" t="s">
        <v>595</v>
      </c>
      <c r="D1096" s="12">
        <v>6345</v>
      </c>
      <c r="E1096" s="17" t="s">
        <v>415</v>
      </c>
      <c r="F1096" s="12" t="s">
        <v>416</v>
      </c>
      <c r="G1096" s="14">
        <v>1</v>
      </c>
      <c r="H1096" s="24">
        <v>422000</v>
      </c>
      <c r="I1096" s="12" t="s">
        <v>712</v>
      </c>
      <c r="J1096" s="6" t="s">
        <v>608</v>
      </c>
      <c r="K1096" s="6">
        <f t="shared" si="52"/>
        <v>11</v>
      </c>
      <c r="L1096" s="6" t="str">
        <f t="shared" si="53"/>
        <v>NOVIEMBRE</v>
      </c>
    </row>
    <row r="1097" spans="1:12" x14ac:dyDescent="0.25">
      <c r="A1097" s="5">
        <f t="shared" si="51"/>
        <v>2025</v>
      </c>
      <c r="B1097" s="18" t="s">
        <v>1261</v>
      </c>
      <c r="C1097" s="18" t="s">
        <v>595</v>
      </c>
      <c r="D1097" s="12">
        <v>6345</v>
      </c>
      <c r="E1097" s="17">
        <v>23559</v>
      </c>
      <c r="F1097" s="12" t="s">
        <v>129</v>
      </c>
      <c r="G1097" s="14">
        <v>1</v>
      </c>
      <c r="H1097" s="24">
        <v>5000</v>
      </c>
      <c r="I1097" s="12" t="s">
        <v>712</v>
      </c>
      <c r="J1097" s="6" t="s">
        <v>608</v>
      </c>
      <c r="K1097" s="6">
        <f t="shared" si="52"/>
        <v>11</v>
      </c>
      <c r="L1097" s="6" t="str">
        <f t="shared" si="53"/>
        <v>NOVIEMBRE</v>
      </c>
    </row>
    <row r="1098" spans="1:12" x14ac:dyDescent="0.25">
      <c r="A1098" s="5">
        <f t="shared" si="51"/>
        <v>2025</v>
      </c>
      <c r="B1098" s="18" t="s">
        <v>1261</v>
      </c>
      <c r="C1098" s="18" t="s">
        <v>595</v>
      </c>
      <c r="D1098" s="12">
        <v>6345</v>
      </c>
      <c r="E1098" s="17">
        <v>57</v>
      </c>
      <c r="F1098" s="12" t="s">
        <v>581</v>
      </c>
      <c r="G1098" s="14">
        <v>1</v>
      </c>
      <c r="H1098" s="24">
        <v>45000</v>
      </c>
      <c r="I1098" s="12" t="s">
        <v>712</v>
      </c>
      <c r="J1098" s="6" t="s">
        <v>608</v>
      </c>
      <c r="K1098" s="6">
        <f t="shared" si="52"/>
        <v>11</v>
      </c>
      <c r="L1098" s="6" t="str">
        <f t="shared" si="53"/>
        <v>NOVIEMBRE</v>
      </c>
    </row>
    <row r="1099" spans="1:12" x14ac:dyDescent="0.25">
      <c r="A1099" s="5">
        <f t="shared" si="51"/>
        <v>2025</v>
      </c>
      <c r="B1099" s="18" t="s">
        <v>1261</v>
      </c>
      <c r="C1099" s="18" t="s">
        <v>595</v>
      </c>
      <c r="D1099" s="12">
        <v>6345</v>
      </c>
      <c r="E1099" s="17" t="s">
        <v>150</v>
      </c>
      <c r="F1099" s="12" t="s">
        <v>151</v>
      </c>
      <c r="G1099" s="14">
        <v>1</v>
      </c>
      <c r="H1099" s="24">
        <v>540000</v>
      </c>
      <c r="I1099" s="12" t="s">
        <v>712</v>
      </c>
      <c r="J1099" s="6" t="s">
        <v>608</v>
      </c>
      <c r="K1099" s="6">
        <f t="shared" si="52"/>
        <v>11</v>
      </c>
      <c r="L1099" s="6" t="str">
        <f t="shared" si="53"/>
        <v>NOVIEMBRE</v>
      </c>
    </row>
    <row r="1100" spans="1:12" x14ac:dyDescent="0.25">
      <c r="A1100" s="5">
        <f t="shared" si="51"/>
        <v>2025</v>
      </c>
      <c r="B1100" s="18" t="s">
        <v>1261</v>
      </c>
      <c r="C1100" s="18" t="s">
        <v>595</v>
      </c>
      <c r="D1100" s="12">
        <v>6345</v>
      </c>
      <c r="E1100" s="17" t="s">
        <v>56</v>
      </c>
      <c r="F1100" s="12" t="s">
        <v>57</v>
      </c>
      <c r="G1100" s="14">
        <v>1</v>
      </c>
      <c r="H1100" s="24">
        <v>23000</v>
      </c>
      <c r="I1100" s="12" t="s">
        <v>712</v>
      </c>
      <c r="J1100" s="6" t="s">
        <v>608</v>
      </c>
      <c r="K1100" s="6">
        <f t="shared" si="52"/>
        <v>11</v>
      </c>
      <c r="L1100" s="6" t="str">
        <f t="shared" si="53"/>
        <v>NOVIEMBRE</v>
      </c>
    </row>
    <row r="1101" spans="1:12" x14ac:dyDescent="0.25">
      <c r="A1101" s="5">
        <f t="shared" si="51"/>
        <v>2025</v>
      </c>
      <c r="B1101" s="18" t="s">
        <v>1261</v>
      </c>
      <c r="C1101" s="18" t="s">
        <v>595</v>
      </c>
      <c r="D1101" s="12">
        <v>6345</v>
      </c>
      <c r="E1101" s="17" t="s">
        <v>387</v>
      </c>
      <c r="F1101" s="12" t="s">
        <v>388</v>
      </c>
      <c r="G1101" s="14">
        <v>2</v>
      </c>
      <c r="H1101" s="24">
        <v>482000</v>
      </c>
      <c r="I1101" s="12" t="s">
        <v>712</v>
      </c>
      <c r="J1101" s="6" t="s">
        <v>608</v>
      </c>
      <c r="K1101" s="6">
        <f t="shared" si="52"/>
        <v>11</v>
      </c>
      <c r="L1101" s="6" t="str">
        <f t="shared" si="53"/>
        <v>NOVIEMBRE</v>
      </c>
    </row>
    <row r="1102" spans="1:12" x14ac:dyDescent="0.25">
      <c r="A1102" s="5">
        <f t="shared" si="51"/>
        <v>2025</v>
      </c>
      <c r="B1102" s="18" t="s">
        <v>1261</v>
      </c>
      <c r="C1102" s="18" t="s">
        <v>595</v>
      </c>
      <c r="D1102" s="12">
        <v>6345</v>
      </c>
      <c r="E1102" s="17">
        <v>9373</v>
      </c>
      <c r="F1102" s="12" t="s">
        <v>128</v>
      </c>
      <c r="G1102" s="14">
        <v>1</v>
      </c>
      <c r="H1102" s="24">
        <v>460000</v>
      </c>
      <c r="I1102" s="12" t="s">
        <v>712</v>
      </c>
      <c r="J1102" s="6" t="s">
        <v>608</v>
      </c>
      <c r="K1102" s="6">
        <f t="shared" si="52"/>
        <v>11</v>
      </c>
      <c r="L1102" s="6" t="str">
        <f t="shared" si="53"/>
        <v>NOVIEMBRE</v>
      </c>
    </row>
    <row r="1103" spans="1:12" x14ac:dyDescent="0.25">
      <c r="A1103" s="5">
        <f t="shared" si="51"/>
        <v>2025</v>
      </c>
      <c r="B1103" s="18" t="s">
        <v>1261</v>
      </c>
      <c r="C1103" s="18" t="s">
        <v>595</v>
      </c>
      <c r="D1103" s="12">
        <v>6345</v>
      </c>
      <c r="E1103" s="17" t="s">
        <v>206</v>
      </c>
      <c r="F1103" s="12" t="s">
        <v>207</v>
      </c>
      <c r="G1103" s="14">
        <v>2</v>
      </c>
      <c r="H1103" s="24">
        <v>142000</v>
      </c>
      <c r="I1103" s="12" t="s">
        <v>712</v>
      </c>
      <c r="J1103" s="6" t="s">
        <v>608</v>
      </c>
      <c r="K1103" s="6">
        <f t="shared" si="52"/>
        <v>11</v>
      </c>
      <c r="L1103" s="6" t="str">
        <f t="shared" si="53"/>
        <v>NOVIEMBRE</v>
      </c>
    </row>
    <row r="1104" spans="1:12" x14ac:dyDescent="0.25">
      <c r="A1104" s="5">
        <f t="shared" si="51"/>
        <v>2025</v>
      </c>
      <c r="B1104" s="18" t="s">
        <v>1261</v>
      </c>
      <c r="C1104" s="18" t="s">
        <v>595</v>
      </c>
      <c r="D1104" s="12">
        <v>6345</v>
      </c>
      <c r="E1104" s="17" t="s">
        <v>1016</v>
      </c>
      <c r="F1104" s="12" t="s">
        <v>1017</v>
      </c>
      <c r="G1104" s="14">
        <v>1</v>
      </c>
      <c r="H1104" s="24">
        <v>440000</v>
      </c>
      <c r="I1104" s="12" t="s">
        <v>712</v>
      </c>
      <c r="J1104" s="6" t="s">
        <v>608</v>
      </c>
      <c r="K1104" s="6">
        <f t="shared" si="52"/>
        <v>11</v>
      </c>
      <c r="L1104" s="6" t="str">
        <f t="shared" si="53"/>
        <v>NOVIEMBRE</v>
      </c>
    </row>
    <row r="1105" spans="1:12" x14ac:dyDescent="0.25">
      <c r="A1105" s="5">
        <f t="shared" si="51"/>
        <v>2025</v>
      </c>
      <c r="B1105" s="18" t="s">
        <v>1261</v>
      </c>
      <c r="C1105" s="18" t="s">
        <v>595</v>
      </c>
      <c r="D1105" s="12">
        <v>6345</v>
      </c>
      <c r="E1105" s="17" t="s">
        <v>247</v>
      </c>
      <c r="F1105" s="12" t="s">
        <v>248</v>
      </c>
      <c r="G1105" s="14">
        <v>1</v>
      </c>
      <c r="H1105" s="24">
        <v>300000</v>
      </c>
      <c r="I1105" s="12" t="s">
        <v>712</v>
      </c>
      <c r="J1105" s="6" t="s">
        <v>608</v>
      </c>
      <c r="K1105" s="6">
        <f t="shared" si="52"/>
        <v>11</v>
      </c>
      <c r="L1105" s="6" t="str">
        <f t="shared" si="53"/>
        <v>NOVIEMBRE</v>
      </c>
    </row>
    <row r="1106" spans="1:12" x14ac:dyDescent="0.25">
      <c r="A1106" s="5">
        <f t="shared" si="51"/>
        <v>2025</v>
      </c>
      <c r="B1106" s="18" t="s">
        <v>1284</v>
      </c>
      <c r="C1106" s="18" t="s">
        <v>595</v>
      </c>
      <c r="D1106" s="12">
        <v>6373</v>
      </c>
      <c r="E1106" s="17" t="s">
        <v>1285</v>
      </c>
      <c r="F1106" s="12" t="s">
        <v>1286</v>
      </c>
      <c r="G1106" s="14">
        <v>10</v>
      </c>
      <c r="H1106" s="24">
        <v>860000</v>
      </c>
      <c r="I1106" s="12" t="s">
        <v>712</v>
      </c>
      <c r="J1106" s="6" t="s">
        <v>608</v>
      </c>
      <c r="K1106" s="6">
        <f t="shared" si="52"/>
        <v>11</v>
      </c>
      <c r="L1106" s="6" t="str">
        <f t="shared" si="53"/>
        <v>NOVIEMBRE</v>
      </c>
    </row>
    <row r="1107" spans="1:12" x14ac:dyDescent="0.25">
      <c r="A1107" s="5">
        <f t="shared" si="51"/>
        <v>2025</v>
      </c>
      <c r="B1107" s="18" t="s">
        <v>1284</v>
      </c>
      <c r="C1107" s="18" t="s">
        <v>595</v>
      </c>
      <c r="D1107" s="12">
        <v>6374</v>
      </c>
      <c r="E1107" s="17" t="s">
        <v>586</v>
      </c>
      <c r="F1107" s="12" t="s">
        <v>587</v>
      </c>
      <c r="G1107" s="14">
        <v>2</v>
      </c>
      <c r="H1107" s="24">
        <v>152232</v>
      </c>
      <c r="I1107" s="12" t="s">
        <v>634</v>
      </c>
      <c r="J1107" s="6" t="s">
        <v>614</v>
      </c>
      <c r="K1107" s="6">
        <f t="shared" si="52"/>
        <v>11</v>
      </c>
      <c r="L1107" s="6" t="str">
        <f t="shared" si="53"/>
        <v>NOVIEMBRE</v>
      </c>
    </row>
    <row r="1108" spans="1:12" x14ac:dyDescent="0.25">
      <c r="A1108" s="5">
        <f t="shared" si="51"/>
        <v>2025</v>
      </c>
      <c r="B1108" s="18" t="s">
        <v>1284</v>
      </c>
      <c r="C1108" s="18" t="s">
        <v>595</v>
      </c>
      <c r="D1108" s="12">
        <v>6374</v>
      </c>
      <c r="E1108" s="17" t="s">
        <v>901</v>
      </c>
      <c r="F1108" s="12" t="s">
        <v>902</v>
      </c>
      <c r="G1108" s="14">
        <v>2</v>
      </c>
      <c r="H1108" s="24">
        <v>1486464</v>
      </c>
      <c r="I1108" s="12" t="s">
        <v>634</v>
      </c>
      <c r="J1108" s="6" t="s">
        <v>614</v>
      </c>
      <c r="K1108" s="6">
        <f t="shared" si="52"/>
        <v>11</v>
      </c>
      <c r="L1108" s="6" t="str">
        <f t="shared" si="53"/>
        <v>NOVIEMBRE</v>
      </c>
    </row>
    <row r="1109" spans="1:12" x14ac:dyDescent="0.25">
      <c r="A1109" s="5">
        <f t="shared" si="51"/>
        <v>2025</v>
      </c>
      <c r="B1109" s="18" t="s">
        <v>1029</v>
      </c>
      <c r="C1109" s="18" t="s">
        <v>595</v>
      </c>
      <c r="D1109" s="12">
        <v>6096</v>
      </c>
      <c r="E1109" s="17">
        <v>4304602</v>
      </c>
      <c r="F1109" s="12" t="s">
        <v>502</v>
      </c>
      <c r="G1109" s="14">
        <v>1</v>
      </c>
      <c r="H1109" s="24">
        <v>23000</v>
      </c>
      <c r="I1109" s="12" t="s">
        <v>712</v>
      </c>
      <c r="J1109" s="6" t="s">
        <v>608</v>
      </c>
      <c r="K1109" s="6">
        <f t="shared" si="52"/>
        <v>6</v>
      </c>
      <c r="L1109" s="6" t="str">
        <f t="shared" si="53"/>
        <v>JUNIO</v>
      </c>
    </row>
    <row r="1110" spans="1:12" x14ac:dyDescent="0.25">
      <c r="A1110" s="5">
        <f t="shared" si="51"/>
        <v>2025</v>
      </c>
      <c r="B1110" s="18" t="s">
        <v>1179</v>
      </c>
      <c r="C1110" s="18" t="s">
        <v>595</v>
      </c>
      <c r="D1110" s="12">
        <v>6272</v>
      </c>
      <c r="E1110" s="17">
        <v>4302321</v>
      </c>
      <c r="F1110" s="12" t="s">
        <v>444</v>
      </c>
      <c r="G1110" s="14">
        <v>1</v>
      </c>
      <c r="H1110" s="24">
        <v>65000</v>
      </c>
      <c r="I1110" s="12" t="s">
        <v>712</v>
      </c>
      <c r="J1110" s="6" t="s">
        <v>608</v>
      </c>
      <c r="K1110" s="6">
        <f t="shared" si="52"/>
        <v>9</v>
      </c>
      <c r="L1110" s="6" t="str">
        <f t="shared" si="53"/>
        <v>SEPTIEMBRE</v>
      </c>
    </row>
    <row r="1111" spans="1:12" x14ac:dyDescent="0.25">
      <c r="A1111" s="5">
        <f t="shared" si="51"/>
        <v>2025</v>
      </c>
      <c r="B1111" s="18" t="s">
        <v>1179</v>
      </c>
      <c r="C1111" s="18" t="s">
        <v>595</v>
      </c>
      <c r="D1111" s="12">
        <v>6272</v>
      </c>
      <c r="E1111" s="17">
        <v>4304615</v>
      </c>
      <c r="F1111" s="12" t="s">
        <v>354</v>
      </c>
      <c r="G1111" s="14">
        <v>1</v>
      </c>
      <c r="H1111" s="24">
        <v>14500</v>
      </c>
      <c r="I1111" s="12" t="s">
        <v>712</v>
      </c>
      <c r="J1111" s="6" t="s">
        <v>608</v>
      </c>
      <c r="K1111" s="6">
        <f t="shared" si="52"/>
        <v>9</v>
      </c>
      <c r="L1111" s="6" t="str">
        <f t="shared" si="53"/>
        <v>SEPTIEMBRE</v>
      </c>
    </row>
    <row r="1112" spans="1:12" x14ac:dyDescent="0.25">
      <c r="A1112" s="5">
        <f t="shared" si="51"/>
        <v>2025</v>
      </c>
      <c r="B1112" s="18" t="s">
        <v>1179</v>
      </c>
      <c r="C1112" s="18" t="s">
        <v>595</v>
      </c>
      <c r="D1112" s="12">
        <v>6272</v>
      </c>
      <c r="E1112" s="17" t="s">
        <v>413</v>
      </c>
      <c r="F1112" s="12" t="s">
        <v>414</v>
      </c>
      <c r="G1112" s="14">
        <v>1</v>
      </c>
      <c r="H1112" s="24">
        <v>85000</v>
      </c>
      <c r="I1112" s="12" t="s">
        <v>712</v>
      </c>
      <c r="J1112" s="6" t="s">
        <v>608</v>
      </c>
      <c r="K1112" s="6">
        <f t="shared" si="52"/>
        <v>9</v>
      </c>
      <c r="L1112" s="6" t="str">
        <f t="shared" si="53"/>
        <v>SEPTIEMBRE</v>
      </c>
    </row>
    <row r="1113" spans="1:12" x14ac:dyDescent="0.25">
      <c r="A1113" s="5">
        <f t="shared" si="51"/>
        <v>2025</v>
      </c>
      <c r="B1113" s="18" t="s">
        <v>1179</v>
      </c>
      <c r="C1113" s="18" t="s">
        <v>595</v>
      </c>
      <c r="D1113" s="12">
        <v>6272</v>
      </c>
      <c r="E1113" s="17" t="s">
        <v>293</v>
      </c>
      <c r="F1113" s="12" t="s">
        <v>294</v>
      </c>
      <c r="G1113" s="14">
        <v>1</v>
      </c>
      <c r="H1113" s="24">
        <v>421000</v>
      </c>
      <c r="I1113" s="12" t="s">
        <v>712</v>
      </c>
      <c r="J1113" s="6" t="s">
        <v>608</v>
      </c>
      <c r="K1113" s="6">
        <f t="shared" si="52"/>
        <v>9</v>
      </c>
      <c r="L1113" s="6" t="str">
        <f t="shared" si="53"/>
        <v>SEPTIEMBRE</v>
      </c>
    </row>
    <row r="1114" spans="1:12" x14ac:dyDescent="0.25">
      <c r="A1114" s="5">
        <f t="shared" si="51"/>
        <v>2025</v>
      </c>
      <c r="B1114" s="18" t="s">
        <v>1179</v>
      </c>
      <c r="C1114" s="18" t="s">
        <v>595</v>
      </c>
      <c r="D1114" s="12">
        <v>6272</v>
      </c>
      <c r="E1114" s="17" t="s">
        <v>266</v>
      </c>
      <c r="F1114" s="12" t="s">
        <v>267</v>
      </c>
      <c r="G1114" s="14">
        <v>1</v>
      </c>
      <c r="H1114" s="24">
        <v>280000</v>
      </c>
      <c r="I1114" s="12" t="s">
        <v>712</v>
      </c>
      <c r="J1114" s="6" t="s">
        <v>608</v>
      </c>
      <c r="K1114" s="6">
        <f t="shared" si="52"/>
        <v>9</v>
      </c>
      <c r="L1114" s="6" t="str">
        <f t="shared" si="53"/>
        <v>SEPTIEMBRE</v>
      </c>
    </row>
    <row r="1115" spans="1:12" x14ac:dyDescent="0.25">
      <c r="A1115" s="5">
        <f t="shared" si="51"/>
        <v>2025</v>
      </c>
      <c r="B1115" s="18" t="s">
        <v>1179</v>
      </c>
      <c r="C1115" s="18" t="s">
        <v>595</v>
      </c>
      <c r="D1115" s="12">
        <v>6272</v>
      </c>
      <c r="E1115" s="17" t="s">
        <v>299</v>
      </c>
      <c r="F1115" s="12" t="s">
        <v>300</v>
      </c>
      <c r="G1115" s="14">
        <v>1</v>
      </c>
      <c r="H1115" s="24">
        <v>65000</v>
      </c>
      <c r="I1115" s="12" t="s">
        <v>712</v>
      </c>
      <c r="J1115" s="6" t="s">
        <v>608</v>
      </c>
      <c r="K1115" s="6">
        <f t="shared" si="52"/>
        <v>9</v>
      </c>
      <c r="L1115" s="6" t="str">
        <f t="shared" si="53"/>
        <v>SEPTIEMBRE</v>
      </c>
    </row>
    <row r="1116" spans="1:12" x14ac:dyDescent="0.25">
      <c r="A1116" s="5">
        <f t="shared" si="51"/>
        <v>2025</v>
      </c>
      <c r="B1116" s="18" t="s">
        <v>1113</v>
      </c>
      <c r="C1116" s="18" t="s">
        <v>595</v>
      </c>
      <c r="D1116" s="12">
        <v>6192</v>
      </c>
      <c r="E1116" s="17" t="s">
        <v>429</v>
      </c>
      <c r="F1116" s="12" t="s">
        <v>430</v>
      </c>
      <c r="G1116" s="14">
        <v>1</v>
      </c>
      <c r="H1116" s="24">
        <v>90000</v>
      </c>
      <c r="I1116" s="12" t="s">
        <v>712</v>
      </c>
      <c r="J1116" s="6" t="s">
        <v>608</v>
      </c>
      <c r="K1116" s="6">
        <f t="shared" si="52"/>
        <v>7</v>
      </c>
      <c r="L1116" s="6" t="str">
        <f t="shared" si="53"/>
        <v>JULIO</v>
      </c>
    </row>
    <row r="1117" spans="1:12" x14ac:dyDescent="0.25">
      <c r="A1117" s="5">
        <f t="shared" si="51"/>
        <v>2025</v>
      </c>
      <c r="B1117" s="18" t="s">
        <v>1113</v>
      </c>
      <c r="C1117" s="18" t="s">
        <v>595</v>
      </c>
      <c r="D1117" s="12">
        <v>6192</v>
      </c>
      <c r="E1117" s="17" t="s">
        <v>348</v>
      </c>
      <c r="F1117" s="12" t="s">
        <v>349</v>
      </c>
      <c r="G1117" s="14">
        <v>2</v>
      </c>
      <c r="H1117" s="24">
        <v>2400</v>
      </c>
      <c r="I1117" s="12" t="s">
        <v>712</v>
      </c>
      <c r="J1117" s="6" t="s">
        <v>608</v>
      </c>
      <c r="K1117" s="6">
        <f t="shared" si="52"/>
        <v>7</v>
      </c>
      <c r="L1117" s="6" t="str">
        <f t="shared" si="53"/>
        <v>JULIO</v>
      </c>
    </row>
    <row r="1118" spans="1:12" x14ac:dyDescent="0.25">
      <c r="A1118" s="5">
        <f t="shared" si="51"/>
        <v>2025</v>
      </c>
      <c r="B1118" s="18" t="s">
        <v>1030</v>
      </c>
      <c r="C1118" s="18" t="s">
        <v>595</v>
      </c>
      <c r="D1118" s="12">
        <v>6095</v>
      </c>
      <c r="E1118" s="17">
        <v>4301851</v>
      </c>
      <c r="F1118" s="12" t="s">
        <v>185</v>
      </c>
      <c r="G1118" s="14">
        <v>2</v>
      </c>
      <c r="H1118" s="24">
        <v>210000</v>
      </c>
      <c r="I1118" s="12" t="s">
        <v>712</v>
      </c>
      <c r="J1118" s="6" t="s">
        <v>608</v>
      </c>
      <c r="K1118" s="6">
        <f t="shared" si="52"/>
        <v>6</v>
      </c>
      <c r="L1118" s="6" t="str">
        <f t="shared" si="53"/>
        <v>JUNIO</v>
      </c>
    </row>
    <row r="1119" spans="1:12" x14ac:dyDescent="0.25">
      <c r="A1119" s="5">
        <f t="shared" si="51"/>
        <v>2025</v>
      </c>
      <c r="B1119" s="18" t="s">
        <v>1030</v>
      </c>
      <c r="C1119" s="18" t="s">
        <v>595</v>
      </c>
      <c r="D1119" s="12">
        <v>6095</v>
      </c>
      <c r="E1119" s="17">
        <v>4300902</v>
      </c>
      <c r="F1119" s="12" t="s">
        <v>978</v>
      </c>
      <c r="G1119" s="14">
        <v>1</v>
      </c>
      <c r="H1119" s="24">
        <v>300000</v>
      </c>
      <c r="I1119" s="12" t="s">
        <v>712</v>
      </c>
      <c r="J1119" s="6" t="s">
        <v>608</v>
      </c>
      <c r="K1119" s="6">
        <f t="shared" si="52"/>
        <v>6</v>
      </c>
      <c r="L1119" s="6" t="str">
        <f t="shared" si="53"/>
        <v>JUNIO</v>
      </c>
    </row>
    <row r="1120" spans="1:12" x14ac:dyDescent="0.25">
      <c r="A1120" s="5">
        <f t="shared" si="51"/>
        <v>2025</v>
      </c>
      <c r="B1120" s="18" t="s">
        <v>1284</v>
      </c>
      <c r="C1120" s="18" t="s">
        <v>595</v>
      </c>
      <c r="D1120" s="12">
        <v>6372</v>
      </c>
      <c r="E1120" s="17" t="s">
        <v>361</v>
      </c>
      <c r="F1120" s="12" t="s">
        <v>362</v>
      </c>
      <c r="G1120" s="14">
        <v>1</v>
      </c>
      <c r="H1120" s="24">
        <v>325000</v>
      </c>
      <c r="I1120" s="12" t="s">
        <v>634</v>
      </c>
      <c r="J1120" s="6" t="s">
        <v>614</v>
      </c>
      <c r="K1120" s="6">
        <f t="shared" si="52"/>
        <v>11</v>
      </c>
      <c r="L1120" s="6" t="str">
        <f t="shared" si="53"/>
        <v>NOVIEMBRE</v>
      </c>
    </row>
    <row r="1121" spans="1:12" x14ac:dyDescent="0.25">
      <c r="A1121" s="5">
        <f t="shared" si="51"/>
        <v>2025</v>
      </c>
      <c r="B1121" s="18" t="s">
        <v>896</v>
      </c>
      <c r="C1121" s="18" t="s">
        <v>595</v>
      </c>
      <c r="D1121" s="12">
        <v>5766</v>
      </c>
      <c r="E1121" s="17" t="s">
        <v>600</v>
      </c>
      <c r="F1121" s="12" t="s">
        <v>604</v>
      </c>
      <c r="G1121" s="14">
        <v>2</v>
      </c>
      <c r="H1121" s="24">
        <v>160330</v>
      </c>
      <c r="I1121" s="12" t="s">
        <v>712</v>
      </c>
      <c r="J1121" s="6" t="s">
        <v>608</v>
      </c>
      <c r="K1121" s="6">
        <f t="shared" si="52"/>
        <v>1</v>
      </c>
      <c r="L1121" s="6" t="str">
        <f t="shared" si="53"/>
        <v>ENERO</v>
      </c>
    </row>
    <row r="1122" spans="1:12" x14ac:dyDescent="0.25">
      <c r="A1122" s="5">
        <f t="shared" si="51"/>
        <v>2025</v>
      </c>
      <c r="B1122" s="18" t="s">
        <v>1105</v>
      </c>
      <c r="C1122" s="18" t="s">
        <v>595</v>
      </c>
      <c r="D1122" s="12">
        <v>6186</v>
      </c>
      <c r="E1122" s="17" t="s">
        <v>333</v>
      </c>
      <c r="F1122" s="12" t="s">
        <v>334</v>
      </c>
      <c r="G1122" s="14">
        <v>4</v>
      </c>
      <c r="H1122" s="24">
        <v>1920000</v>
      </c>
      <c r="I1122" s="12" t="s">
        <v>712</v>
      </c>
      <c r="J1122" s="6" t="s">
        <v>608</v>
      </c>
      <c r="K1122" s="6">
        <f t="shared" si="52"/>
        <v>7</v>
      </c>
      <c r="L1122" s="6" t="str">
        <f t="shared" si="53"/>
        <v>JULIO</v>
      </c>
    </row>
    <row r="1123" spans="1:12" x14ac:dyDescent="0.25">
      <c r="A1123" s="5">
        <f t="shared" si="51"/>
        <v>2025</v>
      </c>
      <c r="B1123" s="18" t="s">
        <v>1105</v>
      </c>
      <c r="C1123" s="18" t="s">
        <v>595</v>
      </c>
      <c r="D1123" s="12">
        <v>6186</v>
      </c>
      <c r="E1123" s="17" t="s">
        <v>554</v>
      </c>
      <c r="F1123" s="12" t="s">
        <v>567</v>
      </c>
      <c r="G1123" s="14">
        <v>1</v>
      </c>
      <c r="H1123" s="24">
        <v>1085000</v>
      </c>
      <c r="I1123" s="12" t="s">
        <v>712</v>
      </c>
      <c r="J1123" s="6" t="s">
        <v>608</v>
      </c>
      <c r="K1123" s="6">
        <f t="shared" si="52"/>
        <v>7</v>
      </c>
      <c r="L1123" s="6" t="str">
        <f t="shared" si="53"/>
        <v>JULIO</v>
      </c>
    </row>
    <row r="1124" spans="1:12" x14ac:dyDescent="0.25">
      <c r="A1124" s="5">
        <f t="shared" si="51"/>
        <v>2025</v>
      </c>
      <c r="B1124" s="18" t="s">
        <v>1105</v>
      </c>
      <c r="C1124" s="18" t="s">
        <v>595</v>
      </c>
      <c r="D1124" s="12">
        <v>6186</v>
      </c>
      <c r="E1124" s="17" t="s">
        <v>432</v>
      </c>
      <c r="F1124" s="12" t="s">
        <v>433</v>
      </c>
      <c r="G1124" s="14">
        <v>1</v>
      </c>
      <c r="H1124" s="24">
        <v>63000</v>
      </c>
      <c r="I1124" s="12" t="s">
        <v>712</v>
      </c>
      <c r="J1124" s="6" t="s">
        <v>608</v>
      </c>
      <c r="K1124" s="6">
        <f t="shared" si="52"/>
        <v>7</v>
      </c>
      <c r="L1124" s="6" t="str">
        <f t="shared" si="53"/>
        <v>JULIO</v>
      </c>
    </row>
    <row r="1125" spans="1:12" x14ac:dyDescent="0.25">
      <c r="A1125" s="5">
        <f t="shared" si="51"/>
        <v>2025</v>
      </c>
      <c r="B1125" s="18" t="s">
        <v>1105</v>
      </c>
      <c r="C1125" s="18" t="s">
        <v>595</v>
      </c>
      <c r="D1125" s="12">
        <v>6186</v>
      </c>
      <c r="E1125" s="17" t="s">
        <v>56</v>
      </c>
      <c r="F1125" s="12" t="s">
        <v>57</v>
      </c>
      <c r="G1125" s="14">
        <v>1</v>
      </c>
      <c r="H1125" s="24">
        <v>23000</v>
      </c>
      <c r="I1125" s="12" t="s">
        <v>712</v>
      </c>
      <c r="J1125" s="6" t="s">
        <v>608</v>
      </c>
      <c r="K1125" s="6">
        <f t="shared" si="52"/>
        <v>7</v>
      </c>
      <c r="L1125" s="6" t="str">
        <f t="shared" si="53"/>
        <v>JULIO</v>
      </c>
    </row>
    <row r="1126" spans="1:12" x14ac:dyDescent="0.25">
      <c r="A1126" s="5">
        <f t="shared" si="51"/>
        <v>2025</v>
      </c>
      <c r="B1126" s="18" t="s">
        <v>1105</v>
      </c>
      <c r="C1126" s="18" t="s">
        <v>595</v>
      </c>
      <c r="D1126" s="12">
        <v>6186</v>
      </c>
      <c r="E1126" s="17" t="s">
        <v>728</v>
      </c>
      <c r="F1126" s="12" t="s">
        <v>606</v>
      </c>
      <c r="G1126" s="14">
        <v>1</v>
      </c>
      <c r="H1126" s="24">
        <v>232000</v>
      </c>
      <c r="I1126" s="12" t="s">
        <v>712</v>
      </c>
      <c r="J1126" s="6" t="s">
        <v>608</v>
      </c>
      <c r="K1126" s="6">
        <f t="shared" si="52"/>
        <v>7</v>
      </c>
      <c r="L1126" s="6" t="str">
        <f t="shared" si="53"/>
        <v>JULIO</v>
      </c>
    </row>
    <row r="1127" spans="1:12" x14ac:dyDescent="0.25">
      <c r="A1127" s="5">
        <f t="shared" si="51"/>
        <v>2025</v>
      </c>
      <c r="B1127" s="18" t="s">
        <v>1105</v>
      </c>
      <c r="C1127" s="18" t="s">
        <v>595</v>
      </c>
      <c r="D1127" s="12">
        <v>6186</v>
      </c>
      <c r="E1127" s="17" t="s">
        <v>598</v>
      </c>
      <c r="F1127" s="12" t="s">
        <v>602</v>
      </c>
      <c r="G1127" s="14">
        <v>2</v>
      </c>
      <c r="H1127" s="24">
        <v>1018000</v>
      </c>
      <c r="I1127" s="12" t="s">
        <v>712</v>
      </c>
      <c r="J1127" s="6" t="s">
        <v>608</v>
      </c>
      <c r="K1127" s="6">
        <f t="shared" si="52"/>
        <v>7</v>
      </c>
      <c r="L1127" s="6" t="str">
        <f t="shared" si="53"/>
        <v>JULIO</v>
      </c>
    </row>
    <row r="1128" spans="1:12" x14ac:dyDescent="0.25">
      <c r="A1128" s="5">
        <f t="shared" si="51"/>
        <v>2025</v>
      </c>
      <c r="B1128" s="18" t="s">
        <v>1105</v>
      </c>
      <c r="C1128" s="18" t="s">
        <v>595</v>
      </c>
      <c r="D1128" s="12">
        <v>6186</v>
      </c>
      <c r="E1128" s="17" t="s">
        <v>64</v>
      </c>
      <c r="F1128" s="12" t="s">
        <v>65</v>
      </c>
      <c r="G1128" s="14">
        <v>1</v>
      </c>
      <c r="H1128" s="24">
        <v>350000</v>
      </c>
      <c r="I1128" s="12" t="s">
        <v>712</v>
      </c>
      <c r="J1128" s="6" t="s">
        <v>608</v>
      </c>
      <c r="K1128" s="6">
        <f t="shared" si="52"/>
        <v>7</v>
      </c>
      <c r="L1128" s="6" t="str">
        <f t="shared" si="53"/>
        <v>JULIO</v>
      </c>
    </row>
    <row r="1129" spans="1:12" x14ac:dyDescent="0.25">
      <c r="A1129" s="5">
        <f t="shared" si="51"/>
        <v>2025</v>
      </c>
      <c r="B1129" s="18" t="s">
        <v>1105</v>
      </c>
      <c r="C1129" s="18" t="s">
        <v>595</v>
      </c>
      <c r="D1129" s="12">
        <v>6186</v>
      </c>
      <c r="E1129" s="17" t="s">
        <v>496</v>
      </c>
      <c r="F1129" s="12" t="s">
        <v>497</v>
      </c>
      <c r="G1129" s="14">
        <v>1</v>
      </c>
      <c r="H1129" s="24">
        <v>304000</v>
      </c>
      <c r="I1129" s="12" t="s">
        <v>712</v>
      </c>
      <c r="J1129" s="6" t="s">
        <v>608</v>
      </c>
      <c r="K1129" s="6">
        <f t="shared" si="52"/>
        <v>7</v>
      </c>
      <c r="L1129" s="6" t="str">
        <f t="shared" si="53"/>
        <v>JULIO</v>
      </c>
    </row>
    <row r="1130" spans="1:12" x14ac:dyDescent="0.25">
      <c r="A1130" s="5">
        <f t="shared" si="51"/>
        <v>2025</v>
      </c>
      <c r="B1130" s="18" t="s">
        <v>1105</v>
      </c>
      <c r="C1130" s="18" t="s">
        <v>595</v>
      </c>
      <c r="D1130" s="12">
        <v>6186</v>
      </c>
      <c r="E1130" s="17" t="s">
        <v>81</v>
      </c>
      <c r="F1130" s="12" t="s">
        <v>82</v>
      </c>
      <c r="G1130" s="14">
        <v>1</v>
      </c>
      <c r="H1130" s="24">
        <v>47000</v>
      </c>
      <c r="I1130" s="12" t="s">
        <v>712</v>
      </c>
      <c r="J1130" s="6" t="s">
        <v>608</v>
      </c>
      <c r="K1130" s="6">
        <f t="shared" si="52"/>
        <v>7</v>
      </c>
      <c r="L1130" s="6" t="str">
        <f t="shared" si="53"/>
        <v>JULIO</v>
      </c>
    </row>
    <row r="1131" spans="1:12" x14ac:dyDescent="0.25">
      <c r="A1131" s="5">
        <f t="shared" si="51"/>
        <v>2025</v>
      </c>
      <c r="B1131" s="18" t="s">
        <v>1222</v>
      </c>
      <c r="C1131" s="18" t="s">
        <v>595</v>
      </c>
      <c r="D1131" s="12">
        <v>6321</v>
      </c>
      <c r="E1131" s="17" t="s">
        <v>419</v>
      </c>
      <c r="F1131" s="12" t="s">
        <v>420</v>
      </c>
      <c r="G1131" s="14">
        <v>1</v>
      </c>
      <c r="H1131" s="24">
        <v>215000</v>
      </c>
      <c r="I1131" s="12" t="s">
        <v>712</v>
      </c>
      <c r="J1131" s="6" t="s">
        <v>608</v>
      </c>
      <c r="K1131" s="6">
        <f t="shared" si="52"/>
        <v>10</v>
      </c>
      <c r="L1131" s="6" t="str">
        <f t="shared" si="53"/>
        <v>OCTUBRE</v>
      </c>
    </row>
    <row r="1132" spans="1:12" x14ac:dyDescent="0.25">
      <c r="A1132" s="5">
        <f t="shared" si="51"/>
        <v>2025</v>
      </c>
      <c r="B1132" s="18" t="s">
        <v>1149</v>
      </c>
      <c r="C1132" s="18" t="s">
        <v>595</v>
      </c>
      <c r="D1132" s="12">
        <v>6231</v>
      </c>
      <c r="E1132" s="17" t="s">
        <v>357</v>
      </c>
      <c r="F1132" s="12" t="s">
        <v>358</v>
      </c>
      <c r="G1132" s="14">
        <v>1</v>
      </c>
      <c r="H1132" s="24">
        <v>99000</v>
      </c>
      <c r="I1132" s="12" t="s">
        <v>712</v>
      </c>
      <c r="J1132" s="6" t="s">
        <v>608</v>
      </c>
      <c r="K1132" s="6">
        <f t="shared" si="52"/>
        <v>8</v>
      </c>
      <c r="L1132" s="6" t="str">
        <f t="shared" si="53"/>
        <v>AGOSTO</v>
      </c>
    </row>
    <row r="1133" spans="1:12" x14ac:dyDescent="0.25">
      <c r="A1133" s="5">
        <f t="shared" si="51"/>
        <v>2025</v>
      </c>
      <c r="B1133" s="18" t="s">
        <v>1149</v>
      </c>
      <c r="C1133" s="18" t="s">
        <v>595</v>
      </c>
      <c r="D1133" s="12">
        <v>6231</v>
      </c>
      <c r="E1133" s="17">
        <v>23519651</v>
      </c>
      <c r="F1133" s="12" t="s">
        <v>667</v>
      </c>
      <c r="G1133" s="14">
        <v>1</v>
      </c>
      <c r="H1133" s="24">
        <v>290000</v>
      </c>
      <c r="I1133" s="12" t="s">
        <v>712</v>
      </c>
      <c r="J1133" s="6" t="s">
        <v>608</v>
      </c>
      <c r="K1133" s="6">
        <f t="shared" si="52"/>
        <v>8</v>
      </c>
      <c r="L1133" s="6" t="str">
        <f t="shared" si="53"/>
        <v>AGOSTO</v>
      </c>
    </row>
    <row r="1134" spans="1:12" x14ac:dyDescent="0.25">
      <c r="A1134" s="5">
        <f t="shared" si="51"/>
        <v>2025</v>
      </c>
      <c r="B1134" s="18" t="s">
        <v>1116</v>
      </c>
      <c r="C1134" s="18" t="s">
        <v>595</v>
      </c>
      <c r="D1134" s="12">
        <v>6196</v>
      </c>
      <c r="E1134" s="17" t="s">
        <v>554</v>
      </c>
      <c r="F1134" s="12" t="s">
        <v>567</v>
      </c>
      <c r="G1134" s="14">
        <v>1</v>
      </c>
      <c r="H1134" s="24">
        <v>1085000</v>
      </c>
      <c r="I1134" s="12" t="s">
        <v>712</v>
      </c>
      <c r="J1134" s="6" t="s">
        <v>608</v>
      </c>
      <c r="K1134" s="6">
        <f t="shared" si="52"/>
        <v>8</v>
      </c>
      <c r="L1134" s="6" t="str">
        <f t="shared" si="53"/>
        <v>AGOSTO</v>
      </c>
    </row>
    <row r="1135" spans="1:12" x14ac:dyDescent="0.25">
      <c r="A1135" s="5">
        <f t="shared" si="51"/>
        <v>2025</v>
      </c>
      <c r="B1135" s="18" t="s">
        <v>1006</v>
      </c>
      <c r="C1135" s="18" t="s">
        <v>595</v>
      </c>
      <c r="D1135" s="12">
        <v>6053</v>
      </c>
      <c r="E1135" s="17" t="s">
        <v>56</v>
      </c>
      <c r="F1135" s="12" t="s">
        <v>57</v>
      </c>
      <c r="G1135" s="14">
        <v>1</v>
      </c>
      <c r="H1135" s="24">
        <v>22049</v>
      </c>
      <c r="I1135" s="12" t="s">
        <v>712</v>
      </c>
      <c r="J1135" s="6" t="s">
        <v>608</v>
      </c>
      <c r="K1135" s="6">
        <f t="shared" si="52"/>
        <v>5</v>
      </c>
      <c r="L1135" s="6" t="str">
        <f t="shared" si="53"/>
        <v>MAYO</v>
      </c>
    </row>
    <row r="1136" spans="1:12" x14ac:dyDescent="0.25">
      <c r="A1136" s="5">
        <f t="shared" si="51"/>
        <v>2025</v>
      </c>
      <c r="B1136" s="18" t="s">
        <v>1135</v>
      </c>
      <c r="C1136" s="18" t="s">
        <v>595</v>
      </c>
      <c r="D1136" s="12">
        <v>6217</v>
      </c>
      <c r="E1136" s="17" t="s">
        <v>649</v>
      </c>
      <c r="F1136" s="12" t="s">
        <v>491</v>
      </c>
      <c r="G1136" s="14">
        <v>2</v>
      </c>
      <c r="H1136" s="24">
        <v>34000</v>
      </c>
      <c r="I1136" s="12" t="s">
        <v>712</v>
      </c>
      <c r="J1136" s="6" t="s">
        <v>608</v>
      </c>
      <c r="K1136" s="6">
        <f t="shared" si="52"/>
        <v>8</v>
      </c>
      <c r="L1136" s="6" t="str">
        <f t="shared" si="53"/>
        <v>AGOSTO</v>
      </c>
    </row>
    <row r="1137" spans="1:12" x14ac:dyDescent="0.25">
      <c r="A1137" s="5">
        <f t="shared" si="51"/>
        <v>2025</v>
      </c>
      <c r="B1137" s="18" t="s">
        <v>1135</v>
      </c>
      <c r="C1137" s="18" t="s">
        <v>595</v>
      </c>
      <c r="D1137" s="12">
        <v>6217</v>
      </c>
      <c r="E1137" s="17">
        <v>84006</v>
      </c>
      <c r="F1137" s="12" t="s">
        <v>190</v>
      </c>
      <c r="G1137" s="14">
        <v>1</v>
      </c>
      <c r="H1137" s="24">
        <v>20000</v>
      </c>
      <c r="I1137" s="12" t="s">
        <v>712</v>
      </c>
      <c r="J1137" s="6" t="s">
        <v>608</v>
      </c>
      <c r="K1137" s="6">
        <f t="shared" si="52"/>
        <v>8</v>
      </c>
      <c r="L1137" s="6" t="str">
        <f t="shared" si="53"/>
        <v>AGOSTO</v>
      </c>
    </row>
    <row r="1138" spans="1:12" x14ac:dyDescent="0.25">
      <c r="A1138" s="5">
        <f t="shared" si="51"/>
        <v>2025</v>
      </c>
      <c r="B1138" s="18" t="s">
        <v>1135</v>
      </c>
      <c r="C1138" s="18" t="s">
        <v>595</v>
      </c>
      <c r="D1138" s="12">
        <v>6217</v>
      </c>
      <c r="E1138" s="17" t="s">
        <v>95</v>
      </c>
      <c r="F1138" s="12" t="s">
        <v>96</v>
      </c>
      <c r="G1138" s="14">
        <v>1</v>
      </c>
      <c r="H1138" s="24">
        <v>277163</v>
      </c>
      <c r="I1138" s="12" t="s">
        <v>712</v>
      </c>
      <c r="J1138" s="6" t="s">
        <v>608</v>
      </c>
      <c r="K1138" s="6">
        <f t="shared" si="52"/>
        <v>8</v>
      </c>
      <c r="L1138" s="6" t="str">
        <f t="shared" si="53"/>
        <v>AGOSTO</v>
      </c>
    </row>
    <row r="1139" spans="1:12" x14ac:dyDescent="0.25">
      <c r="A1139" s="5">
        <f t="shared" si="51"/>
        <v>2025</v>
      </c>
      <c r="B1139" s="18" t="s">
        <v>1135</v>
      </c>
      <c r="C1139" s="18" t="s">
        <v>595</v>
      </c>
      <c r="D1139" s="12">
        <v>6217</v>
      </c>
      <c r="E1139" s="17" t="s">
        <v>211</v>
      </c>
      <c r="F1139" s="12" t="s">
        <v>212</v>
      </c>
      <c r="G1139" s="14">
        <v>1</v>
      </c>
      <c r="H1139" s="24">
        <v>155000</v>
      </c>
      <c r="I1139" s="12" t="s">
        <v>712</v>
      </c>
      <c r="J1139" s="6" t="s">
        <v>608</v>
      </c>
      <c r="K1139" s="6">
        <f t="shared" si="52"/>
        <v>8</v>
      </c>
      <c r="L1139" s="6" t="str">
        <f t="shared" si="53"/>
        <v>AGOSTO</v>
      </c>
    </row>
    <row r="1140" spans="1:12" x14ac:dyDescent="0.25">
      <c r="A1140" s="5">
        <f t="shared" si="51"/>
        <v>2025</v>
      </c>
      <c r="B1140" s="18" t="s">
        <v>1291</v>
      </c>
      <c r="C1140" s="18" t="s">
        <v>595</v>
      </c>
      <c r="D1140" s="12">
        <v>6386</v>
      </c>
      <c r="E1140" s="17" t="s">
        <v>361</v>
      </c>
      <c r="F1140" s="12" t="s">
        <v>362</v>
      </c>
      <c r="G1140" s="14">
        <v>1</v>
      </c>
      <c r="H1140" s="24">
        <v>325000</v>
      </c>
      <c r="I1140" s="12" t="s">
        <v>634</v>
      </c>
      <c r="J1140" s="6" t="s">
        <v>614</v>
      </c>
      <c r="K1140" s="6">
        <f t="shared" si="52"/>
        <v>12</v>
      </c>
      <c r="L1140" s="6" t="str">
        <f t="shared" si="53"/>
        <v>DICIEMBRE</v>
      </c>
    </row>
    <row r="1141" spans="1:12" x14ac:dyDescent="0.25">
      <c r="A1141" s="5">
        <f t="shared" ref="A1141:A1204" si="54">+YEAR(B1141)</f>
        <v>2025</v>
      </c>
      <c r="B1141" s="18" t="s">
        <v>1083</v>
      </c>
      <c r="C1141" s="18" t="s">
        <v>595</v>
      </c>
      <c r="D1141" s="12">
        <v>6163</v>
      </c>
      <c r="E1141" s="17">
        <v>58</v>
      </c>
      <c r="F1141" s="12" t="s">
        <v>574</v>
      </c>
      <c r="G1141" s="14">
        <v>1</v>
      </c>
      <c r="H1141" s="24">
        <v>66000</v>
      </c>
      <c r="I1141" s="12" t="s">
        <v>712</v>
      </c>
      <c r="J1141" s="6" t="s">
        <v>608</v>
      </c>
      <c r="K1141" s="6">
        <f t="shared" ref="K1141:K1204" si="55">+MONTH(B1141)</f>
        <v>7</v>
      </c>
      <c r="L1141" s="6" t="str">
        <f t="shared" si="53"/>
        <v>JULIO</v>
      </c>
    </row>
    <row r="1142" spans="1:12" x14ac:dyDescent="0.25">
      <c r="A1142" s="5">
        <f t="shared" si="54"/>
        <v>2025</v>
      </c>
      <c r="B1142" s="18" t="s">
        <v>1083</v>
      </c>
      <c r="C1142" s="18" t="s">
        <v>595</v>
      </c>
      <c r="D1142" s="12">
        <v>6163</v>
      </c>
      <c r="E1142" s="17" t="s">
        <v>432</v>
      </c>
      <c r="F1142" s="12" t="s">
        <v>433</v>
      </c>
      <c r="G1142" s="14">
        <v>1</v>
      </c>
      <c r="H1142" s="24">
        <v>55000</v>
      </c>
      <c r="I1142" s="12" t="s">
        <v>712</v>
      </c>
      <c r="J1142" s="6" t="s">
        <v>608</v>
      </c>
      <c r="K1142" s="6">
        <f t="shared" si="55"/>
        <v>7</v>
      </c>
      <c r="L1142" s="6" t="str">
        <f t="shared" si="53"/>
        <v>JULIO</v>
      </c>
    </row>
    <row r="1143" spans="1:12" x14ac:dyDescent="0.25">
      <c r="A1143" s="5">
        <f t="shared" si="54"/>
        <v>2025</v>
      </c>
      <c r="B1143" s="18" t="s">
        <v>1168</v>
      </c>
      <c r="C1143" s="18" t="s">
        <v>595</v>
      </c>
      <c r="D1143" s="12">
        <v>6250</v>
      </c>
      <c r="E1143" s="17">
        <v>7108</v>
      </c>
      <c r="F1143" s="12" t="s">
        <v>28</v>
      </c>
      <c r="G1143" s="14">
        <v>1</v>
      </c>
      <c r="H1143" s="24">
        <v>134000</v>
      </c>
      <c r="I1143" s="12" t="s">
        <v>712</v>
      </c>
      <c r="J1143" s="6" t="s">
        <v>608</v>
      </c>
      <c r="K1143" s="6">
        <f t="shared" si="55"/>
        <v>9</v>
      </c>
      <c r="L1143" s="6" t="str">
        <f t="shared" si="53"/>
        <v>SEPTIEMBRE</v>
      </c>
    </row>
    <row r="1144" spans="1:12" x14ac:dyDescent="0.25">
      <c r="A1144" s="5">
        <f t="shared" si="54"/>
        <v>2025</v>
      </c>
      <c r="B1144" s="18" t="s">
        <v>1168</v>
      </c>
      <c r="C1144" s="18" t="s">
        <v>595</v>
      </c>
      <c r="D1144" s="12">
        <v>6250</v>
      </c>
      <c r="E1144" s="17" t="s">
        <v>649</v>
      </c>
      <c r="F1144" s="12" t="s">
        <v>491</v>
      </c>
      <c r="G1144" s="14">
        <v>2</v>
      </c>
      <c r="H1144" s="24">
        <v>34000</v>
      </c>
      <c r="I1144" s="12" t="s">
        <v>712</v>
      </c>
      <c r="J1144" s="6" t="s">
        <v>608</v>
      </c>
      <c r="K1144" s="6">
        <f t="shared" si="55"/>
        <v>9</v>
      </c>
      <c r="L1144" s="6" t="str">
        <f t="shared" si="53"/>
        <v>SEPTIEMBRE</v>
      </c>
    </row>
    <row r="1145" spans="1:12" x14ac:dyDescent="0.25">
      <c r="A1145" s="5">
        <f t="shared" si="54"/>
        <v>2025</v>
      </c>
      <c r="B1145" s="18" t="s">
        <v>1168</v>
      </c>
      <c r="C1145" s="18" t="s">
        <v>595</v>
      </c>
      <c r="D1145" s="12">
        <v>6250</v>
      </c>
      <c r="E1145" s="17">
        <v>4304602</v>
      </c>
      <c r="F1145" s="12" t="s">
        <v>502</v>
      </c>
      <c r="G1145" s="14">
        <v>1</v>
      </c>
      <c r="H1145" s="24">
        <v>24000</v>
      </c>
      <c r="I1145" s="12" t="s">
        <v>712</v>
      </c>
      <c r="J1145" s="6" t="s">
        <v>608</v>
      </c>
      <c r="K1145" s="6">
        <f t="shared" si="55"/>
        <v>9</v>
      </c>
      <c r="L1145" s="6" t="str">
        <f t="shared" si="53"/>
        <v>SEPTIEMBRE</v>
      </c>
    </row>
    <row r="1146" spans="1:12" x14ac:dyDescent="0.25">
      <c r="A1146" s="5">
        <f t="shared" si="54"/>
        <v>2025</v>
      </c>
      <c r="B1146" s="18" t="s">
        <v>1176</v>
      </c>
      <c r="C1146" s="18" t="s">
        <v>595</v>
      </c>
      <c r="D1146" s="12">
        <v>6264</v>
      </c>
      <c r="E1146" s="17" t="s">
        <v>649</v>
      </c>
      <c r="F1146" s="12" t="s">
        <v>491</v>
      </c>
      <c r="G1146" s="14">
        <v>2</v>
      </c>
      <c r="H1146" s="24">
        <v>34000</v>
      </c>
      <c r="I1146" s="12" t="s">
        <v>712</v>
      </c>
      <c r="J1146" s="6" t="s">
        <v>608</v>
      </c>
      <c r="K1146" s="6">
        <f t="shared" si="55"/>
        <v>9</v>
      </c>
      <c r="L1146" s="6" t="str">
        <f t="shared" si="53"/>
        <v>SEPTIEMBRE</v>
      </c>
    </row>
    <row r="1147" spans="1:12" x14ac:dyDescent="0.25">
      <c r="A1147" s="5">
        <f t="shared" si="54"/>
        <v>2025</v>
      </c>
      <c r="B1147" s="18" t="s">
        <v>1176</v>
      </c>
      <c r="C1147" s="18" t="s">
        <v>595</v>
      </c>
      <c r="D1147" s="12">
        <v>6264</v>
      </c>
      <c r="E1147" s="17" t="s">
        <v>453</v>
      </c>
      <c r="F1147" s="12" t="s">
        <v>454</v>
      </c>
      <c r="G1147" s="14">
        <v>1</v>
      </c>
      <c r="H1147" s="24">
        <v>335000</v>
      </c>
      <c r="I1147" s="12" t="s">
        <v>712</v>
      </c>
      <c r="J1147" s="6" t="s">
        <v>608</v>
      </c>
      <c r="K1147" s="6">
        <f t="shared" si="55"/>
        <v>9</v>
      </c>
      <c r="L1147" s="6" t="str">
        <f t="shared" si="53"/>
        <v>SEPTIEMBRE</v>
      </c>
    </row>
    <row r="1148" spans="1:12" x14ac:dyDescent="0.25">
      <c r="A1148" s="5">
        <f t="shared" si="54"/>
        <v>2025</v>
      </c>
      <c r="B1148" s="18" t="s">
        <v>1176</v>
      </c>
      <c r="C1148" s="18" t="s">
        <v>595</v>
      </c>
      <c r="D1148" s="12">
        <v>6264</v>
      </c>
      <c r="E1148" s="17" t="s">
        <v>348</v>
      </c>
      <c r="F1148" s="12" t="s">
        <v>349</v>
      </c>
      <c r="G1148" s="14">
        <v>2</v>
      </c>
      <c r="H1148" s="24">
        <v>2400</v>
      </c>
      <c r="I1148" s="12" t="s">
        <v>712</v>
      </c>
      <c r="J1148" s="6" t="s">
        <v>608</v>
      </c>
      <c r="K1148" s="6">
        <f t="shared" si="55"/>
        <v>9</v>
      </c>
      <c r="L1148" s="6" t="str">
        <f t="shared" si="53"/>
        <v>SEPTIEMBRE</v>
      </c>
    </row>
    <row r="1149" spans="1:12" x14ac:dyDescent="0.25">
      <c r="A1149" s="5">
        <f t="shared" si="54"/>
        <v>2025</v>
      </c>
      <c r="B1149" s="18" t="s">
        <v>1176</v>
      </c>
      <c r="C1149" s="18" t="s">
        <v>595</v>
      </c>
      <c r="D1149" s="12">
        <v>6264</v>
      </c>
      <c r="E1149" s="17" t="s">
        <v>56</v>
      </c>
      <c r="F1149" s="12" t="s">
        <v>57</v>
      </c>
      <c r="G1149" s="14">
        <v>1</v>
      </c>
      <c r="H1149" s="24">
        <v>23000</v>
      </c>
      <c r="I1149" s="12" t="s">
        <v>712</v>
      </c>
      <c r="J1149" s="6" t="s">
        <v>608</v>
      </c>
      <c r="K1149" s="6">
        <f t="shared" si="55"/>
        <v>9</v>
      </c>
      <c r="L1149" s="6" t="str">
        <f t="shared" si="53"/>
        <v>SEPTIEMBRE</v>
      </c>
    </row>
    <row r="1150" spans="1:12" x14ac:dyDescent="0.25">
      <c r="A1150" s="5">
        <f t="shared" si="54"/>
        <v>2025</v>
      </c>
      <c r="B1150" s="18" t="s">
        <v>1126</v>
      </c>
      <c r="C1150" s="18" t="s">
        <v>595</v>
      </c>
      <c r="D1150" s="12">
        <v>6204</v>
      </c>
      <c r="E1150" s="17" t="s">
        <v>357</v>
      </c>
      <c r="F1150" s="12" t="s">
        <v>358</v>
      </c>
      <c r="G1150" s="14">
        <v>2</v>
      </c>
      <c r="H1150" s="24">
        <v>198000</v>
      </c>
      <c r="I1150" s="12" t="s">
        <v>712</v>
      </c>
      <c r="J1150" s="6" t="s">
        <v>608</v>
      </c>
      <c r="K1150" s="6">
        <f t="shared" si="55"/>
        <v>8</v>
      </c>
      <c r="L1150" s="6" t="str">
        <f t="shared" si="53"/>
        <v>AGOSTO</v>
      </c>
    </row>
    <row r="1151" spans="1:12" x14ac:dyDescent="0.25">
      <c r="A1151" s="5">
        <f t="shared" si="54"/>
        <v>2025</v>
      </c>
      <c r="B1151" s="18" t="s">
        <v>1126</v>
      </c>
      <c r="C1151" s="18" t="s">
        <v>595</v>
      </c>
      <c r="D1151" s="12">
        <v>6204</v>
      </c>
      <c r="E1151" s="17" t="s">
        <v>348</v>
      </c>
      <c r="F1151" s="12" t="s">
        <v>349</v>
      </c>
      <c r="G1151" s="14">
        <v>2</v>
      </c>
      <c r="H1151" s="24">
        <v>2400</v>
      </c>
      <c r="I1151" s="12" t="s">
        <v>712</v>
      </c>
      <c r="J1151" s="6" t="s">
        <v>608</v>
      </c>
      <c r="K1151" s="6">
        <f t="shared" si="55"/>
        <v>8</v>
      </c>
      <c r="L1151" s="6" t="str">
        <f t="shared" si="53"/>
        <v>AGOSTO</v>
      </c>
    </row>
    <row r="1152" spans="1:12" x14ac:dyDescent="0.25">
      <c r="A1152" s="5">
        <f t="shared" si="54"/>
        <v>2025</v>
      </c>
      <c r="B1152" s="18" t="s">
        <v>1284</v>
      </c>
      <c r="C1152" s="18" t="s">
        <v>595</v>
      </c>
      <c r="D1152" s="12">
        <v>6376</v>
      </c>
      <c r="E1152" s="17" t="s">
        <v>592</v>
      </c>
      <c r="F1152" s="12" t="s">
        <v>394</v>
      </c>
      <c r="G1152" s="14">
        <v>1</v>
      </c>
      <c r="H1152" s="24">
        <v>811440</v>
      </c>
      <c r="I1152" s="12" t="s">
        <v>634</v>
      </c>
      <c r="J1152" s="6" t="s">
        <v>614</v>
      </c>
      <c r="K1152" s="6">
        <f t="shared" si="55"/>
        <v>11</v>
      </c>
      <c r="L1152" s="6" t="str">
        <f t="shared" si="53"/>
        <v>NOVIEMBRE</v>
      </c>
    </row>
    <row r="1153" spans="1:12" x14ac:dyDescent="0.25">
      <c r="A1153" s="5">
        <f t="shared" si="54"/>
        <v>2025</v>
      </c>
      <c r="B1153" s="18" t="s">
        <v>1284</v>
      </c>
      <c r="C1153" s="18" t="s">
        <v>595</v>
      </c>
      <c r="D1153" s="12">
        <v>6376</v>
      </c>
      <c r="E1153" s="17" t="s">
        <v>600</v>
      </c>
      <c r="F1153" s="12" t="s">
        <v>604</v>
      </c>
      <c r="G1153" s="14">
        <v>4</v>
      </c>
      <c r="H1153" s="24">
        <v>304464</v>
      </c>
      <c r="I1153" s="12" t="s">
        <v>634</v>
      </c>
      <c r="J1153" s="6" t="s">
        <v>614</v>
      </c>
      <c r="K1153" s="6">
        <f t="shared" si="55"/>
        <v>11</v>
      </c>
      <c r="L1153" s="6" t="str">
        <f t="shared" si="53"/>
        <v>NOVIEMBRE</v>
      </c>
    </row>
    <row r="1154" spans="1:12" x14ac:dyDescent="0.25">
      <c r="A1154" s="5">
        <f t="shared" si="54"/>
        <v>2025</v>
      </c>
      <c r="B1154" s="18" t="s">
        <v>1306</v>
      </c>
      <c r="C1154" s="18" t="s">
        <v>595</v>
      </c>
      <c r="D1154" s="12">
        <v>6403</v>
      </c>
      <c r="E1154" s="17" t="s">
        <v>249</v>
      </c>
      <c r="F1154" s="12" t="s">
        <v>250</v>
      </c>
      <c r="G1154" s="14">
        <v>2</v>
      </c>
      <c r="H1154" s="24">
        <v>408000</v>
      </c>
      <c r="I1154" s="12" t="s">
        <v>634</v>
      </c>
      <c r="J1154" s="6" t="s">
        <v>614</v>
      </c>
      <c r="K1154" s="6">
        <f t="shared" si="55"/>
        <v>12</v>
      </c>
      <c r="L1154" s="6" t="str">
        <f t="shared" si="53"/>
        <v>DICIEMBRE</v>
      </c>
    </row>
    <row r="1155" spans="1:12" x14ac:dyDescent="0.25">
      <c r="A1155" s="5">
        <f t="shared" si="54"/>
        <v>2025</v>
      </c>
      <c r="B1155" s="18" t="s">
        <v>1306</v>
      </c>
      <c r="C1155" s="18" t="s">
        <v>595</v>
      </c>
      <c r="D1155" s="12">
        <v>6403</v>
      </c>
      <c r="E1155" s="17" t="s">
        <v>432</v>
      </c>
      <c r="F1155" s="12" t="s">
        <v>433</v>
      </c>
      <c r="G1155" s="14">
        <v>3</v>
      </c>
      <c r="H1155" s="24">
        <v>197922</v>
      </c>
      <c r="I1155" s="12" t="s">
        <v>634</v>
      </c>
      <c r="J1155" s="6" t="s">
        <v>614</v>
      </c>
      <c r="K1155" s="6">
        <f t="shared" si="55"/>
        <v>12</v>
      </c>
      <c r="L1155" s="6" t="str">
        <f t="shared" ref="L1155:L1218" si="56">VLOOKUP(K1155,N:O,2,0)</f>
        <v>DICIEMBRE</v>
      </c>
    </row>
    <row r="1156" spans="1:12" x14ac:dyDescent="0.25">
      <c r="A1156" s="5">
        <f t="shared" si="54"/>
        <v>2025</v>
      </c>
      <c r="B1156" s="18" t="s">
        <v>1047</v>
      </c>
      <c r="C1156" s="18" t="s">
        <v>595</v>
      </c>
      <c r="D1156" s="12">
        <v>6108</v>
      </c>
      <c r="E1156" s="17" t="s">
        <v>200</v>
      </c>
      <c r="F1156" s="12" t="s">
        <v>201</v>
      </c>
      <c r="G1156" s="14">
        <v>1</v>
      </c>
      <c r="H1156" s="24">
        <v>152000</v>
      </c>
      <c r="I1156" s="12" t="s">
        <v>712</v>
      </c>
      <c r="J1156" s="6" t="s">
        <v>608</v>
      </c>
      <c r="K1156" s="6">
        <f t="shared" si="55"/>
        <v>6</v>
      </c>
      <c r="L1156" s="6" t="str">
        <f t="shared" si="56"/>
        <v>JUNIO</v>
      </c>
    </row>
    <row r="1157" spans="1:12" x14ac:dyDescent="0.25">
      <c r="A1157" s="5">
        <f t="shared" si="54"/>
        <v>2025</v>
      </c>
      <c r="B1157" s="18" t="s">
        <v>1047</v>
      </c>
      <c r="C1157" s="18" t="s">
        <v>595</v>
      </c>
      <c r="D1157" s="12">
        <v>6108</v>
      </c>
      <c r="E1157" s="17">
        <v>16763</v>
      </c>
      <c r="F1157" s="12" t="s">
        <v>101</v>
      </c>
      <c r="G1157" s="14">
        <v>1</v>
      </c>
      <c r="H1157" s="24">
        <v>2400</v>
      </c>
      <c r="I1157" s="12" t="s">
        <v>712</v>
      </c>
      <c r="J1157" s="6" t="s">
        <v>608</v>
      </c>
      <c r="K1157" s="6">
        <f t="shared" si="55"/>
        <v>6</v>
      </c>
      <c r="L1157" s="6" t="str">
        <f t="shared" si="56"/>
        <v>JUNIO</v>
      </c>
    </row>
    <row r="1158" spans="1:12" x14ac:dyDescent="0.25">
      <c r="A1158" s="5">
        <f t="shared" si="54"/>
        <v>2025</v>
      </c>
      <c r="B1158" s="18" t="s">
        <v>1047</v>
      </c>
      <c r="C1158" s="18" t="s">
        <v>595</v>
      </c>
      <c r="D1158" s="12">
        <v>6108</v>
      </c>
      <c r="E1158" s="17">
        <v>14317</v>
      </c>
      <c r="F1158" s="12" t="s">
        <v>102</v>
      </c>
      <c r="G1158" s="14">
        <v>2</v>
      </c>
      <c r="H1158" s="24">
        <v>4300</v>
      </c>
      <c r="I1158" s="12" t="s">
        <v>712</v>
      </c>
      <c r="J1158" s="6" t="s">
        <v>608</v>
      </c>
      <c r="K1158" s="6">
        <f t="shared" si="55"/>
        <v>6</v>
      </c>
      <c r="L1158" s="6" t="str">
        <f t="shared" si="56"/>
        <v>JUNIO</v>
      </c>
    </row>
    <row r="1159" spans="1:12" x14ac:dyDescent="0.25">
      <c r="A1159" s="5">
        <f t="shared" si="54"/>
        <v>2025</v>
      </c>
      <c r="B1159" s="18" t="s">
        <v>1047</v>
      </c>
      <c r="C1159" s="18" t="s">
        <v>595</v>
      </c>
      <c r="D1159" s="12">
        <v>6108</v>
      </c>
      <c r="E1159" s="17" t="s">
        <v>455</v>
      </c>
      <c r="F1159" s="12" t="s">
        <v>456</v>
      </c>
      <c r="G1159" s="14">
        <v>2</v>
      </c>
      <c r="H1159" s="24">
        <v>370000</v>
      </c>
      <c r="I1159" s="12" t="s">
        <v>712</v>
      </c>
      <c r="J1159" s="6" t="s">
        <v>608</v>
      </c>
      <c r="K1159" s="6">
        <f t="shared" si="55"/>
        <v>6</v>
      </c>
      <c r="L1159" s="6" t="str">
        <f t="shared" si="56"/>
        <v>JUNIO</v>
      </c>
    </row>
    <row r="1160" spans="1:12" x14ac:dyDescent="0.25">
      <c r="A1160" s="5">
        <f t="shared" si="54"/>
        <v>2025</v>
      </c>
      <c r="B1160" s="18" t="s">
        <v>1047</v>
      </c>
      <c r="C1160" s="18" t="s">
        <v>595</v>
      </c>
      <c r="D1160" s="12">
        <v>6108</v>
      </c>
      <c r="E1160" s="17" t="s">
        <v>899</v>
      </c>
      <c r="F1160" s="12" t="s">
        <v>900</v>
      </c>
      <c r="G1160" s="14">
        <v>1</v>
      </c>
      <c r="H1160" s="24">
        <v>43949</v>
      </c>
      <c r="I1160" s="12" t="s">
        <v>712</v>
      </c>
      <c r="J1160" s="6" t="s">
        <v>608</v>
      </c>
      <c r="K1160" s="6">
        <f t="shared" si="55"/>
        <v>6</v>
      </c>
      <c r="L1160" s="6" t="str">
        <f t="shared" si="56"/>
        <v>JUNIO</v>
      </c>
    </row>
    <row r="1161" spans="1:12" x14ac:dyDescent="0.25">
      <c r="A1161" s="5">
        <f t="shared" si="54"/>
        <v>2025</v>
      </c>
      <c r="B1161" s="18" t="s">
        <v>1047</v>
      </c>
      <c r="C1161" s="18" t="s">
        <v>595</v>
      </c>
      <c r="D1161" s="12">
        <v>6108</v>
      </c>
      <c r="E1161" s="17">
        <v>23519651</v>
      </c>
      <c r="F1161" s="12" t="s">
        <v>667</v>
      </c>
      <c r="G1161" s="14">
        <v>1</v>
      </c>
      <c r="H1161" s="24">
        <v>240000</v>
      </c>
      <c r="I1161" s="12" t="s">
        <v>712</v>
      </c>
      <c r="J1161" s="6" t="s">
        <v>608</v>
      </c>
      <c r="K1161" s="6">
        <f t="shared" si="55"/>
        <v>6</v>
      </c>
      <c r="L1161" s="6" t="str">
        <f t="shared" si="56"/>
        <v>JUNIO</v>
      </c>
    </row>
    <row r="1162" spans="1:12" x14ac:dyDescent="0.25">
      <c r="A1162" s="5">
        <f t="shared" si="54"/>
        <v>2025</v>
      </c>
      <c r="B1162" s="18" t="s">
        <v>1065</v>
      </c>
      <c r="C1162" s="18" t="s">
        <v>595</v>
      </c>
      <c r="D1162" s="12">
        <v>6138</v>
      </c>
      <c r="E1162" s="17">
        <v>85994</v>
      </c>
      <c r="F1162" s="12" t="s">
        <v>130</v>
      </c>
      <c r="G1162" s="14">
        <v>1</v>
      </c>
      <c r="H1162" s="24">
        <v>4800</v>
      </c>
      <c r="I1162" s="12" t="s">
        <v>712</v>
      </c>
      <c r="J1162" s="6" t="s">
        <v>608</v>
      </c>
      <c r="K1162" s="6">
        <f t="shared" si="55"/>
        <v>7</v>
      </c>
      <c r="L1162" s="6" t="str">
        <f t="shared" si="56"/>
        <v>JULIO</v>
      </c>
    </row>
    <row r="1163" spans="1:12" x14ac:dyDescent="0.25">
      <c r="A1163" s="5">
        <f t="shared" si="54"/>
        <v>2025</v>
      </c>
      <c r="B1163" s="18" t="s">
        <v>1190</v>
      </c>
      <c r="C1163" s="18" t="s">
        <v>595</v>
      </c>
      <c r="D1163" s="12">
        <v>6303</v>
      </c>
      <c r="E1163" s="17" t="s">
        <v>889</v>
      </c>
      <c r="F1163" s="12" t="s">
        <v>891</v>
      </c>
      <c r="G1163" s="14">
        <v>28</v>
      </c>
      <c r="H1163" s="24">
        <v>812000</v>
      </c>
      <c r="I1163" s="12" t="s">
        <v>712</v>
      </c>
      <c r="J1163" s="6" t="s">
        <v>608</v>
      </c>
      <c r="K1163" s="6">
        <f t="shared" si="55"/>
        <v>10</v>
      </c>
      <c r="L1163" s="6" t="str">
        <f t="shared" si="56"/>
        <v>OCTUBRE</v>
      </c>
    </row>
    <row r="1164" spans="1:12" x14ac:dyDescent="0.25">
      <c r="A1164" s="5">
        <f t="shared" si="54"/>
        <v>2025</v>
      </c>
      <c r="B1164" s="18" t="s">
        <v>1114</v>
      </c>
      <c r="C1164" s="18" t="s">
        <v>595</v>
      </c>
      <c r="D1164" s="12">
        <v>6199</v>
      </c>
      <c r="E1164" s="17" t="s">
        <v>97</v>
      </c>
      <c r="F1164" s="12" t="s">
        <v>98</v>
      </c>
      <c r="G1164" s="14">
        <v>2</v>
      </c>
      <c r="H1164" s="24">
        <v>276000</v>
      </c>
      <c r="I1164" s="12" t="s">
        <v>712</v>
      </c>
      <c r="J1164" s="6" t="s">
        <v>608</v>
      </c>
      <c r="K1164" s="6">
        <f t="shared" si="55"/>
        <v>8</v>
      </c>
      <c r="L1164" s="6" t="str">
        <f t="shared" si="56"/>
        <v>AGOSTO</v>
      </c>
    </row>
    <row r="1165" spans="1:12" x14ac:dyDescent="0.25">
      <c r="A1165" s="5">
        <f t="shared" si="54"/>
        <v>2025</v>
      </c>
      <c r="B1165" s="18" t="s">
        <v>1114</v>
      </c>
      <c r="C1165" s="18" t="s">
        <v>595</v>
      </c>
      <c r="D1165" s="12">
        <v>6199</v>
      </c>
      <c r="E1165" s="17" t="s">
        <v>81</v>
      </c>
      <c r="F1165" s="12" t="s">
        <v>82</v>
      </c>
      <c r="G1165" s="14">
        <v>1</v>
      </c>
      <c r="H1165" s="24">
        <v>47000</v>
      </c>
      <c r="I1165" s="12" t="s">
        <v>712</v>
      </c>
      <c r="J1165" s="6" t="s">
        <v>608</v>
      </c>
      <c r="K1165" s="6">
        <f t="shared" si="55"/>
        <v>8</v>
      </c>
      <c r="L1165" s="6" t="str">
        <f t="shared" si="56"/>
        <v>AGOSTO</v>
      </c>
    </row>
    <row r="1166" spans="1:12" x14ac:dyDescent="0.25">
      <c r="A1166" s="5">
        <f t="shared" si="54"/>
        <v>2025</v>
      </c>
      <c r="B1166" s="18" t="s">
        <v>1114</v>
      </c>
      <c r="C1166" s="18" t="s">
        <v>595</v>
      </c>
      <c r="D1166" s="12">
        <v>6199</v>
      </c>
      <c r="E1166" s="17" t="s">
        <v>99</v>
      </c>
      <c r="F1166" s="12" t="s">
        <v>100</v>
      </c>
      <c r="G1166" s="14">
        <v>1</v>
      </c>
      <c r="H1166" s="24">
        <v>138000</v>
      </c>
      <c r="I1166" s="12" t="s">
        <v>712</v>
      </c>
      <c r="J1166" s="6" t="s">
        <v>608</v>
      </c>
      <c r="K1166" s="6">
        <f t="shared" si="55"/>
        <v>8</v>
      </c>
      <c r="L1166" s="6" t="str">
        <f t="shared" si="56"/>
        <v>AGOSTO</v>
      </c>
    </row>
    <row r="1167" spans="1:12" x14ac:dyDescent="0.25">
      <c r="A1167" s="5">
        <f t="shared" si="54"/>
        <v>2025</v>
      </c>
      <c r="B1167" s="18" t="s">
        <v>1114</v>
      </c>
      <c r="C1167" s="18" t="s">
        <v>595</v>
      </c>
      <c r="D1167" s="12">
        <v>6199</v>
      </c>
      <c r="E1167" s="17" t="s">
        <v>116</v>
      </c>
      <c r="F1167" s="12" t="s">
        <v>117</v>
      </c>
      <c r="G1167" s="14">
        <v>1</v>
      </c>
      <c r="H1167" s="24">
        <v>722000</v>
      </c>
      <c r="I1167" s="12" t="s">
        <v>712</v>
      </c>
      <c r="J1167" s="6" t="s">
        <v>608</v>
      </c>
      <c r="K1167" s="6">
        <f t="shared" si="55"/>
        <v>8</v>
      </c>
      <c r="L1167" s="6" t="str">
        <f t="shared" si="56"/>
        <v>AGOSTO</v>
      </c>
    </row>
    <row r="1168" spans="1:12" x14ac:dyDescent="0.25">
      <c r="A1168" s="5">
        <f t="shared" si="54"/>
        <v>2025</v>
      </c>
      <c r="B1168" s="18" t="s">
        <v>1114</v>
      </c>
      <c r="C1168" s="18" t="s">
        <v>595</v>
      </c>
      <c r="D1168" s="12">
        <v>6199</v>
      </c>
      <c r="E1168" s="17" t="s">
        <v>728</v>
      </c>
      <c r="F1168" s="12" t="s">
        <v>606</v>
      </c>
      <c r="G1168" s="14">
        <v>1</v>
      </c>
      <c r="H1168" s="24">
        <v>232000</v>
      </c>
      <c r="I1168" s="12" t="s">
        <v>712</v>
      </c>
      <c r="J1168" s="6" t="s">
        <v>608</v>
      </c>
      <c r="K1168" s="6">
        <f t="shared" si="55"/>
        <v>8</v>
      </c>
      <c r="L1168" s="6" t="str">
        <f t="shared" si="56"/>
        <v>AGOSTO</v>
      </c>
    </row>
    <row r="1169" spans="1:12" x14ac:dyDescent="0.25">
      <c r="A1169" s="5">
        <f t="shared" si="54"/>
        <v>2025</v>
      </c>
      <c r="B1169" s="18" t="s">
        <v>1209</v>
      </c>
      <c r="C1169" s="18" t="s">
        <v>595</v>
      </c>
      <c r="D1169" s="12">
        <v>6313</v>
      </c>
      <c r="E1169" s="17" t="s">
        <v>419</v>
      </c>
      <c r="F1169" s="12" t="s">
        <v>420</v>
      </c>
      <c r="G1169" s="14">
        <v>2</v>
      </c>
      <c r="H1169" s="24">
        <v>430000</v>
      </c>
      <c r="I1169" s="12" t="s">
        <v>712</v>
      </c>
      <c r="J1169" s="6" t="s">
        <v>608</v>
      </c>
      <c r="K1169" s="6">
        <f t="shared" si="55"/>
        <v>10</v>
      </c>
      <c r="L1169" s="6" t="str">
        <f t="shared" si="56"/>
        <v>OCTUBRE</v>
      </c>
    </row>
    <row r="1170" spans="1:12" x14ac:dyDescent="0.25">
      <c r="A1170" s="5">
        <f t="shared" si="54"/>
        <v>2025</v>
      </c>
      <c r="B1170" s="18" t="s">
        <v>1190</v>
      </c>
      <c r="C1170" s="18" t="s">
        <v>595</v>
      </c>
      <c r="D1170" s="12">
        <v>6303</v>
      </c>
      <c r="E1170" s="17" t="s">
        <v>181</v>
      </c>
      <c r="F1170" s="12" t="s">
        <v>182</v>
      </c>
      <c r="G1170" s="14">
        <v>1</v>
      </c>
      <c r="H1170" s="24">
        <v>103000</v>
      </c>
      <c r="I1170" s="12" t="s">
        <v>712</v>
      </c>
      <c r="J1170" s="6" t="s">
        <v>608</v>
      </c>
      <c r="K1170" s="6">
        <f t="shared" si="55"/>
        <v>10</v>
      </c>
      <c r="L1170" s="6" t="str">
        <f t="shared" si="56"/>
        <v>OCTUBRE</v>
      </c>
    </row>
    <row r="1171" spans="1:12" x14ac:dyDescent="0.25">
      <c r="A1171" s="5">
        <f t="shared" si="54"/>
        <v>2025</v>
      </c>
      <c r="B1171" s="18" t="s">
        <v>1209</v>
      </c>
      <c r="C1171" s="18" t="s">
        <v>595</v>
      </c>
      <c r="D1171" s="12">
        <v>6313</v>
      </c>
      <c r="E1171" s="17" t="s">
        <v>897</v>
      </c>
      <c r="F1171" s="12" t="s">
        <v>898</v>
      </c>
      <c r="G1171" s="14">
        <v>1</v>
      </c>
      <c r="H1171" s="24">
        <v>287000</v>
      </c>
      <c r="I1171" s="12" t="s">
        <v>712</v>
      </c>
      <c r="J1171" s="6" t="s">
        <v>608</v>
      </c>
      <c r="K1171" s="6">
        <f t="shared" si="55"/>
        <v>10</v>
      </c>
      <c r="L1171" s="6" t="str">
        <f t="shared" si="56"/>
        <v>OCTUBRE</v>
      </c>
    </row>
    <row r="1172" spans="1:12" x14ac:dyDescent="0.25">
      <c r="A1172" s="5">
        <f t="shared" si="54"/>
        <v>2025</v>
      </c>
      <c r="B1172" s="18" t="s">
        <v>1209</v>
      </c>
      <c r="C1172" s="18" t="s">
        <v>595</v>
      </c>
      <c r="D1172" s="12">
        <v>6313</v>
      </c>
      <c r="E1172" s="17" t="s">
        <v>432</v>
      </c>
      <c r="F1172" s="12" t="s">
        <v>433</v>
      </c>
      <c r="G1172" s="14">
        <v>1</v>
      </c>
      <c r="H1172" s="24">
        <v>63000</v>
      </c>
      <c r="I1172" s="12" t="s">
        <v>712</v>
      </c>
      <c r="J1172" s="6" t="s">
        <v>608</v>
      </c>
      <c r="K1172" s="6">
        <f t="shared" si="55"/>
        <v>10</v>
      </c>
      <c r="L1172" s="6" t="str">
        <f t="shared" si="56"/>
        <v>OCTUBRE</v>
      </c>
    </row>
    <row r="1173" spans="1:12" x14ac:dyDescent="0.25">
      <c r="A1173" s="5">
        <f t="shared" si="54"/>
        <v>2025</v>
      </c>
      <c r="B1173" s="18" t="s">
        <v>1209</v>
      </c>
      <c r="C1173" s="18" t="s">
        <v>595</v>
      </c>
      <c r="D1173" s="12">
        <v>6313</v>
      </c>
      <c r="E1173" s="17" t="s">
        <v>319</v>
      </c>
      <c r="F1173" s="12" t="s">
        <v>320</v>
      </c>
      <c r="G1173" s="14">
        <v>1</v>
      </c>
      <c r="H1173" s="24">
        <v>530000</v>
      </c>
      <c r="I1173" s="12" t="s">
        <v>712</v>
      </c>
      <c r="J1173" s="6" t="s">
        <v>608</v>
      </c>
      <c r="K1173" s="6">
        <f t="shared" si="55"/>
        <v>10</v>
      </c>
      <c r="L1173" s="6" t="str">
        <f t="shared" si="56"/>
        <v>OCTUBRE</v>
      </c>
    </row>
    <row r="1174" spans="1:12" x14ac:dyDescent="0.25">
      <c r="A1174" s="5">
        <f t="shared" si="54"/>
        <v>2025</v>
      </c>
      <c r="B1174" s="18" t="s">
        <v>1209</v>
      </c>
      <c r="C1174" s="18" t="s">
        <v>595</v>
      </c>
      <c r="D1174" s="12">
        <v>6313</v>
      </c>
      <c r="E1174" s="17" t="s">
        <v>299</v>
      </c>
      <c r="F1174" s="12" t="s">
        <v>300</v>
      </c>
      <c r="G1174" s="14">
        <v>1</v>
      </c>
      <c r="H1174" s="24">
        <v>65000</v>
      </c>
      <c r="I1174" s="12" t="s">
        <v>712</v>
      </c>
      <c r="J1174" s="6" t="s">
        <v>608</v>
      </c>
      <c r="K1174" s="6">
        <f t="shared" si="55"/>
        <v>10</v>
      </c>
      <c r="L1174" s="6" t="str">
        <f t="shared" si="56"/>
        <v>OCTUBRE</v>
      </c>
    </row>
    <row r="1175" spans="1:12" x14ac:dyDescent="0.25">
      <c r="A1175" s="5">
        <f t="shared" si="54"/>
        <v>2025</v>
      </c>
      <c r="B1175" s="18" t="s">
        <v>1209</v>
      </c>
      <c r="C1175" s="18" t="s">
        <v>595</v>
      </c>
      <c r="D1175" s="12">
        <v>6313</v>
      </c>
      <c r="E1175" s="17" t="s">
        <v>156</v>
      </c>
      <c r="F1175" s="12" t="s">
        <v>157</v>
      </c>
      <c r="G1175" s="14">
        <v>1</v>
      </c>
      <c r="H1175" s="24">
        <v>460000</v>
      </c>
      <c r="I1175" s="12" t="s">
        <v>712</v>
      </c>
      <c r="J1175" s="6" t="s">
        <v>608</v>
      </c>
      <c r="K1175" s="6">
        <f t="shared" si="55"/>
        <v>10</v>
      </c>
      <c r="L1175" s="6" t="str">
        <f t="shared" si="56"/>
        <v>OCTUBRE</v>
      </c>
    </row>
    <row r="1176" spans="1:12" x14ac:dyDescent="0.25">
      <c r="A1176" s="5">
        <f t="shared" si="54"/>
        <v>2025</v>
      </c>
      <c r="B1176" s="18" t="s">
        <v>1209</v>
      </c>
      <c r="C1176" s="18" t="s">
        <v>595</v>
      </c>
      <c r="D1176" s="12">
        <v>6313</v>
      </c>
      <c r="E1176" s="17" t="s">
        <v>649</v>
      </c>
      <c r="F1176" s="12" t="s">
        <v>491</v>
      </c>
      <c r="G1176" s="14">
        <v>2</v>
      </c>
      <c r="H1176" s="24">
        <v>34000</v>
      </c>
      <c r="I1176" s="12" t="s">
        <v>712</v>
      </c>
      <c r="J1176" s="6" t="s">
        <v>608</v>
      </c>
      <c r="K1176" s="6">
        <f t="shared" si="55"/>
        <v>10</v>
      </c>
      <c r="L1176" s="6" t="str">
        <f t="shared" si="56"/>
        <v>OCTUBRE</v>
      </c>
    </row>
    <row r="1177" spans="1:12" x14ac:dyDescent="0.25">
      <c r="A1177" s="5">
        <f t="shared" si="54"/>
        <v>2025</v>
      </c>
      <c r="B1177" s="18" t="s">
        <v>1275</v>
      </c>
      <c r="C1177" s="18" t="s">
        <v>595</v>
      </c>
      <c r="D1177" s="12">
        <v>6367</v>
      </c>
      <c r="E1177" s="17" t="s">
        <v>951</v>
      </c>
      <c r="F1177" s="12" t="s">
        <v>952</v>
      </c>
      <c r="G1177" s="14">
        <v>1</v>
      </c>
      <c r="H1177" s="24">
        <v>549000</v>
      </c>
      <c r="I1177" s="12" t="s">
        <v>712</v>
      </c>
      <c r="J1177" s="6" t="s">
        <v>608</v>
      </c>
      <c r="K1177" s="6">
        <f t="shared" si="55"/>
        <v>11</v>
      </c>
      <c r="L1177" s="6" t="str">
        <f t="shared" si="56"/>
        <v>NOVIEMBRE</v>
      </c>
    </row>
    <row r="1178" spans="1:12" x14ac:dyDescent="0.25">
      <c r="A1178" s="5">
        <f t="shared" si="54"/>
        <v>2025</v>
      </c>
      <c r="B1178" s="18" t="s">
        <v>1275</v>
      </c>
      <c r="C1178" s="18" t="s">
        <v>595</v>
      </c>
      <c r="D1178" s="12">
        <v>6367</v>
      </c>
      <c r="E1178" s="17" t="s">
        <v>327</v>
      </c>
      <c r="F1178" s="12" t="s">
        <v>328</v>
      </c>
      <c r="G1178" s="14">
        <v>1</v>
      </c>
      <c r="H1178" s="24">
        <v>411000</v>
      </c>
      <c r="I1178" s="12" t="s">
        <v>712</v>
      </c>
      <c r="J1178" s="6" t="s">
        <v>608</v>
      </c>
      <c r="K1178" s="6">
        <f t="shared" si="55"/>
        <v>11</v>
      </c>
      <c r="L1178" s="6" t="str">
        <f t="shared" si="56"/>
        <v>NOVIEMBRE</v>
      </c>
    </row>
    <row r="1179" spans="1:12" x14ac:dyDescent="0.25">
      <c r="A1179" s="5">
        <f t="shared" si="54"/>
        <v>2025</v>
      </c>
      <c r="B1179" s="18" t="s">
        <v>1275</v>
      </c>
      <c r="C1179" s="18" t="s">
        <v>595</v>
      </c>
      <c r="D1179" s="12">
        <v>6367</v>
      </c>
      <c r="E1179" s="17">
        <v>27274</v>
      </c>
      <c r="F1179" s="12" t="s">
        <v>507</v>
      </c>
      <c r="G1179" s="14">
        <v>2</v>
      </c>
      <c r="H1179" s="24">
        <v>50000</v>
      </c>
      <c r="I1179" s="12" t="s">
        <v>712</v>
      </c>
      <c r="J1179" s="6" t="s">
        <v>608</v>
      </c>
      <c r="K1179" s="6">
        <f t="shared" si="55"/>
        <v>11</v>
      </c>
      <c r="L1179" s="6" t="str">
        <f t="shared" si="56"/>
        <v>NOVIEMBRE</v>
      </c>
    </row>
    <row r="1180" spans="1:12" x14ac:dyDescent="0.25">
      <c r="A1180" s="5">
        <f t="shared" si="54"/>
        <v>2025</v>
      </c>
      <c r="B1180" s="18" t="s">
        <v>1209</v>
      </c>
      <c r="C1180" s="18" t="s">
        <v>595</v>
      </c>
      <c r="D1180" s="12">
        <v>6313</v>
      </c>
      <c r="E1180" s="17" t="s">
        <v>266</v>
      </c>
      <c r="F1180" s="12" t="s">
        <v>267</v>
      </c>
      <c r="G1180" s="14">
        <v>1</v>
      </c>
      <c r="H1180" s="24">
        <v>280000</v>
      </c>
      <c r="I1180" s="12" t="s">
        <v>712</v>
      </c>
      <c r="J1180" s="6" t="s">
        <v>608</v>
      </c>
      <c r="K1180" s="6">
        <f t="shared" si="55"/>
        <v>10</v>
      </c>
      <c r="L1180" s="6" t="str">
        <f t="shared" si="56"/>
        <v>OCTUBRE</v>
      </c>
    </row>
    <row r="1181" spans="1:12" x14ac:dyDescent="0.25">
      <c r="A1181" s="5">
        <f t="shared" si="54"/>
        <v>2025</v>
      </c>
      <c r="B1181" s="18" t="s">
        <v>1184</v>
      </c>
      <c r="C1181" s="18" t="s">
        <v>595</v>
      </c>
      <c r="D1181" s="12">
        <v>6280</v>
      </c>
      <c r="E1181" s="17" t="s">
        <v>734</v>
      </c>
      <c r="F1181" s="12" t="s">
        <v>1173</v>
      </c>
      <c r="G1181" s="14">
        <v>1</v>
      </c>
      <c r="H1181" s="24">
        <v>270000</v>
      </c>
      <c r="I1181" s="12" t="s">
        <v>712</v>
      </c>
      <c r="J1181" s="6" t="s">
        <v>608</v>
      </c>
      <c r="K1181" s="6">
        <f t="shared" si="55"/>
        <v>10</v>
      </c>
      <c r="L1181" s="6" t="str">
        <f t="shared" si="56"/>
        <v>OCTUBRE</v>
      </c>
    </row>
    <row r="1182" spans="1:12" x14ac:dyDescent="0.25">
      <c r="A1182" s="5">
        <f t="shared" si="54"/>
        <v>2025</v>
      </c>
      <c r="B1182" s="18" t="s">
        <v>1184</v>
      </c>
      <c r="C1182" s="18" t="s">
        <v>595</v>
      </c>
      <c r="D1182" s="12">
        <v>6280</v>
      </c>
      <c r="E1182" s="17" t="s">
        <v>472</v>
      </c>
      <c r="F1182" s="12" t="s">
        <v>473</v>
      </c>
      <c r="G1182" s="14">
        <v>1</v>
      </c>
      <c r="H1182" s="24">
        <v>49000</v>
      </c>
      <c r="I1182" s="12" t="s">
        <v>712</v>
      </c>
      <c r="J1182" s="6" t="s">
        <v>608</v>
      </c>
      <c r="K1182" s="6">
        <f t="shared" si="55"/>
        <v>10</v>
      </c>
      <c r="L1182" s="6" t="str">
        <f t="shared" si="56"/>
        <v>OCTUBRE</v>
      </c>
    </row>
    <row r="1183" spans="1:12" x14ac:dyDescent="0.25">
      <c r="A1183" s="5">
        <f t="shared" si="54"/>
        <v>2025</v>
      </c>
      <c r="B1183" s="18" t="s">
        <v>1275</v>
      </c>
      <c r="C1183" s="18" t="s">
        <v>595</v>
      </c>
      <c r="D1183" s="12">
        <v>6367</v>
      </c>
      <c r="E1183" s="17">
        <v>126180</v>
      </c>
      <c r="F1183" s="12" t="s">
        <v>505</v>
      </c>
      <c r="G1183" s="14">
        <v>3</v>
      </c>
      <c r="H1183" s="24">
        <v>51000</v>
      </c>
      <c r="I1183" s="12" t="s">
        <v>712</v>
      </c>
      <c r="J1183" s="6" t="s">
        <v>608</v>
      </c>
      <c r="K1183" s="6">
        <f t="shared" si="55"/>
        <v>11</v>
      </c>
      <c r="L1183" s="6" t="str">
        <f t="shared" si="56"/>
        <v>NOVIEMBRE</v>
      </c>
    </row>
    <row r="1184" spans="1:12" x14ac:dyDescent="0.25">
      <c r="A1184" s="5">
        <f t="shared" si="54"/>
        <v>2025</v>
      </c>
      <c r="B1184" s="18" t="s">
        <v>1275</v>
      </c>
      <c r="C1184" s="18" t="s">
        <v>595</v>
      </c>
      <c r="D1184" s="12">
        <v>6367</v>
      </c>
      <c r="E1184" s="17" t="s">
        <v>482</v>
      </c>
      <c r="F1184" s="12" t="s">
        <v>483</v>
      </c>
      <c r="G1184" s="14">
        <v>2</v>
      </c>
      <c r="H1184" s="24">
        <v>890000</v>
      </c>
      <c r="I1184" s="12" t="s">
        <v>712</v>
      </c>
      <c r="J1184" s="6" t="s">
        <v>608</v>
      </c>
      <c r="K1184" s="6">
        <f t="shared" si="55"/>
        <v>11</v>
      </c>
      <c r="L1184" s="6" t="str">
        <f t="shared" si="56"/>
        <v>NOVIEMBRE</v>
      </c>
    </row>
    <row r="1185" spans="1:12" x14ac:dyDescent="0.25">
      <c r="A1185" s="5">
        <f t="shared" si="54"/>
        <v>2025</v>
      </c>
      <c r="B1185" s="18" t="s">
        <v>1275</v>
      </c>
      <c r="C1185" s="18" t="s">
        <v>595</v>
      </c>
      <c r="D1185" s="12">
        <v>6367</v>
      </c>
      <c r="E1185" s="17" t="s">
        <v>934</v>
      </c>
      <c r="F1185" s="12" t="s">
        <v>935</v>
      </c>
      <c r="G1185" s="14">
        <v>1</v>
      </c>
      <c r="H1185" s="24">
        <v>53260</v>
      </c>
      <c r="I1185" s="12" t="s">
        <v>712</v>
      </c>
      <c r="J1185" s="6" t="s">
        <v>608</v>
      </c>
      <c r="K1185" s="6">
        <f t="shared" si="55"/>
        <v>11</v>
      </c>
      <c r="L1185" s="6" t="str">
        <f t="shared" si="56"/>
        <v>NOVIEMBRE</v>
      </c>
    </row>
    <row r="1186" spans="1:12" x14ac:dyDescent="0.25">
      <c r="A1186" s="5">
        <f t="shared" si="54"/>
        <v>2025</v>
      </c>
      <c r="B1186" s="18" t="s">
        <v>1275</v>
      </c>
      <c r="C1186" s="18" t="s">
        <v>595</v>
      </c>
      <c r="D1186" s="12">
        <v>6367</v>
      </c>
      <c r="E1186" s="17" t="s">
        <v>373</v>
      </c>
      <c r="F1186" s="12" t="s">
        <v>374</v>
      </c>
      <c r="G1186" s="14">
        <v>1</v>
      </c>
      <c r="H1186" s="24">
        <v>447000</v>
      </c>
      <c r="I1186" s="12" t="s">
        <v>712</v>
      </c>
      <c r="J1186" s="6" t="s">
        <v>608</v>
      </c>
      <c r="K1186" s="6">
        <f t="shared" si="55"/>
        <v>11</v>
      </c>
      <c r="L1186" s="6" t="str">
        <f t="shared" si="56"/>
        <v>NOVIEMBRE</v>
      </c>
    </row>
    <row r="1187" spans="1:12" x14ac:dyDescent="0.25">
      <c r="A1187" s="5">
        <f t="shared" si="54"/>
        <v>2025</v>
      </c>
      <c r="B1187" s="18" t="s">
        <v>1275</v>
      </c>
      <c r="C1187" s="18" t="s">
        <v>595</v>
      </c>
      <c r="D1187" s="12">
        <v>6367</v>
      </c>
      <c r="E1187" s="17" t="s">
        <v>228</v>
      </c>
      <c r="F1187" s="12" t="s">
        <v>229</v>
      </c>
      <c r="G1187" s="14">
        <v>6</v>
      </c>
      <c r="H1187" s="24">
        <v>720000</v>
      </c>
      <c r="I1187" s="12" t="s">
        <v>712</v>
      </c>
      <c r="J1187" s="6" t="s">
        <v>608</v>
      </c>
      <c r="K1187" s="6">
        <f t="shared" si="55"/>
        <v>11</v>
      </c>
      <c r="L1187" s="6" t="str">
        <f t="shared" si="56"/>
        <v>NOVIEMBRE</v>
      </c>
    </row>
    <row r="1188" spans="1:12" x14ac:dyDescent="0.25">
      <c r="A1188" s="5">
        <f t="shared" si="54"/>
        <v>2025</v>
      </c>
      <c r="B1188" s="18" t="s">
        <v>1275</v>
      </c>
      <c r="C1188" s="18" t="s">
        <v>595</v>
      </c>
      <c r="D1188" s="12">
        <v>6367</v>
      </c>
      <c r="E1188" s="17" t="s">
        <v>348</v>
      </c>
      <c r="F1188" s="12" t="s">
        <v>349</v>
      </c>
      <c r="G1188" s="14">
        <v>2</v>
      </c>
      <c r="H1188" s="24">
        <v>2400</v>
      </c>
      <c r="I1188" s="12" t="s">
        <v>712</v>
      </c>
      <c r="J1188" s="6" t="s">
        <v>608</v>
      </c>
      <c r="K1188" s="6">
        <f t="shared" si="55"/>
        <v>11</v>
      </c>
      <c r="L1188" s="6" t="str">
        <f t="shared" si="56"/>
        <v>NOVIEMBRE</v>
      </c>
    </row>
    <row r="1189" spans="1:12" x14ac:dyDescent="0.25">
      <c r="A1189" s="5">
        <f t="shared" si="54"/>
        <v>2025</v>
      </c>
      <c r="B1189" s="18" t="s">
        <v>1275</v>
      </c>
      <c r="C1189" s="18" t="s">
        <v>595</v>
      </c>
      <c r="D1189" s="12">
        <v>6367</v>
      </c>
      <c r="E1189" s="17" t="s">
        <v>508</v>
      </c>
      <c r="F1189" s="12" t="s">
        <v>509</v>
      </c>
      <c r="G1189" s="14">
        <v>1</v>
      </c>
      <c r="H1189" s="24">
        <v>483000</v>
      </c>
      <c r="I1189" s="12" t="s">
        <v>712</v>
      </c>
      <c r="J1189" s="6" t="s">
        <v>608</v>
      </c>
      <c r="K1189" s="6">
        <f t="shared" si="55"/>
        <v>11</v>
      </c>
      <c r="L1189" s="6" t="str">
        <f t="shared" si="56"/>
        <v>NOVIEMBRE</v>
      </c>
    </row>
    <row r="1190" spans="1:12" x14ac:dyDescent="0.25">
      <c r="A1190" s="5">
        <f t="shared" si="54"/>
        <v>2025</v>
      </c>
      <c r="B1190" s="18" t="s">
        <v>1275</v>
      </c>
      <c r="C1190" s="18" t="s">
        <v>595</v>
      </c>
      <c r="D1190" s="12">
        <v>6367</v>
      </c>
      <c r="E1190" s="17">
        <v>210724</v>
      </c>
      <c r="F1190" s="12" t="s">
        <v>450</v>
      </c>
      <c r="G1190" s="14">
        <v>1</v>
      </c>
      <c r="H1190" s="24">
        <v>132000</v>
      </c>
      <c r="I1190" s="12" t="s">
        <v>712</v>
      </c>
      <c r="J1190" s="6" t="s">
        <v>608</v>
      </c>
      <c r="K1190" s="6">
        <f t="shared" si="55"/>
        <v>11</v>
      </c>
      <c r="L1190" s="6" t="str">
        <f t="shared" si="56"/>
        <v>NOVIEMBRE</v>
      </c>
    </row>
    <row r="1191" spans="1:12" x14ac:dyDescent="0.25">
      <c r="A1191" s="5">
        <f t="shared" si="54"/>
        <v>2025</v>
      </c>
      <c r="B1191" s="18" t="s">
        <v>1275</v>
      </c>
      <c r="C1191" s="18" t="s">
        <v>595</v>
      </c>
      <c r="D1191" s="12">
        <v>6367</v>
      </c>
      <c r="E1191" s="17">
        <v>210737</v>
      </c>
      <c r="F1191" s="12" t="s">
        <v>506</v>
      </c>
      <c r="G1191" s="14">
        <v>1</v>
      </c>
      <c r="H1191" s="24">
        <v>128000</v>
      </c>
      <c r="I1191" s="12" t="s">
        <v>712</v>
      </c>
      <c r="J1191" s="6" t="s">
        <v>608</v>
      </c>
      <c r="K1191" s="6">
        <f t="shared" si="55"/>
        <v>11</v>
      </c>
      <c r="L1191" s="6" t="str">
        <f t="shared" si="56"/>
        <v>NOVIEMBRE</v>
      </c>
    </row>
    <row r="1192" spans="1:12" x14ac:dyDescent="0.25">
      <c r="A1192" s="5">
        <f t="shared" si="54"/>
        <v>2025</v>
      </c>
      <c r="B1192" s="18" t="s">
        <v>1275</v>
      </c>
      <c r="C1192" s="18" t="s">
        <v>595</v>
      </c>
      <c r="D1192" s="12">
        <v>6367</v>
      </c>
      <c r="E1192" s="17">
        <v>210736</v>
      </c>
      <c r="F1192" s="12" t="s">
        <v>504</v>
      </c>
      <c r="G1192" s="14">
        <v>2</v>
      </c>
      <c r="H1192" s="24">
        <v>310000</v>
      </c>
      <c r="I1192" s="12" t="s">
        <v>712</v>
      </c>
      <c r="J1192" s="6" t="s">
        <v>608</v>
      </c>
      <c r="K1192" s="6">
        <f t="shared" si="55"/>
        <v>11</v>
      </c>
      <c r="L1192" s="6" t="str">
        <f t="shared" si="56"/>
        <v>NOVIEMBRE</v>
      </c>
    </row>
    <row r="1193" spans="1:12" x14ac:dyDescent="0.25">
      <c r="A1193" s="5">
        <f t="shared" si="54"/>
        <v>2025</v>
      </c>
      <c r="B1193" s="18" t="s">
        <v>1275</v>
      </c>
      <c r="C1193" s="18" t="s">
        <v>595</v>
      </c>
      <c r="D1193" s="12">
        <v>6367</v>
      </c>
      <c r="E1193" s="17" t="s">
        <v>215</v>
      </c>
      <c r="F1193" s="12" t="s">
        <v>216</v>
      </c>
      <c r="G1193" s="14">
        <v>1</v>
      </c>
      <c r="H1193" s="24">
        <v>167000</v>
      </c>
      <c r="I1193" s="12" t="s">
        <v>712</v>
      </c>
      <c r="J1193" s="6" t="s">
        <v>608</v>
      </c>
      <c r="K1193" s="6">
        <f t="shared" si="55"/>
        <v>11</v>
      </c>
      <c r="L1193" s="6" t="str">
        <f t="shared" si="56"/>
        <v>NOVIEMBRE</v>
      </c>
    </row>
    <row r="1194" spans="1:12" x14ac:dyDescent="0.25">
      <c r="A1194" s="5">
        <f t="shared" si="54"/>
        <v>2025</v>
      </c>
      <c r="B1194" s="18" t="s">
        <v>1275</v>
      </c>
      <c r="C1194" s="18" t="s">
        <v>595</v>
      </c>
      <c r="D1194" s="12">
        <v>6367</v>
      </c>
      <c r="E1194" s="17">
        <v>56360</v>
      </c>
      <c r="F1194" s="12" t="s">
        <v>529</v>
      </c>
      <c r="G1194" s="14">
        <v>1</v>
      </c>
      <c r="H1194" s="24">
        <v>78000</v>
      </c>
      <c r="I1194" s="12" t="s">
        <v>712</v>
      </c>
      <c r="J1194" s="6" t="s">
        <v>608</v>
      </c>
      <c r="K1194" s="6">
        <f t="shared" si="55"/>
        <v>11</v>
      </c>
      <c r="L1194" s="6" t="str">
        <f t="shared" si="56"/>
        <v>NOVIEMBRE</v>
      </c>
    </row>
    <row r="1195" spans="1:12" x14ac:dyDescent="0.25">
      <c r="A1195" s="5">
        <f t="shared" si="54"/>
        <v>2025</v>
      </c>
      <c r="B1195" s="18" t="s">
        <v>1275</v>
      </c>
      <c r="C1195" s="18" t="s">
        <v>595</v>
      </c>
      <c r="D1195" s="12">
        <v>6367</v>
      </c>
      <c r="E1195" s="17" t="s">
        <v>563</v>
      </c>
      <c r="F1195" s="12" t="s">
        <v>578</v>
      </c>
      <c r="G1195" s="14">
        <v>3</v>
      </c>
      <c r="H1195" s="24">
        <v>870000</v>
      </c>
      <c r="I1195" s="12" t="s">
        <v>712</v>
      </c>
      <c r="J1195" s="6" t="s">
        <v>608</v>
      </c>
      <c r="K1195" s="6">
        <f t="shared" si="55"/>
        <v>11</v>
      </c>
      <c r="L1195" s="6" t="str">
        <f t="shared" si="56"/>
        <v>NOVIEMBRE</v>
      </c>
    </row>
    <row r="1196" spans="1:12" x14ac:dyDescent="0.25">
      <c r="A1196" s="5">
        <f t="shared" si="54"/>
        <v>2025</v>
      </c>
      <c r="B1196" s="18" t="s">
        <v>1184</v>
      </c>
      <c r="C1196" s="18" t="s">
        <v>595</v>
      </c>
      <c r="D1196" s="12">
        <v>6280</v>
      </c>
      <c r="E1196" s="17">
        <v>126155</v>
      </c>
      <c r="F1196" s="12" t="s">
        <v>503</v>
      </c>
      <c r="G1196" s="14">
        <v>1</v>
      </c>
      <c r="H1196" s="24">
        <v>130752</v>
      </c>
      <c r="I1196" s="12" t="s">
        <v>712</v>
      </c>
      <c r="J1196" s="6" t="s">
        <v>608</v>
      </c>
      <c r="K1196" s="6">
        <f t="shared" si="55"/>
        <v>10</v>
      </c>
      <c r="L1196" s="6" t="str">
        <f t="shared" si="56"/>
        <v>OCTUBRE</v>
      </c>
    </row>
    <row r="1197" spans="1:12" x14ac:dyDescent="0.25">
      <c r="A1197" s="5">
        <f t="shared" si="54"/>
        <v>2025</v>
      </c>
      <c r="B1197" s="18" t="s">
        <v>1190</v>
      </c>
      <c r="C1197" s="18" t="s">
        <v>595</v>
      </c>
      <c r="D1197" s="12">
        <v>6303</v>
      </c>
      <c r="E1197" s="17">
        <v>4300382</v>
      </c>
      <c r="F1197" s="12" t="s">
        <v>411</v>
      </c>
      <c r="G1197" s="14">
        <v>1</v>
      </c>
      <c r="H1197" s="24">
        <v>33000</v>
      </c>
      <c r="I1197" s="12" t="s">
        <v>712</v>
      </c>
      <c r="J1197" s="6" t="s">
        <v>608</v>
      </c>
      <c r="K1197" s="6">
        <f t="shared" si="55"/>
        <v>10</v>
      </c>
      <c r="L1197" s="6" t="str">
        <f t="shared" si="56"/>
        <v>OCTUBRE</v>
      </c>
    </row>
    <row r="1198" spans="1:12" x14ac:dyDescent="0.25">
      <c r="A1198" s="5">
        <f t="shared" si="54"/>
        <v>2025</v>
      </c>
      <c r="B1198" s="18" t="s">
        <v>1190</v>
      </c>
      <c r="C1198" s="18" t="s">
        <v>595</v>
      </c>
      <c r="D1198" s="12">
        <v>6303</v>
      </c>
      <c r="E1198" s="17" t="s">
        <v>239</v>
      </c>
      <c r="F1198" s="12" t="s">
        <v>240</v>
      </c>
      <c r="G1198" s="14">
        <v>92</v>
      </c>
      <c r="H1198" s="24">
        <v>220800</v>
      </c>
      <c r="I1198" s="12" t="s">
        <v>712</v>
      </c>
      <c r="J1198" s="6" t="s">
        <v>608</v>
      </c>
      <c r="K1198" s="6">
        <f t="shared" si="55"/>
        <v>10</v>
      </c>
      <c r="L1198" s="6" t="str">
        <f t="shared" si="56"/>
        <v>OCTUBRE</v>
      </c>
    </row>
    <row r="1199" spans="1:12" x14ac:dyDescent="0.25">
      <c r="A1199" s="5">
        <f t="shared" si="54"/>
        <v>2025</v>
      </c>
      <c r="B1199" s="18" t="s">
        <v>1190</v>
      </c>
      <c r="C1199" s="18" t="s">
        <v>595</v>
      </c>
      <c r="D1199" s="12">
        <v>6303</v>
      </c>
      <c r="E1199" s="17" t="s">
        <v>247</v>
      </c>
      <c r="F1199" s="12" t="s">
        <v>248</v>
      </c>
      <c r="G1199" s="14">
        <v>1</v>
      </c>
      <c r="H1199" s="24">
        <v>300000</v>
      </c>
      <c r="I1199" s="12" t="s">
        <v>712</v>
      </c>
      <c r="J1199" s="6" t="s">
        <v>608</v>
      </c>
      <c r="K1199" s="6">
        <f t="shared" si="55"/>
        <v>10</v>
      </c>
      <c r="L1199" s="6" t="str">
        <f t="shared" si="56"/>
        <v>OCTUBRE</v>
      </c>
    </row>
    <row r="1200" spans="1:12" x14ac:dyDescent="0.25">
      <c r="A1200" s="5">
        <f t="shared" si="54"/>
        <v>2025</v>
      </c>
      <c r="B1200" s="18" t="s">
        <v>1190</v>
      </c>
      <c r="C1200" s="18" t="s">
        <v>595</v>
      </c>
      <c r="D1200" s="12">
        <v>6303</v>
      </c>
      <c r="E1200" s="17" t="s">
        <v>206</v>
      </c>
      <c r="F1200" s="12" t="s">
        <v>207</v>
      </c>
      <c r="G1200" s="14">
        <v>1</v>
      </c>
      <c r="H1200" s="24">
        <v>71000</v>
      </c>
      <c r="I1200" s="12" t="s">
        <v>712</v>
      </c>
      <c r="J1200" s="6" t="s">
        <v>608</v>
      </c>
      <c r="K1200" s="6">
        <f t="shared" si="55"/>
        <v>10</v>
      </c>
      <c r="L1200" s="6" t="str">
        <f t="shared" si="56"/>
        <v>OCTUBRE</v>
      </c>
    </row>
    <row r="1201" spans="1:12" x14ac:dyDescent="0.25">
      <c r="A1201" s="5">
        <f t="shared" si="54"/>
        <v>2025</v>
      </c>
      <c r="B1201" s="18" t="s">
        <v>1190</v>
      </c>
      <c r="C1201" s="18" t="s">
        <v>595</v>
      </c>
      <c r="D1201" s="12">
        <v>6303</v>
      </c>
      <c r="E1201" s="17" t="s">
        <v>742</v>
      </c>
      <c r="F1201" s="12" t="s">
        <v>743</v>
      </c>
      <c r="G1201" s="14">
        <v>2</v>
      </c>
      <c r="H1201" s="24">
        <v>1100000</v>
      </c>
      <c r="I1201" s="12" t="s">
        <v>712</v>
      </c>
      <c r="J1201" s="6" t="s">
        <v>608</v>
      </c>
      <c r="K1201" s="6">
        <f t="shared" si="55"/>
        <v>10</v>
      </c>
      <c r="L1201" s="6" t="str">
        <f t="shared" si="56"/>
        <v>OCTUBRE</v>
      </c>
    </row>
    <row r="1202" spans="1:12" x14ac:dyDescent="0.25">
      <c r="A1202" s="5">
        <f t="shared" si="54"/>
        <v>2025</v>
      </c>
      <c r="B1202" s="18" t="s">
        <v>1190</v>
      </c>
      <c r="C1202" s="18" t="s">
        <v>595</v>
      </c>
      <c r="D1202" s="12">
        <v>6303</v>
      </c>
      <c r="E1202" s="17" t="s">
        <v>126</v>
      </c>
      <c r="F1202" s="12" t="s">
        <v>127</v>
      </c>
      <c r="G1202" s="14">
        <v>1</v>
      </c>
      <c r="H1202" s="24">
        <v>660000</v>
      </c>
      <c r="I1202" s="12" t="s">
        <v>712</v>
      </c>
      <c r="J1202" s="6" t="s">
        <v>608</v>
      </c>
      <c r="K1202" s="6">
        <f t="shared" si="55"/>
        <v>10</v>
      </c>
      <c r="L1202" s="6" t="str">
        <f t="shared" si="56"/>
        <v>OCTUBRE</v>
      </c>
    </row>
    <row r="1203" spans="1:12" x14ac:dyDescent="0.25">
      <c r="A1203" s="5">
        <f t="shared" si="54"/>
        <v>2025</v>
      </c>
      <c r="B1203" s="18" t="s">
        <v>925</v>
      </c>
      <c r="C1203" s="18" t="s">
        <v>595</v>
      </c>
      <c r="D1203" s="12">
        <v>5870</v>
      </c>
      <c r="E1203" s="17" t="s">
        <v>136</v>
      </c>
      <c r="F1203" s="12" t="s">
        <v>137</v>
      </c>
      <c r="G1203" s="14">
        <v>4</v>
      </c>
      <c r="H1203" s="24">
        <v>180000</v>
      </c>
      <c r="I1203" s="12" t="s">
        <v>631</v>
      </c>
      <c r="J1203" s="6" t="s">
        <v>609</v>
      </c>
      <c r="K1203" s="6">
        <f t="shared" si="55"/>
        <v>2</v>
      </c>
      <c r="L1203" s="6" t="str">
        <f t="shared" si="56"/>
        <v>FEBRERO</v>
      </c>
    </row>
    <row r="1204" spans="1:12" x14ac:dyDescent="0.25">
      <c r="A1204" s="5">
        <f t="shared" si="54"/>
        <v>2025</v>
      </c>
      <c r="B1204" s="18" t="s">
        <v>1190</v>
      </c>
      <c r="C1204" s="18" t="s">
        <v>595</v>
      </c>
      <c r="D1204" s="12">
        <v>6303</v>
      </c>
      <c r="E1204" s="17" t="s">
        <v>188</v>
      </c>
      <c r="F1204" s="12" t="s">
        <v>189</v>
      </c>
      <c r="G1204" s="14">
        <v>1</v>
      </c>
      <c r="H1204" s="24">
        <v>34000</v>
      </c>
      <c r="I1204" s="12" t="s">
        <v>712</v>
      </c>
      <c r="J1204" s="6" t="s">
        <v>608</v>
      </c>
      <c r="K1204" s="6">
        <f t="shared" si="55"/>
        <v>10</v>
      </c>
      <c r="L1204" s="6" t="str">
        <f t="shared" si="56"/>
        <v>OCTUBRE</v>
      </c>
    </row>
    <row r="1205" spans="1:12" x14ac:dyDescent="0.25">
      <c r="A1205" s="5">
        <f t="shared" ref="A1205:A1268" si="57">+YEAR(B1205)</f>
        <v>2025</v>
      </c>
      <c r="B1205" s="18" t="s">
        <v>1190</v>
      </c>
      <c r="C1205" s="18" t="s">
        <v>595</v>
      </c>
      <c r="D1205" s="12">
        <v>6303</v>
      </c>
      <c r="E1205" s="17">
        <v>85003</v>
      </c>
      <c r="F1205" s="12" t="s">
        <v>449</v>
      </c>
      <c r="G1205" s="14">
        <v>2</v>
      </c>
      <c r="H1205" s="24">
        <v>42000</v>
      </c>
      <c r="I1205" s="12" t="s">
        <v>712</v>
      </c>
      <c r="J1205" s="6" t="s">
        <v>608</v>
      </c>
      <c r="K1205" s="6">
        <f t="shared" ref="K1205:K1268" si="58">+MONTH(B1205)</f>
        <v>10</v>
      </c>
      <c r="L1205" s="6" t="str">
        <f t="shared" si="56"/>
        <v>OCTUBRE</v>
      </c>
    </row>
    <row r="1206" spans="1:12" x14ac:dyDescent="0.25">
      <c r="A1206" s="5">
        <f t="shared" si="57"/>
        <v>2025</v>
      </c>
      <c r="B1206" s="18" t="s">
        <v>1190</v>
      </c>
      <c r="C1206" s="18" t="s">
        <v>595</v>
      </c>
      <c r="D1206" s="12">
        <v>6303</v>
      </c>
      <c r="E1206" s="17" t="s">
        <v>293</v>
      </c>
      <c r="F1206" s="12" t="s">
        <v>294</v>
      </c>
      <c r="G1206" s="14">
        <v>1</v>
      </c>
      <c r="H1206" s="24">
        <v>421000</v>
      </c>
      <c r="I1206" s="12" t="s">
        <v>712</v>
      </c>
      <c r="J1206" s="6" t="s">
        <v>608</v>
      </c>
      <c r="K1206" s="6">
        <f t="shared" si="58"/>
        <v>10</v>
      </c>
      <c r="L1206" s="6" t="str">
        <f t="shared" si="56"/>
        <v>OCTUBRE</v>
      </c>
    </row>
    <row r="1207" spans="1:12" x14ac:dyDescent="0.25">
      <c r="A1207" s="5">
        <f t="shared" si="57"/>
        <v>2025</v>
      </c>
      <c r="B1207" s="18" t="s">
        <v>1190</v>
      </c>
      <c r="C1207" s="18" t="s">
        <v>595</v>
      </c>
      <c r="D1207" s="12">
        <v>6303</v>
      </c>
      <c r="E1207" s="17" t="s">
        <v>463</v>
      </c>
      <c r="F1207" s="12" t="s">
        <v>464</v>
      </c>
      <c r="G1207" s="14">
        <v>1</v>
      </c>
      <c r="H1207" s="24">
        <v>356000</v>
      </c>
      <c r="I1207" s="12" t="s">
        <v>712</v>
      </c>
      <c r="J1207" s="6" t="s">
        <v>608</v>
      </c>
      <c r="K1207" s="6">
        <f t="shared" si="58"/>
        <v>10</v>
      </c>
      <c r="L1207" s="6" t="str">
        <f t="shared" si="56"/>
        <v>OCTUBRE</v>
      </c>
    </row>
    <row r="1208" spans="1:12" x14ac:dyDescent="0.25">
      <c r="A1208" s="5">
        <f t="shared" si="57"/>
        <v>2025</v>
      </c>
      <c r="B1208" s="18" t="s">
        <v>1190</v>
      </c>
      <c r="C1208" s="18" t="s">
        <v>595</v>
      </c>
      <c r="D1208" s="12">
        <v>6303</v>
      </c>
      <c r="E1208" s="17" t="s">
        <v>377</v>
      </c>
      <c r="F1208" s="12" t="s">
        <v>378</v>
      </c>
      <c r="G1208" s="14">
        <v>1</v>
      </c>
      <c r="H1208" s="24">
        <v>245000</v>
      </c>
      <c r="I1208" s="12" t="s">
        <v>712</v>
      </c>
      <c r="J1208" s="6" t="s">
        <v>608</v>
      </c>
      <c r="K1208" s="6">
        <f t="shared" si="58"/>
        <v>10</v>
      </c>
      <c r="L1208" s="6" t="str">
        <f t="shared" si="56"/>
        <v>OCTUBRE</v>
      </c>
    </row>
    <row r="1209" spans="1:12" x14ac:dyDescent="0.25">
      <c r="A1209" s="5">
        <f t="shared" si="57"/>
        <v>2025</v>
      </c>
      <c r="B1209" s="18" t="s">
        <v>893</v>
      </c>
      <c r="C1209" s="18" t="s">
        <v>595</v>
      </c>
      <c r="D1209" s="12">
        <v>5757</v>
      </c>
      <c r="E1209" s="17" t="s">
        <v>494</v>
      </c>
      <c r="F1209" s="12" t="s">
        <v>495</v>
      </c>
      <c r="G1209" s="14">
        <v>6</v>
      </c>
      <c r="H1209" s="24">
        <v>270000</v>
      </c>
      <c r="I1209" s="12" t="s">
        <v>631</v>
      </c>
      <c r="J1209" s="6" t="s">
        <v>609</v>
      </c>
      <c r="K1209" s="6">
        <f t="shared" si="58"/>
        <v>1</v>
      </c>
      <c r="L1209" s="6" t="str">
        <f t="shared" si="56"/>
        <v>ENERO</v>
      </c>
    </row>
    <row r="1210" spans="1:12" x14ac:dyDescent="0.25">
      <c r="A1210" s="5">
        <f t="shared" si="57"/>
        <v>2025</v>
      </c>
      <c r="B1210" s="18" t="s">
        <v>1130</v>
      </c>
      <c r="C1210" s="18" t="s">
        <v>595</v>
      </c>
      <c r="D1210" s="12">
        <v>6214</v>
      </c>
      <c r="E1210" s="17" t="s">
        <v>371</v>
      </c>
      <c r="F1210" s="12" t="s">
        <v>372</v>
      </c>
      <c r="G1210" s="14">
        <v>2</v>
      </c>
      <c r="H1210" s="24">
        <v>330600</v>
      </c>
      <c r="I1210" s="12" t="s">
        <v>704</v>
      </c>
      <c r="J1210" s="6" t="s">
        <v>1101</v>
      </c>
      <c r="K1210" s="6">
        <f t="shared" si="58"/>
        <v>8</v>
      </c>
      <c r="L1210" s="6" t="str">
        <f t="shared" si="56"/>
        <v>AGOSTO</v>
      </c>
    </row>
    <row r="1211" spans="1:12" x14ac:dyDescent="0.25">
      <c r="A1211" s="5">
        <f t="shared" si="57"/>
        <v>2025</v>
      </c>
      <c r="B1211" s="18" t="s">
        <v>1130</v>
      </c>
      <c r="C1211" s="18" t="s">
        <v>595</v>
      </c>
      <c r="D1211" s="12">
        <v>6214</v>
      </c>
      <c r="E1211" s="17" t="s">
        <v>361</v>
      </c>
      <c r="F1211" s="12" t="s">
        <v>362</v>
      </c>
      <c r="G1211" s="14">
        <v>1</v>
      </c>
      <c r="H1211" s="24">
        <v>309800</v>
      </c>
      <c r="I1211" s="12" t="s">
        <v>704</v>
      </c>
      <c r="J1211" s="6" t="s">
        <v>1101</v>
      </c>
      <c r="K1211" s="6">
        <f t="shared" si="58"/>
        <v>8</v>
      </c>
      <c r="L1211" s="6" t="str">
        <f t="shared" si="56"/>
        <v>AGOSTO</v>
      </c>
    </row>
    <row r="1212" spans="1:12" x14ac:dyDescent="0.25">
      <c r="A1212" s="5">
        <f t="shared" si="57"/>
        <v>2025</v>
      </c>
      <c r="B1212" s="18" t="s">
        <v>1104</v>
      </c>
      <c r="C1212" s="18" t="s">
        <v>595</v>
      </c>
      <c r="D1212" s="12">
        <v>6178</v>
      </c>
      <c r="E1212" s="17" t="s">
        <v>679</v>
      </c>
      <c r="F1212" s="12" t="s">
        <v>696</v>
      </c>
      <c r="G1212" s="14">
        <v>1</v>
      </c>
      <c r="H1212" s="24">
        <v>63100</v>
      </c>
      <c r="I1212" s="12" t="s">
        <v>704</v>
      </c>
      <c r="J1212" s="6" t="s">
        <v>1101</v>
      </c>
      <c r="K1212" s="6">
        <f t="shared" si="58"/>
        <v>7</v>
      </c>
      <c r="L1212" s="6" t="str">
        <f t="shared" si="56"/>
        <v>JULIO</v>
      </c>
    </row>
    <row r="1213" spans="1:12" x14ac:dyDescent="0.25">
      <c r="A1213" s="5">
        <f t="shared" si="57"/>
        <v>2025</v>
      </c>
      <c r="B1213" s="18" t="s">
        <v>1104</v>
      </c>
      <c r="C1213" s="18" t="s">
        <v>595</v>
      </c>
      <c r="D1213" s="12">
        <v>6178</v>
      </c>
      <c r="E1213" s="17">
        <v>22940</v>
      </c>
      <c r="F1213" s="12" t="s">
        <v>169</v>
      </c>
      <c r="G1213" s="14">
        <v>1</v>
      </c>
      <c r="H1213" s="24">
        <v>49000</v>
      </c>
      <c r="I1213" s="12" t="s">
        <v>704</v>
      </c>
      <c r="J1213" s="6" t="s">
        <v>1101</v>
      </c>
      <c r="K1213" s="6">
        <f t="shared" si="58"/>
        <v>7</v>
      </c>
      <c r="L1213" s="6" t="str">
        <f t="shared" si="56"/>
        <v>JULIO</v>
      </c>
    </row>
    <row r="1214" spans="1:12" x14ac:dyDescent="0.25">
      <c r="A1214" s="5">
        <f t="shared" si="57"/>
        <v>2025</v>
      </c>
      <c r="B1214" s="18" t="s">
        <v>1104</v>
      </c>
      <c r="C1214" s="18" t="s">
        <v>595</v>
      </c>
      <c r="D1214" s="12">
        <v>6178</v>
      </c>
      <c r="E1214" s="17" t="s">
        <v>406</v>
      </c>
      <c r="F1214" s="12" t="s">
        <v>407</v>
      </c>
      <c r="G1214" s="14">
        <v>2</v>
      </c>
      <c r="H1214" s="24">
        <v>634800</v>
      </c>
      <c r="I1214" s="12" t="s">
        <v>704</v>
      </c>
      <c r="J1214" s="6" t="s">
        <v>1101</v>
      </c>
      <c r="K1214" s="6">
        <f t="shared" si="58"/>
        <v>7</v>
      </c>
      <c r="L1214" s="6" t="str">
        <f t="shared" si="56"/>
        <v>JULIO</v>
      </c>
    </row>
    <row r="1215" spans="1:12" x14ac:dyDescent="0.25">
      <c r="A1215" s="5">
        <f t="shared" si="57"/>
        <v>2025</v>
      </c>
      <c r="B1215" s="18" t="s">
        <v>1026</v>
      </c>
      <c r="C1215" s="18" t="s">
        <v>595</v>
      </c>
      <c r="D1215" s="12">
        <v>6089</v>
      </c>
      <c r="E1215" s="17" t="s">
        <v>239</v>
      </c>
      <c r="F1215" s="12" t="s">
        <v>240</v>
      </c>
      <c r="G1215" s="14">
        <v>2</v>
      </c>
      <c r="H1215" s="24">
        <v>4298</v>
      </c>
      <c r="I1215" s="12" t="s">
        <v>712</v>
      </c>
      <c r="J1215" s="6" t="s">
        <v>608</v>
      </c>
      <c r="K1215" s="6">
        <f t="shared" si="58"/>
        <v>5</v>
      </c>
      <c r="L1215" s="6" t="str">
        <f t="shared" si="56"/>
        <v>MAYO</v>
      </c>
    </row>
    <row r="1216" spans="1:12" x14ac:dyDescent="0.25">
      <c r="A1216" s="5">
        <f t="shared" si="57"/>
        <v>2025</v>
      </c>
      <c r="B1216" s="18" t="s">
        <v>1026</v>
      </c>
      <c r="C1216" s="18" t="s">
        <v>595</v>
      </c>
      <c r="D1216" s="12">
        <v>6089</v>
      </c>
      <c r="E1216" s="17" t="s">
        <v>899</v>
      </c>
      <c r="F1216" s="12" t="s">
        <v>900</v>
      </c>
      <c r="G1216" s="14">
        <v>1</v>
      </c>
      <c r="H1216" s="24">
        <v>43949</v>
      </c>
      <c r="I1216" s="12" t="s">
        <v>712</v>
      </c>
      <c r="J1216" s="6" t="s">
        <v>608</v>
      </c>
      <c r="K1216" s="6">
        <f t="shared" si="58"/>
        <v>5</v>
      </c>
      <c r="L1216" s="6" t="str">
        <f t="shared" si="56"/>
        <v>MAYO</v>
      </c>
    </row>
    <row r="1217" spans="1:12" x14ac:dyDescent="0.25">
      <c r="A1217" s="5">
        <f t="shared" si="57"/>
        <v>2025</v>
      </c>
      <c r="B1217" s="18" t="s">
        <v>1043</v>
      </c>
      <c r="C1217" s="18" t="s">
        <v>595</v>
      </c>
      <c r="D1217" s="12">
        <v>6119</v>
      </c>
      <c r="E1217" s="17" t="s">
        <v>264</v>
      </c>
      <c r="F1217" s="12" t="s">
        <v>265</v>
      </c>
      <c r="G1217" s="14">
        <v>1</v>
      </c>
      <c r="H1217" s="24">
        <v>27800</v>
      </c>
      <c r="I1217" s="12" t="s">
        <v>712</v>
      </c>
      <c r="J1217" s="6" t="s">
        <v>608</v>
      </c>
      <c r="K1217" s="6">
        <f t="shared" si="58"/>
        <v>6</v>
      </c>
      <c r="L1217" s="6" t="str">
        <f t="shared" si="56"/>
        <v>JUNIO</v>
      </c>
    </row>
    <row r="1218" spans="1:12" x14ac:dyDescent="0.25">
      <c r="A1218" s="5">
        <f t="shared" si="57"/>
        <v>2025</v>
      </c>
      <c r="B1218" s="18" t="s">
        <v>1043</v>
      </c>
      <c r="C1218" s="18" t="s">
        <v>595</v>
      </c>
      <c r="D1218" s="12">
        <v>6119</v>
      </c>
      <c r="E1218" s="17" t="s">
        <v>455</v>
      </c>
      <c r="F1218" s="12" t="s">
        <v>456</v>
      </c>
      <c r="G1218" s="14">
        <v>1</v>
      </c>
      <c r="H1218" s="24">
        <v>185000</v>
      </c>
      <c r="I1218" s="12" t="s">
        <v>712</v>
      </c>
      <c r="J1218" s="6" t="s">
        <v>608</v>
      </c>
      <c r="K1218" s="6">
        <f t="shared" si="58"/>
        <v>6</v>
      </c>
      <c r="L1218" s="6" t="str">
        <f t="shared" si="56"/>
        <v>JUNIO</v>
      </c>
    </row>
    <row r="1219" spans="1:12" x14ac:dyDescent="0.25">
      <c r="A1219" s="5">
        <f t="shared" si="57"/>
        <v>2025</v>
      </c>
      <c r="B1219" s="18" t="s">
        <v>1043</v>
      </c>
      <c r="C1219" s="18" t="s">
        <v>595</v>
      </c>
      <c r="D1219" s="12">
        <v>6119</v>
      </c>
      <c r="E1219" s="17" t="s">
        <v>116</v>
      </c>
      <c r="F1219" s="12" t="s">
        <v>117</v>
      </c>
      <c r="G1219" s="14">
        <v>1</v>
      </c>
      <c r="H1219" s="24">
        <v>722443</v>
      </c>
      <c r="I1219" s="12" t="s">
        <v>712</v>
      </c>
      <c r="J1219" s="6" t="s">
        <v>608</v>
      </c>
      <c r="K1219" s="6">
        <f t="shared" si="58"/>
        <v>6</v>
      </c>
      <c r="L1219" s="6" t="str">
        <f t="shared" ref="L1219:L1282" si="59">VLOOKUP(K1219,N:O,2,0)</f>
        <v>JUNIO</v>
      </c>
    </row>
    <row r="1220" spans="1:12" x14ac:dyDescent="0.25">
      <c r="A1220" s="5">
        <f t="shared" si="57"/>
        <v>2025</v>
      </c>
      <c r="B1220" s="18" t="s">
        <v>1292</v>
      </c>
      <c r="C1220" s="18" t="s">
        <v>595</v>
      </c>
      <c r="D1220" s="12">
        <v>6387</v>
      </c>
      <c r="E1220" s="17" t="s">
        <v>726</v>
      </c>
      <c r="F1220" s="12" t="s">
        <v>727</v>
      </c>
      <c r="G1220" s="14">
        <v>5</v>
      </c>
      <c r="H1220" s="24">
        <v>420000</v>
      </c>
      <c r="I1220" s="12" t="s">
        <v>631</v>
      </c>
      <c r="J1220" s="6" t="s">
        <v>609</v>
      </c>
      <c r="K1220" s="6">
        <f t="shared" si="58"/>
        <v>12</v>
      </c>
      <c r="L1220" s="6" t="str">
        <f t="shared" si="59"/>
        <v>DICIEMBRE</v>
      </c>
    </row>
    <row r="1221" spans="1:12" x14ac:dyDescent="0.25">
      <c r="A1221" s="5">
        <f t="shared" si="57"/>
        <v>2025</v>
      </c>
      <c r="B1221" s="18" t="s">
        <v>1292</v>
      </c>
      <c r="C1221" s="18" t="s">
        <v>595</v>
      </c>
      <c r="D1221" s="12">
        <v>6387</v>
      </c>
      <c r="E1221" s="17" t="s">
        <v>724</v>
      </c>
      <c r="F1221" s="12" t="s">
        <v>725</v>
      </c>
      <c r="G1221" s="14">
        <v>5</v>
      </c>
      <c r="H1221" s="24">
        <v>420000</v>
      </c>
      <c r="I1221" s="12" t="s">
        <v>631</v>
      </c>
      <c r="J1221" s="6" t="s">
        <v>609</v>
      </c>
      <c r="K1221" s="6">
        <f t="shared" si="58"/>
        <v>12</v>
      </c>
      <c r="L1221" s="6" t="str">
        <f t="shared" si="59"/>
        <v>DICIEMBRE</v>
      </c>
    </row>
    <row r="1222" spans="1:12" x14ac:dyDescent="0.25">
      <c r="A1222" s="5">
        <f t="shared" si="57"/>
        <v>2025</v>
      </c>
      <c r="B1222" s="18" t="s">
        <v>1292</v>
      </c>
      <c r="C1222" s="18" t="s">
        <v>595</v>
      </c>
      <c r="D1222" s="12">
        <v>6387</v>
      </c>
      <c r="E1222" s="17" t="s">
        <v>357</v>
      </c>
      <c r="F1222" s="12" t="s">
        <v>358</v>
      </c>
      <c r="G1222" s="14">
        <v>5</v>
      </c>
      <c r="H1222" s="24">
        <v>600000</v>
      </c>
      <c r="I1222" s="12" t="s">
        <v>631</v>
      </c>
      <c r="J1222" s="6" t="s">
        <v>609</v>
      </c>
      <c r="K1222" s="6">
        <f t="shared" si="58"/>
        <v>12</v>
      </c>
      <c r="L1222" s="6" t="str">
        <f t="shared" si="59"/>
        <v>DICIEMBRE</v>
      </c>
    </row>
    <row r="1223" spans="1:12" x14ac:dyDescent="0.25">
      <c r="A1223" s="5">
        <f t="shared" si="57"/>
        <v>2025</v>
      </c>
      <c r="B1223" s="18" t="s">
        <v>1154</v>
      </c>
      <c r="C1223" s="18" t="s">
        <v>595</v>
      </c>
      <c r="D1223" s="12">
        <v>6242</v>
      </c>
      <c r="E1223" s="17" t="s">
        <v>303</v>
      </c>
      <c r="F1223" s="12" t="s">
        <v>304</v>
      </c>
      <c r="G1223" s="14">
        <v>8</v>
      </c>
      <c r="H1223" s="24">
        <v>260320</v>
      </c>
      <c r="I1223" s="12" t="s">
        <v>704</v>
      </c>
      <c r="J1223" s="6" t="s">
        <v>1101</v>
      </c>
      <c r="K1223" s="6">
        <f t="shared" si="58"/>
        <v>9</v>
      </c>
      <c r="L1223" s="6" t="str">
        <f t="shared" si="59"/>
        <v>SEPTIEMBRE</v>
      </c>
    </row>
    <row r="1224" spans="1:12" x14ac:dyDescent="0.25">
      <c r="A1224" s="5">
        <f t="shared" si="57"/>
        <v>2025</v>
      </c>
      <c r="B1224" s="18" t="s">
        <v>1154</v>
      </c>
      <c r="C1224" s="18" t="s">
        <v>595</v>
      </c>
      <c r="D1224" s="12">
        <v>6242</v>
      </c>
      <c r="E1224" s="17" t="s">
        <v>280</v>
      </c>
      <c r="F1224" s="12" t="s">
        <v>281</v>
      </c>
      <c r="G1224" s="14">
        <v>1</v>
      </c>
      <c r="H1224" s="24">
        <v>89130</v>
      </c>
      <c r="I1224" s="12" t="s">
        <v>704</v>
      </c>
      <c r="J1224" s="6" t="s">
        <v>1101</v>
      </c>
      <c r="K1224" s="6">
        <f t="shared" si="58"/>
        <v>9</v>
      </c>
      <c r="L1224" s="6" t="str">
        <f t="shared" si="59"/>
        <v>SEPTIEMBRE</v>
      </c>
    </row>
    <row r="1225" spans="1:12" x14ac:dyDescent="0.25">
      <c r="A1225" s="5">
        <f t="shared" si="57"/>
        <v>2025</v>
      </c>
      <c r="B1225" s="18" t="s">
        <v>1154</v>
      </c>
      <c r="C1225" s="18" t="s">
        <v>595</v>
      </c>
      <c r="D1225" s="12">
        <v>6242</v>
      </c>
      <c r="E1225" s="17" t="s">
        <v>678</v>
      </c>
      <c r="F1225" s="12" t="s">
        <v>695</v>
      </c>
      <c r="G1225" s="14">
        <v>1</v>
      </c>
      <c r="H1225" s="24">
        <v>75758</v>
      </c>
      <c r="I1225" s="12" t="s">
        <v>704</v>
      </c>
      <c r="J1225" s="6" t="s">
        <v>1101</v>
      </c>
      <c r="K1225" s="6">
        <f t="shared" si="58"/>
        <v>9</v>
      </c>
      <c r="L1225" s="6" t="str">
        <f t="shared" si="59"/>
        <v>SEPTIEMBRE</v>
      </c>
    </row>
    <row r="1226" spans="1:12" x14ac:dyDescent="0.25">
      <c r="A1226" s="5">
        <f t="shared" si="57"/>
        <v>2025</v>
      </c>
      <c r="B1226" s="18" t="s">
        <v>1154</v>
      </c>
      <c r="C1226" s="18" t="s">
        <v>595</v>
      </c>
      <c r="D1226" s="12">
        <v>6242</v>
      </c>
      <c r="E1226" s="17" t="s">
        <v>361</v>
      </c>
      <c r="F1226" s="12" t="s">
        <v>362</v>
      </c>
      <c r="G1226" s="14">
        <v>1</v>
      </c>
      <c r="H1226" s="24">
        <v>316090</v>
      </c>
      <c r="I1226" s="12" t="s">
        <v>704</v>
      </c>
      <c r="J1226" s="6" t="s">
        <v>1101</v>
      </c>
      <c r="K1226" s="6">
        <f t="shared" si="58"/>
        <v>9</v>
      </c>
      <c r="L1226" s="6" t="str">
        <f t="shared" si="59"/>
        <v>SEPTIEMBRE</v>
      </c>
    </row>
    <row r="1227" spans="1:12" x14ac:dyDescent="0.25">
      <c r="A1227" s="5">
        <f t="shared" si="57"/>
        <v>2025</v>
      </c>
      <c r="B1227" s="18" t="s">
        <v>1154</v>
      </c>
      <c r="C1227" s="18" t="s">
        <v>595</v>
      </c>
      <c r="D1227" s="12">
        <v>6242</v>
      </c>
      <c r="E1227" s="17" t="s">
        <v>406</v>
      </c>
      <c r="F1227" s="12" t="s">
        <v>407</v>
      </c>
      <c r="G1227" s="14">
        <v>1</v>
      </c>
      <c r="H1227" s="24">
        <v>300979</v>
      </c>
      <c r="I1227" s="12" t="s">
        <v>704</v>
      </c>
      <c r="J1227" s="6" t="s">
        <v>1101</v>
      </c>
      <c r="K1227" s="6">
        <f t="shared" si="58"/>
        <v>9</v>
      </c>
      <c r="L1227" s="6" t="str">
        <f t="shared" si="59"/>
        <v>SEPTIEMBRE</v>
      </c>
    </row>
    <row r="1228" spans="1:12" x14ac:dyDescent="0.25">
      <c r="A1228" s="5">
        <f t="shared" si="57"/>
        <v>2025</v>
      </c>
      <c r="B1228" s="18" t="s">
        <v>1154</v>
      </c>
      <c r="C1228" s="18" t="s">
        <v>595</v>
      </c>
      <c r="D1228" s="12">
        <v>6242</v>
      </c>
      <c r="E1228" s="17" t="s">
        <v>251</v>
      </c>
      <c r="F1228" s="12" t="s">
        <v>252</v>
      </c>
      <c r="G1228" s="14">
        <v>1</v>
      </c>
      <c r="H1228" s="24">
        <v>59178</v>
      </c>
      <c r="I1228" s="12" t="s">
        <v>704</v>
      </c>
      <c r="J1228" s="6" t="s">
        <v>1101</v>
      </c>
      <c r="K1228" s="6">
        <f t="shared" si="58"/>
        <v>9</v>
      </c>
      <c r="L1228" s="6" t="str">
        <f t="shared" si="59"/>
        <v>SEPTIEMBRE</v>
      </c>
    </row>
    <row r="1229" spans="1:12" x14ac:dyDescent="0.25">
      <c r="A1229" s="5">
        <f t="shared" si="57"/>
        <v>2025</v>
      </c>
      <c r="B1229" s="18" t="s">
        <v>1154</v>
      </c>
      <c r="C1229" s="18" t="s">
        <v>595</v>
      </c>
      <c r="D1229" s="12">
        <v>6242</v>
      </c>
      <c r="E1229" s="17" t="s">
        <v>681</v>
      </c>
      <c r="F1229" s="12" t="s">
        <v>698</v>
      </c>
      <c r="G1229" s="14">
        <v>2</v>
      </c>
      <c r="H1229" s="24">
        <v>104500</v>
      </c>
      <c r="I1229" s="12" t="s">
        <v>704</v>
      </c>
      <c r="J1229" s="6" t="s">
        <v>1101</v>
      </c>
      <c r="K1229" s="6">
        <f t="shared" si="58"/>
        <v>9</v>
      </c>
      <c r="L1229" s="6" t="str">
        <f t="shared" si="59"/>
        <v>SEPTIEMBRE</v>
      </c>
    </row>
    <row r="1230" spans="1:12" x14ac:dyDescent="0.25">
      <c r="A1230" s="5">
        <f t="shared" si="57"/>
        <v>2025</v>
      </c>
      <c r="B1230" s="18" t="s">
        <v>1043</v>
      </c>
      <c r="C1230" s="18" t="s">
        <v>595</v>
      </c>
      <c r="D1230" s="12">
        <v>6119</v>
      </c>
      <c r="E1230" s="17" t="s">
        <v>348</v>
      </c>
      <c r="F1230" s="12" t="s">
        <v>349</v>
      </c>
      <c r="G1230" s="14">
        <v>8</v>
      </c>
      <c r="H1230" s="24">
        <v>9600</v>
      </c>
      <c r="I1230" s="12" t="s">
        <v>712</v>
      </c>
      <c r="J1230" s="6" t="s">
        <v>608</v>
      </c>
      <c r="K1230" s="6">
        <f t="shared" si="58"/>
        <v>6</v>
      </c>
      <c r="L1230" s="6" t="str">
        <f t="shared" si="59"/>
        <v>JUNIO</v>
      </c>
    </row>
    <row r="1231" spans="1:12" x14ac:dyDescent="0.25">
      <c r="A1231" s="5">
        <f t="shared" si="57"/>
        <v>2025</v>
      </c>
      <c r="B1231" s="18" t="s">
        <v>1179</v>
      </c>
      <c r="C1231" s="18" t="s">
        <v>595</v>
      </c>
      <c r="D1231" s="12">
        <v>6274</v>
      </c>
      <c r="E1231" s="17" t="s">
        <v>682</v>
      </c>
      <c r="F1231" s="12" t="s">
        <v>699</v>
      </c>
      <c r="G1231" s="14">
        <v>1</v>
      </c>
      <c r="H1231" s="24">
        <v>111989</v>
      </c>
      <c r="I1231" s="12" t="s">
        <v>704</v>
      </c>
      <c r="J1231" s="6" t="s">
        <v>1101</v>
      </c>
      <c r="K1231" s="6">
        <f t="shared" si="58"/>
        <v>9</v>
      </c>
      <c r="L1231" s="6" t="str">
        <f t="shared" si="59"/>
        <v>SEPTIEMBRE</v>
      </c>
    </row>
    <row r="1232" spans="1:12" x14ac:dyDescent="0.25">
      <c r="A1232" s="5">
        <f t="shared" si="57"/>
        <v>2025</v>
      </c>
      <c r="B1232" s="18" t="s">
        <v>1179</v>
      </c>
      <c r="C1232" s="18" t="s">
        <v>595</v>
      </c>
      <c r="D1232" s="12">
        <v>6274</v>
      </c>
      <c r="E1232" s="17" t="s">
        <v>669</v>
      </c>
      <c r="F1232" s="12" t="s">
        <v>671</v>
      </c>
      <c r="G1232" s="14">
        <v>1</v>
      </c>
      <c r="H1232" s="24">
        <v>35685</v>
      </c>
      <c r="I1232" s="12" t="s">
        <v>704</v>
      </c>
      <c r="J1232" s="6" t="s">
        <v>1101</v>
      </c>
      <c r="K1232" s="6">
        <f t="shared" si="58"/>
        <v>9</v>
      </c>
      <c r="L1232" s="6" t="str">
        <f t="shared" si="59"/>
        <v>SEPTIEMBRE</v>
      </c>
    </row>
    <row r="1233" spans="1:12" x14ac:dyDescent="0.25">
      <c r="A1233" s="5">
        <f t="shared" si="57"/>
        <v>2025</v>
      </c>
      <c r="B1233" s="18" t="s">
        <v>1179</v>
      </c>
      <c r="C1233" s="18" t="s">
        <v>595</v>
      </c>
      <c r="D1233" s="12">
        <v>6274</v>
      </c>
      <c r="E1233" s="17">
        <v>994346</v>
      </c>
      <c r="F1233" s="12" t="s">
        <v>408</v>
      </c>
      <c r="G1233" s="14">
        <v>1</v>
      </c>
      <c r="H1233" s="24">
        <v>413100</v>
      </c>
      <c r="I1233" s="12" t="s">
        <v>704</v>
      </c>
      <c r="J1233" s="6" t="s">
        <v>1101</v>
      </c>
      <c r="K1233" s="6">
        <f t="shared" si="58"/>
        <v>9</v>
      </c>
      <c r="L1233" s="6" t="str">
        <f t="shared" si="59"/>
        <v>SEPTIEMBRE</v>
      </c>
    </row>
    <row r="1234" spans="1:12" x14ac:dyDescent="0.25">
      <c r="A1234" s="5">
        <f t="shared" si="57"/>
        <v>2025</v>
      </c>
      <c r="B1234" s="18" t="s">
        <v>1179</v>
      </c>
      <c r="C1234" s="18" t="s">
        <v>595</v>
      </c>
      <c r="D1234" s="12">
        <v>6274</v>
      </c>
      <c r="E1234" s="17" t="s">
        <v>167</v>
      </c>
      <c r="F1234" s="12" t="s">
        <v>168</v>
      </c>
      <c r="G1234" s="14">
        <v>1</v>
      </c>
      <c r="H1234" s="24">
        <v>638100</v>
      </c>
      <c r="I1234" s="12" t="s">
        <v>704</v>
      </c>
      <c r="J1234" s="6" t="s">
        <v>1101</v>
      </c>
      <c r="K1234" s="6">
        <f t="shared" si="58"/>
        <v>9</v>
      </c>
      <c r="L1234" s="6" t="str">
        <f t="shared" si="59"/>
        <v>SEPTIEMBRE</v>
      </c>
    </row>
    <row r="1235" spans="1:12" x14ac:dyDescent="0.25">
      <c r="A1235" s="5">
        <f t="shared" si="57"/>
        <v>2025</v>
      </c>
      <c r="B1235" s="18" t="s">
        <v>1179</v>
      </c>
      <c r="C1235" s="18" t="s">
        <v>595</v>
      </c>
      <c r="D1235" s="12">
        <v>6274</v>
      </c>
      <c r="E1235" s="17" t="s">
        <v>367</v>
      </c>
      <c r="F1235" s="12" t="s">
        <v>368</v>
      </c>
      <c r="G1235" s="14">
        <v>4</v>
      </c>
      <c r="H1235" s="24">
        <v>1046464</v>
      </c>
      <c r="I1235" s="12" t="s">
        <v>704</v>
      </c>
      <c r="J1235" s="6" t="s">
        <v>1101</v>
      </c>
      <c r="K1235" s="6">
        <f t="shared" si="58"/>
        <v>9</v>
      </c>
      <c r="L1235" s="6" t="str">
        <f t="shared" si="59"/>
        <v>SEPTIEMBRE</v>
      </c>
    </row>
    <row r="1236" spans="1:12" x14ac:dyDescent="0.25">
      <c r="A1236" s="5">
        <f t="shared" si="57"/>
        <v>2025</v>
      </c>
      <c r="B1236" s="18" t="s">
        <v>1179</v>
      </c>
      <c r="C1236" s="18" t="s">
        <v>595</v>
      </c>
      <c r="D1236" s="12">
        <v>6274</v>
      </c>
      <c r="E1236" s="17">
        <v>4302398</v>
      </c>
      <c r="F1236" s="12" t="s">
        <v>412</v>
      </c>
      <c r="G1236" s="14">
        <v>1</v>
      </c>
      <c r="H1236" s="24">
        <v>29900</v>
      </c>
      <c r="I1236" s="12" t="s">
        <v>704</v>
      </c>
      <c r="J1236" s="6" t="s">
        <v>1101</v>
      </c>
      <c r="K1236" s="6">
        <f t="shared" si="58"/>
        <v>9</v>
      </c>
      <c r="L1236" s="6" t="str">
        <f t="shared" si="59"/>
        <v>SEPTIEMBRE</v>
      </c>
    </row>
    <row r="1237" spans="1:12" x14ac:dyDescent="0.25">
      <c r="A1237" s="5">
        <f t="shared" si="57"/>
        <v>2025</v>
      </c>
      <c r="B1237" s="18" t="s">
        <v>1179</v>
      </c>
      <c r="C1237" s="18" t="s">
        <v>595</v>
      </c>
      <c r="D1237" s="12">
        <v>6274</v>
      </c>
      <c r="E1237" s="17" t="s">
        <v>122</v>
      </c>
      <c r="F1237" s="12" t="s">
        <v>123</v>
      </c>
      <c r="G1237" s="14">
        <v>6</v>
      </c>
      <c r="H1237" s="24">
        <v>40200</v>
      </c>
      <c r="I1237" s="12" t="s">
        <v>704</v>
      </c>
      <c r="J1237" s="6" t="s">
        <v>1101</v>
      </c>
      <c r="K1237" s="6">
        <f t="shared" si="58"/>
        <v>9</v>
      </c>
      <c r="L1237" s="6" t="str">
        <f t="shared" si="59"/>
        <v>SEPTIEMBRE</v>
      </c>
    </row>
    <row r="1238" spans="1:12" x14ac:dyDescent="0.25">
      <c r="A1238" s="5">
        <f t="shared" si="57"/>
        <v>2025</v>
      </c>
      <c r="B1238" s="18" t="s">
        <v>1179</v>
      </c>
      <c r="C1238" s="18" t="s">
        <v>595</v>
      </c>
      <c r="D1238" s="12">
        <v>6274</v>
      </c>
      <c r="E1238" s="17" t="s">
        <v>124</v>
      </c>
      <c r="F1238" s="12" t="s">
        <v>125</v>
      </c>
      <c r="G1238" s="14">
        <v>1</v>
      </c>
      <c r="H1238" s="24">
        <v>17933</v>
      </c>
      <c r="I1238" s="12" t="s">
        <v>704</v>
      </c>
      <c r="J1238" s="6" t="s">
        <v>1101</v>
      </c>
      <c r="K1238" s="6">
        <f t="shared" si="58"/>
        <v>9</v>
      </c>
      <c r="L1238" s="6" t="str">
        <f t="shared" si="59"/>
        <v>SEPTIEMBRE</v>
      </c>
    </row>
    <row r="1239" spans="1:12" x14ac:dyDescent="0.25">
      <c r="A1239" s="5">
        <f t="shared" si="57"/>
        <v>2025</v>
      </c>
      <c r="B1239" s="18" t="s">
        <v>1179</v>
      </c>
      <c r="C1239" s="18" t="s">
        <v>595</v>
      </c>
      <c r="D1239" s="12">
        <v>6274</v>
      </c>
      <c r="E1239" s="17" t="s">
        <v>280</v>
      </c>
      <c r="F1239" s="12" t="s">
        <v>281</v>
      </c>
      <c r="G1239" s="14">
        <v>1</v>
      </c>
      <c r="H1239" s="24">
        <v>89578</v>
      </c>
      <c r="I1239" s="12" t="s">
        <v>704</v>
      </c>
      <c r="J1239" s="6" t="s">
        <v>1101</v>
      </c>
      <c r="K1239" s="6">
        <f t="shared" si="58"/>
        <v>9</v>
      </c>
      <c r="L1239" s="6" t="str">
        <f t="shared" si="59"/>
        <v>SEPTIEMBRE</v>
      </c>
    </row>
    <row r="1240" spans="1:12" x14ac:dyDescent="0.25">
      <c r="A1240" s="5">
        <f t="shared" si="57"/>
        <v>2025</v>
      </c>
      <c r="B1240" s="18" t="s">
        <v>1179</v>
      </c>
      <c r="C1240" s="18" t="s">
        <v>595</v>
      </c>
      <c r="D1240" s="12">
        <v>6274</v>
      </c>
      <c r="E1240" s="17" t="s">
        <v>299</v>
      </c>
      <c r="F1240" s="12" t="s">
        <v>300</v>
      </c>
      <c r="G1240" s="14">
        <v>1</v>
      </c>
      <c r="H1240" s="24">
        <v>51087</v>
      </c>
      <c r="I1240" s="12" t="s">
        <v>704</v>
      </c>
      <c r="J1240" s="6" t="s">
        <v>1101</v>
      </c>
      <c r="K1240" s="6">
        <f t="shared" si="58"/>
        <v>9</v>
      </c>
      <c r="L1240" s="6" t="str">
        <f t="shared" si="59"/>
        <v>SEPTIEMBRE</v>
      </c>
    </row>
    <row r="1241" spans="1:12" x14ac:dyDescent="0.25">
      <c r="A1241" s="5">
        <f t="shared" si="57"/>
        <v>2025</v>
      </c>
      <c r="B1241" s="18" t="s">
        <v>1179</v>
      </c>
      <c r="C1241" s="18" t="s">
        <v>595</v>
      </c>
      <c r="D1241" s="12">
        <v>6274</v>
      </c>
      <c r="E1241" s="17" t="s">
        <v>395</v>
      </c>
      <c r="F1241" s="12" t="s">
        <v>396</v>
      </c>
      <c r="G1241" s="14">
        <v>4</v>
      </c>
      <c r="H1241" s="24">
        <v>706564</v>
      </c>
      <c r="I1241" s="12" t="s">
        <v>704</v>
      </c>
      <c r="J1241" s="6" t="s">
        <v>1101</v>
      </c>
      <c r="K1241" s="6">
        <f t="shared" si="58"/>
        <v>9</v>
      </c>
      <c r="L1241" s="6" t="str">
        <f t="shared" si="59"/>
        <v>SEPTIEMBRE</v>
      </c>
    </row>
    <row r="1242" spans="1:12" x14ac:dyDescent="0.25">
      <c r="A1242" s="5">
        <f t="shared" si="57"/>
        <v>2025</v>
      </c>
      <c r="B1242" s="18" t="s">
        <v>1179</v>
      </c>
      <c r="C1242" s="18" t="s">
        <v>595</v>
      </c>
      <c r="D1242" s="12">
        <v>6274</v>
      </c>
      <c r="E1242" s="17" t="s">
        <v>678</v>
      </c>
      <c r="F1242" s="12" t="s">
        <v>695</v>
      </c>
      <c r="G1242" s="14">
        <v>1</v>
      </c>
      <c r="H1242" s="24">
        <v>72826</v>
      </c>
      <c r="I1242" s="12" t="s">
        <v>704</v>
      </c>
      <c r="J1242" s="6" t="s">
        <v>1101</v>
      </c>
      <c r="K1242" s="6">
        <f t="shared" si="58"/>
        <v>9</v>
      </c>
      <c r="L1242" s="6" t="str">
        <f t="shared" si="59"/>
        <v>SEPTIEMBRE</v>
      </c>
    </row>
    <row r="1243" spans="1:12" x14ac:dyDescent="0.25">
      <c r="A1243" s="5">
        <f t="shared" si="57"/>
        <v>2025</v>
      </c>
      <c r="B1243" s="18" t="s">
        <v>1179</v>
      </c>
      <c r="C1243" s="18" t="s">
        <v>595</v>
      </c>
      <c r="D1243" s="12">
        <v>6274</v>
      </c>
      <c r="E1243" s="17" t="s">
        <v>105</v>
      </c>
      <c r="F1243" s="12" t="s">
        <v>106</v>
      </c>
      <c r="G1243" s="14">
        <v>1</v>
      </c>
      <c r="H1243" s="24">
        <v>52800</v>
      </c>
      <c r="I1243" s="12" t="s">
        <v>704</v>
      </c>
      <c r="J1243" s="6" t="s">
        <v>1101</v>
      </c>
      <c r="K1243" s="6">
        <f t="shared" si="58"/>
        <v>9</v>
      </c>
      <c r="L1243" s="6" t="str">
        <f t="shared" si="59"/>
        <v>SEPTIEMBRE</v>
      </c>
    </row>
    <row r="1244" spans="1:12" x14ac:dyDescent="0.25">
      <c r="A1244" s="5">
        <f t="shared" si="57"/>
        <v>2025</v>
      </c>
      <c r="B1244" s="18" t="s">
        <v>1179</v>
      </c>
      <c r="C1244" s="18" t="s">
        <v>595</v>
      </c>
      <c r="D1244" s="12">
        <v>6274</v>
      </c>
      <c r="E1244" s="17">
        <v>4303603</v>
      </c>
      <c r="F1244" s="12" t="s">
        <v>335</v>
      </c>
      <c r="G1244" s="14">
        <v>2</v>
      </c>
      <c r="H1244" s="24">
        <v>83800</v>
      </c>
      <c r="I1244" s="12" t="s">
        <v>704</v>
      </c>
      <c r="J1244" s="6" t="s">
        <v>1101</v>
      </c>
      <c r="K1244" s="6">
        <f t="shared" si="58"/>
        <v>9</v>
      </c>
      <c r="L1244" s="6" t="str">
        <f t="shared" si="59"/>
        <v>SEPTIEMBRE</v>
      </c>
    </row>
    <row r="1245" spans="1:12" x14ac:dyDescent="0.25">
      <c r="A1245" s="5">
        <f t="shared" si="57"/>
        <v>2025</v>
      </c>
      <c r="B1245" s="18" t="s">
        <v>1179</v>
      </c>
      <c r="C1245" s="18" t="s">
        <v>595</v>
      </c>
      <c r="D1245" s="12">
        <v>6274</v>
      </c>
      <c r="E1245" s="17" t="s">
        <v>490</v>
      </c>
      <c r="F1245" s="12" t="s">
        <v>491</v>
      </c>
      <c r="G1245" s="14">
        <v>1</v>
      </c>
      <c r="H1245" s="24">
        <v>9000</v>
      </c>
      <c r="I1245" s="12" t="s">
        <v>704</v>
      </c>
      <c r="J1245" s="6" t="s">
        <v>1101</v>
      </c>
      <c r="K1245" s="6">
        <f t="shared" si="58"/>
        <v>9</v>
      </c>
      <c r="L1245" s="6" t="str">
        <f t="shared" si="59"/>
        <v>SEPTIEMBRE</v>
      </c>
    </row>
    <row r="1246" spans="1:12" x14ac:dyDescent="0.25">
      <c r="A1246" s="5">
        <f t="shared" si="57"/>
        <v>2025</v>
      </c>
      <c r="B1246" s="18" t="s">
        <v>1179</v>
      </c>
      <c r="C1246" s="18" t="s">
        <v>595</v>
      </c>
      <c r="D1246" s="12">
        <v>6274</v>
      </c>
      <c r="E1246" s="17" t="s">
        <v>303</v>
      </c>
      <c r="F1246" s="12" t="s">
        <v>304</v>
      </c>
      <c r="G1246" s="14">
        <v>4</v>
      </c>
      <c r="H1246" s="24">
        <v>131472</v>
      </c>
      <c r="I1246" s="12" t="s">
        <v>704</v>
      </c>
      <c r="J1246" s="6" t="s">
        <v>1101</v>
      </c>
      <c r="K1246" s="6">
        <f t="shared" si="58"/>
        <v>9</v>
      </c>
      <c r="L1246" s="6" t="str">
        <f t="shared" si="59"/>
        <v>SEPTIEMBRE</v>
      </c>
    </row>
    <row r="1247" spans="1:12" x14ac:dyDescent="0.25">
      <c r="A1247" s="5">
        <f t="shared" si="57"/>
        <v>2025</v>
      </c>
      <c r="B1247" s="18" t="s">
        <v>1179</v>
      </c>
      <c r="C1247" s="18" t="s">
        <v>595</v>
      </c>
      <c r="D1247" s="12">
        <v>6274</v>
      </c>
      <c r="E1247" s="17" t="s">
        <v>361</v>
      </c>
      <c r="F1247" s="12" t="s">
        <v>362</v>
      </c>
      <c r="G1247" s="14">
        <v>1</v>
      </c>
      <c r="H1247" s="24">
        <v>315870</v>
      </c>
      <c r="I1247" s="12" t="s">
        <v>704</v>
      </c>
      <c r="J1247" s="6" t="s">
        <v>1101</v>
      </c>
      <c r="K1247" s="6">
        <f t="shared" si="58"/>
        <v>9</v>
      </c>
      <c r="L1247" s="6" t="str">
        <f t="shared" si="59"/>
        <v>SEPTIEMBRE</v>
      </c>
    </row>
    <row r="1248" spans="1:12" x14ac:dyDescent="0.25">
      <c r="A1248" s="5">
        <f t="shared" si="57"/>
        <v>2025</v>
      </c>
      <c r="B1248" s="18" t="s">
        <v>1179</v>
      </c>
      <c r="C1248" s="18" t="s">
        <v>595</v>
      </c>
      <c r="D1248" s="12">
        <v>6274</v>
      </c>
      <c r="E1248" s="17" t="s">
        <v>685</v>
      </c>
      <c r="F1248" s="12" t="s">
        <v>702</v>
      </c>
      <c r="G1248" s="14">
        <v>2</v>
      </c>
      <c r="H1248" s="24">
        <v>605876</v>
      </c>
      <c r="I1248" s="12" t="s">
        <v>704</v>
      </c>
      <c r="J1248" s="6" t="s">
        <v>1101</v>
      </c>
      <c r="K1248" s="6">
        <f t="shared" si="58"/>
        <v>9</v>
      </c>
      <c r="L1248" s="6" t="str">
        <f t="shared" si="59"/>
        <v>SEPTIEMBRE</v>
      </c>
    </row>
    <row r="1249" spans="1:12" x14ac:dyDescent="0.25">
      <c r="A1249" s="5">
        <f t="shared" si="57"/>
        <v>2025</v>
      </c>
      <c r="B1249" s="18" t="s">
        <v>1179</v>
      </c>
      <c r="C1249" s="18" t="s">
        <v>595</v>
      </c>
      <c r="D1249" s="12">
        <v>6274</v>
      </c>
      <c r="E1249" s="17" t="s">
        <v>297</v>
      </c>
      <c r="F1249" s="12" t="s">
        <v>298</v>
      </c>
      <c r="G1249" s="14">
        <v>2</v>
      </c>
      <c r="H1249" s="24">
        <v>341800</v>
      </c>
      <c r="I1249" s="12" t="s">
        <v>704</v>
      </c>
      <c r="J1249" s="6" t="s">
        <v>1101</v>
      </c>
      <c r="K1249" s="6">
        <f t="shared" si="58"/>
        <v>9</v>
      </c>
      <c r="L1249" s="6" t="str">
        <f t="shared" si="59"/>
        <v>SEPTIEMBRE</v>
      </c>
    </row>
    <row r="1250" spans="1:12" x14ac:dyDescent="0.25">
      <c r="A1250" s="5">
        <f t="shared" si="57"/>
        <v>2025</v>
      </c>
      <c r="B1250" s="18" t="s">
        <v>1179</v>
      </c>
      <c r="C1250" s="18" t="s">
        <v>595</v>
      </c>
      <c r="D1250" s="12">
        <v>6274</v>
      </c>
      <c r="E1250" s="17" t="s">
        <v>266</v>
      </c>
      <c r="F1250" s="12" t="s">
        <v>267</v>
      </c>
      <c r="G1250" s="14">
        <v>1</v>
      </c>
      <c r="H1250" s="24">
        <v>276232</v>
      </c>
      <c r="I1250" s="12" t="s">
        <v>704</v>
      </c>
      <c r="J1250" s="6" t="s">
        <v>1101</v>
      </c>
      <c r="K1250" s="6">
        <f t="shared" si="58"/>
        <v>9</v>
      </c>
      <c r="L1250" s="6" t="str">
        <f t="shared" si="59"/>
        <v>SEPTIEMBRE</v>
      </c>
    </row>
    <row r="1251" spans="1:12" x14ac:dyDescent="0.25">
      <c r="A1251" s="5">
        <f t="shared" si="57"/>
        <v>2025</v>
      </c>
      <c r="B1251" s="18" t="s">
        <v>1179</v>
      </c>
      <c r="C1251" s="18" t="s">
        <v>595</v>
      </c>
      <c r="D1251" s="12">
        <v>6274</v>
      </c>
      <c r="E1251" s="17" t="s">
        <v>251</v>
      </c>
      <c r="F1251" s="12" t="s">
        <v>252</v>
      </c>
      <c r="G1251" s="14">
        <v>1</v>
      </c>
      <c r="H1251" s="24">
        <v>59476</v>
      </c>
      <c r="I1251" s="12" t="s">
        <v>704</v>
      </c>
      <c r="J1251" s="6" t="s">
        <v>1101</v>
      </c>
      <c r="K1251" s="6">
        <f t="shared" si="58"/>
        <v>9</v>
      </c>
      <c r="L1251" s="6" t="str">
        <f t="shared" si="59"/>
        <v>SEPTIEMBRE</v>
      </c>
    </row>
    <row r="1252" spans="1:12" x14ac:dyDescent="0.25">
      <c r="A1252" s="5">
        <f t="shared" si="57"/>
        <v>2025</v>
      </c>
      <c r="B1252" s="18" t="s">
        <v>1179</v>
      </c>
      <c r="C1252" s="18" t="s">
        <v>595</v>
      </c>
      <c r="D1252" s="12">
        <v>6274</v>
      </c>
      <c r="E1252" s="17" t="s">
        <v>270</v>
      </c>
      <c r="F1252" s="12" t="s">
        <v>271</v>
      </c>
      <c r="G1252" s="14">
        <v>1</v>
      </c>
      <c r="H1252" s="24">
        <v>1046902</v>
      </c>
      <c r="I1252" s="12" t="s">
        <v>704</v>
      </c>
      <c r="J1252" s="6" t="s">
        <v>1101</v>
      </c>
      <c r="K1252" s="6">
        <f t="shared" si="58"/>
        <v>9</v>
      </c>
      <c r="L1252" s="6" t="str">
        <f t="shared" si="59"/>
        <v>SEPTIEMBRE</v>
      </c>
    </row>
    <row r="1253" spans="1:12" x14ac:dyDescent="0.25">
      <c r="A1253" s="5">
        <f t="shared" si="57"/>
        <v>2025</v>
      </c>
      <c r="B1253" s="18" t="s">
        <v>1179</v>
      </c>
      <c r="C1253" s="18" t="s">
        <v>595</v>
      </c>
      <c r="D1253" s="12">
        <v>6274</v>
      </c>
      <c r="E1253" s="17" t="s">
        <v>397</v>
      </c>
      <c r="F1253" s="12" t="s">
        <v>398</v>
      </c>
      <c r="G1253" s="14">
        <v>1</v>
      </c>
      <c r="H1253" s="24">
        <v>1024142</v>
      </c>
      <c r="I1253" s="12" t="s">
        <v>704</v>
      </c>
      <c r="J1253" s="6" t="s">
        <v>1101</v>
      </c>
      <c r="K1253" s="6">
        <f t="shared" si="58"/>
        <v>9</v>
      </c>
      <c r="L1253" s="6" t="str">
        <f t="shared" si="59"/>
        <v>SEPTIEMBRE</v>
      </c>
    </row>
    <row r="1254" spans="1:12" x14ac:dyDescent="0.25">
      <c r="A1254" s="5">
        <f t="shared" si="57"/>
        <v>2025</v>
      </c>
      <c r="B1254" s="18" t="s">
        <v>1179</v>
      </c>
      <c r="C1254" s="18" t="s">
        <v>595</v>
      </c>
      <c r="D1254" s="12">
        <v>6274</v>
      </c>
      <c r="E1254" s="17" t="s">
        <v>677</v>
      </c>
      <c r="F1254" s="12" t="s">
        <v>692</v>
      </c>
      <c r="G1254" s="14">
        <v>2</v>
      </c>
      <c r="H1254" s="24">
        <v>767000</v>
      </c>
      <c r="I1254" s="12" t="s">
        <v>704</v>
      </c>
      <c r="J1254" s="6" t="s">
        <v>1101</v>
      </c>
      <c r="K1254" s="6">
        <f t="shared" si="58"/>
        <v>9</v>
      </c>
      <c r="L1254" s="6" t="str">
        <f t="shared" si="59"/>
        <v>SEPTIEMBRE</v>
      </c>
    </row>
    <row r="1255" spans="1:12" x14ac:dyDescent="0.25">
      <c r="A1255" s="5">
        <f t="shared" si="57"/>
        <v>2025</v>
      </c>
      <c r="B1255" s="18" t="s">
        <v>1179</v>
      </c>
      <c r="C1255" s="18" t="s">
        <v>595</v>
      </c>
      <c r="D1255" s="12">
        <v>6274</v>
      </c>
      <c r="E1255" s="17" t="s">
        <v>406</v>
      </c>
      <c r="F1255" s="12" t="s">
        <v>407</v>
      </c>
      <c r="G1255" s="14">
        <v>2</v>
      </c>
      <c r="H1255" s="24">
        <v>593000</v>
      </c>
      <c r="I1255" s="12" t="s">
        <v>704</v>
      </c>
      <c r="J1255" s="6" t="s">
        <v>1101</v>
      </c>
      <c r="K1255" s="6">
        <f t="shared" si="58"/>
        <v>9</v>
      </c>
      <c r="L1255" s="6" t="str">
        <f t="shared" si="59"/>
        <v>SEPTIEMBRE</v>
      </c>
    </row>
    <row r="1256" spans="1:12" x14ac:dyDescent="0.25">
      <c r="A1256" s="5">
        <f t="shared" si="57"/>
        <v>2025</v>
      </c>
      <c r="B1256" s="18" t="s">
        <v>1179</v>
      </c>
      <c r="C1256" s="18" t="s">
        <v>595</v>
      </c>
      <c r="D1256" s="12">
        <v>6274</v>
      </c>
      <c r="E1256" s="17" t="s">
        <v>684</v>
      </c>
      <c r="F1256" s="12" t="s">
        <v>701</v>
      </c>
      <c r="G1256" s="14">
        <v>1</v>
      </c>
      <c r="H1256" s="24">
        <v>131974</v>
      </c>
      <c r="I1256" s="12" t="s">
        <v>704</v>
      </c>
      <c r="J1256" s="6" t="s">
        <v>1101</v>
      </c>
      <c r="K1256" s="6">
        <f t="shared" si="58"/>
        <v>9</v>
      </c>
      <c r="L1256" s="6" t="str">
        <f t="shared" si="59"/>
        <v>SEPTIEMBRE</v>
      </c>
    </row>
    <row r="1257" spans="1:12" x14ac:dyDescent="0.25">
      <c r="A1257" s="5">
        <f t="shared" si="57"/>
        <v>2025</v>
      </c>
      <c r="B1257" s="18" t="s">
        <v>1179</v>
      </c>
      <c r="C1257" s="18" t="s">
        <v>595</v>
      </c>
      <c r="D1257" s="12">
        <v>6274</v>
      </c>
      <c r="E1257" s="17" t="s">
        <v>158</v>
      </c>
      <c r="F1257" s="12" t="s">
        <v>159</v>
      </c>
      <c r="G1257" s="14">
        <v>2</v>
      </c>
      <c r="H1257" s="24">
        <v>204164</v>
      </c>
      <c r="I1257" s="12" t="s">
        <v>704</v>
      </c>
      <c r="J1257" s="6" t="s">
        <v>1101</v>
      </c>
      <c r="K1257" s="6">
        <f t="shared" si="58"/>
        <v>9</v>
      </c>
      <c r="L1257" s="6" t="str">
        <f t="shared" si="59"/>
        <v>SEPTIEMBRE</v>
      </c>
    </row>
    <row r="1258" spans="1:12" x14ac:dyDescent="0.25">
      <c r="A1258" s="5">
        <f t="shared" si="57"/>
        <v>2025</v>
      </c>
      <c r="B1258" s="18" t="s">
        <v>1179</v>
      </c>
      <c r="C1258" s="18" t="s">
        <v>595</v>
      </c>
      <c r="D1258" s="12">
        <v>6274</v>
      </c>
      <c r="E1258" s="17" t="s">
        <v>680</v>
      </c>
      <c r="F1258" s="12" t="s">
        <v>697</v>
      </c>
      <c r="G1258" s="14">
        <v>1</v>
      </c>
      <c r="H1258" s="24">
        <v>109246</v>
      </c>
      <c r="I1258" s="12" t="s">
        <v>704</v>
      </c>
      <c r="J1258" s="6" t="s">
        <v>1101</v>
      </c>
      <c r="K1258" s="6">
        <f t="shared" si="58"/>
        <v>9</v>
      </c>
      <c r="L1258" s="6" t="str">
        <f t="shared" si="59"/>
        <v>SEPTIEMBRE</v>
      </c>
    </row>
    <row r="1259" spans="1:12" x14ac:dyDescent="0.25">
      <c r="A1259" s="5">
        <f t="shared" si="57"/>
        <v>2025</v>
      </c>
      <c r="B1259" s="18" t="s">
        <v>1179</v>
      </c>
      <c r="C1259" s="18" t="s">
        <v>595</v>
      </c>
      <c r="D1259" s="12">
        <v>6274</v>
      </c>
      <c r="E1259" s="17" t="s">
        <v>156</v>
      </c>
      <c r="F1259" s="12" t="s">
        <v>157</v>
      </c>
      <c r="G1259" s="14">
        <v>1</v>
      </c>
      <c r="H1259" s="24">
        <v>480796</v>
      </c>
      <c r="I1259" s="12" t="s">
        <v>704</v>
      </c>
      <c r="J1259" s="6" t="s">
        <v>1101</v>
      </c>
      <c r="K1259" s="6">
        <f t="shared" si="58"/>
        <v>9</v>
      </c>
      <c r="L1259" s="6" t="str">
        <f t="shared" si="59"/>
        <v>SEPTIEMBRE</v>
      </c>
    </row>
    <row r="1260" spans="1:12" x14ac:dyDescent="0.25">
      <c r="A1260" s="5">
        <f t="shared" si="57"/>
        <v>2025</v>
      </c>
      <c r="B1260" s="18" t="s">
        <v>1283</v>
      </c>
      <c r="C1260" s="18" t="s">
        <v>595</v>
      </c>
      <c r="D1260" s="12">
        <v>6377</v>
      </c>
      <c r="E1260" s="17" t="s">
        <v>371</v>
      </c>
      <c r="F1260" s="12" t="s">
        <v>372</v>
      </c>
      <c r="G1260" s="14">
        <v>5</v>
      </c>
      <c r="H1260" s="24">
        <v>940000</v>
      </c>
      <c r="I1260" s="12" t="s">
        <v>712</v>
      </c>
      <c r="J1260" s="6" t="s">
        <v>608</v>
      </c>
      <c r="K1260" s="6">
        <f t="shared" si="58"/>
        <v>11</v>
      </c>
      <c r="L1260" s="6" t="str">
        <f t="shared" si="59"/>
        <v>NOVIEMBRE</v>
      </c>
    </row>
    <row r="1261" spans="1:12" x14ac:dyDescent="0.25">
      <c r="A1261" s="5">
        <f t="shared" si="57"/>
        <v>2025</v>
      </c>
      <c r="B1261" s="18" t="s">
        <v>1283</v>
      </c>
      <c r="C1261" s="18" t="s">
        <v>595</v>
      </c>
      <c r="D1261" s="12">
        <v>6377</v>
      </c>
      <c r="E1261" s="17" t="s">
        <v>192</v>
      </c>
      <c r="F1261" s="12" t="s">
        <v>193</v>
      </c>
      <c r="G1261" s="14">
        <v>1</v>
      </c>
      <c r="H1261" s="24">
        <v>356000</v>
      </c>
      <c r="I1261" s="12" t="s">
        <v>712</v>
      </c>
      <c r="J1261" s="6" t="s">
        <v>608</v>
      </c>
      <c r="K1261" s="6">
        <f t="shared" si="58"/>
        <v>11</v>
      </c>
      <c r="L1261" s="6" t="str">
        <f t="shared" si="59"/>
        <v>NOVIEMBRE</v>
      </c>
    </row>
    <row r="1262" spans="1:12" x14ac:dyDescent="0.25">
      <c r="A1262" s="5">
        <f t="shared" si="57"/>
        <v>2025</v>
      </c>
      <c r="B1262" s="18" t="s">
        <v>1283</v>
      </c>
      <c r="C1262" s="18" t="s">
        <v>595</v>
      </c>
      <c r="D1262" s="12">
        <v>6377</v>
      </c>
      <c r="E1262" s="17" t="s">
        <v>494</v>
      </c>
      <c r="F1262" s="12" t="s">
        <v>495</v>
      </c>
      <c r="G1262" s="14">
        <v>2</v>
      </c>
      <c r="H1262" s="24">
        <v>90000</v>
      </c>
      <c r="I1262" s="12" t="s">
        <v>712</v>
      </c>
      <c r="J1262" s="6" t="s">
        <v>608</v>
      </c>
      <c r="K1262" s="6">
        <f t="shared" si="58"/>
        <v>11</v>
      </c>
      <c r="L1262" s="6" t="str">
        <f t="shared" si="59"/>
        <v>NOVIEMBRE</v>
      </c>
    </row>
    <row r="1263" spans="1:12" x14ac:dyDescent="0.25">
      <c r="A1263" s="5">
        <f t="shared" si="57"/>
        <v>2025</v>
      </c>
      <c r="B1263" s="18" t="s">
        <v>1283</v>
      </c>
      <c r="C1263" s="18" t="s">
        <v>595</v>
      </c>
      <c r="D1263" s="12">
        <v>6377</v>
      </c>
      <c r="E1263" s="17" t="s">
        <v>209</v>
      </c>
      <c r="F1263" s="12" t="s">
        <v>210</v>
      </c>
      <c r="G1263" s="14">
        <v>2</v>
      </c>
      <c r="H1263" s="24">
        <v>110020</v>
      </c>
      <c r="I1263" s="12" t="s">
        <v>712</v>
      </c>
      <c r="J1263" s="6" t="s">
        <v>608</v>
      </c>
      <c r="K1263" s="6">
        <f t="shared" si="58"/>
        <v>11</v>
      </c>
      <c r="L1263" s="6" t="str">
        <f t="shared" si="59"/>
        <v>NOVIEMBRE</v>
      </c>
    </row>
    <row r="1264" spans="1:12" x14ac:dyDescent="0.25">
      <c r="A1264" s="5">
        <f t="shared" si="57"/>
        <v>2025</v>
      </c>
      <c r="B1264" s="18" t="s">
        <v>1283</v>
      </c>
      <c r="C1264" s="18" t="s">
        <v>595</v>
      </c>
      <c r="D1264" s="12">
        <v>6377</v>
      </c>
      <c r="E1264" s="17">
        <v>994346</v>
      </c>
      <c r="F1264" s="12" t="s">
        <v>408</v>
      </c>
      <c r="G1264" s="14">
        <v>1</v>
      </c>
      <c r="H1264" s="24">
        <v>475000</v>
      </c>
      <c r="I1264" s="12" t="s">
        <v>712</v>
      </c>
      <c r="J1264" s="6" t="s">
        <v>608</v>
      </c>
      <c r="K1264" s="6">
        <f t="shared" si="58"/>
        <v>11</v>
      </c>
      <c r="L1264" s="6" t="str">
        <f t="shared" si="59"/>
        <v>NOVIEMBRE</v>
      </c>
    </row>
    <row r="1265" spans="1:12" x14ac:dyDescent="0.25">
      <c r="A1265" s="5">
        <f t="shared" si="57"/>
        <v>2025</v>
      </c>
      <c r="B1265" s="18" t="s">
        <v>1283</v>
      </c>
      <c r="C1265" s="18" t="s">
        <v>595</v>
      </c>
      <c r="D1265" s="12">
        <v>6377</v>
      </c>
      <c r="E1265" s="17" t="s">
        <v>879</v>
      </c>
      <c r="F1265" s="12" t="s">
        <v>670</v>
      </c>
      <c r="G1265" s="14">
        <v>1</v>
      </c>
      <c r="H1265" s="24">
        <v>437000</v>
      </c>
      <c r="I1265" s="12" t="s">
        <v>712</v>
      </c>
      <c r="J1265" s="6" t="s">
        <v>608</v>
      </c>
      <c r="K1265" s="6">
        <f t="shared" si="58"/>
        <v>11</v>
      </c>
      <c r="L1265" s="6" t="str">
        <f t="shared" si="59"/>
        <v>NOVIEMBRE</v>
      </c>
    </row>
    <row r="1266" spans="1:12" x14ac:dyDescent="0.25">
      <c r="A1266" s="5">
        <f t="shared" si="57"/>
        <v>2025</v>
      </c>
      <c r="B1266" s="18" t="s">
        <v>1283</v>
      </c>
      <c r="C1266" s="18" t="s">
        <v>595</v>
      </c>
      <c r="D1266" s="12">
        <v>6377</v>
      </c>
      <c r="E1266" s="17" t="s">
        <v>126</v>
      </c>
      <c r="F1266" s="12" t="s">
        <v>127</v>
      </c>
      <c r="G1266" s="14">
        <v>1</v>
      </c>
      <c r="H1266" s="24">
        <v>660000</v>
      </c>
      <c r="I1266" s="12" t="s">
        <v>712</v>
      </c>
      <c r="J1266" s="6" t="s">
        <v>608</v>
      </c>
      <c r="K1266" s="6">
        <f t="shared" si="58"/>
        <v>11</v>
      </c>
      <c r="L1266" s="6" t="str">
        <f t="shared" si="59"/>
        <v>NOVIEMBRE</v>
      </c>
    </row>
    <row r="1267" spans="1:12" x14ac:dyDescent="0.25">
      <c r="A1267" s="5">
        <f t="shared" si="57"/>
        <v>2025</v>
      </c>
      <c r="B1267" s="18" t="s">
        <v>1283</v>
      </c>
      <c r="C1267" s="18" t="s">
        <v>595</v>
      </c>
      <c r="D1267" s="12">
        <v>6377</v>
      </c>
      <c r="E1267" s="17" t="s">
        <v>653</v>
      </c>
      <c r="F1267" s="12" t="s">
        <v>654</v>
      </c>
      <c r="G1267" s="14">
        <v>1</v>
      </c>
      <c r="H1267" s="24">
        <v>440000</v>
      </c>
      <c r="I1267" s="12" t="s">
        <v>712</v>
      </c>
      <c r="J1267" s="6" t="s">
        <v>608</v>
      </c>
      <c r="K1267" s="6">
        <f t="shared" si="58"/>
        <v>11</v>
      </c>
      <c r="L1267" s="6" t="str">
        <f t="shared" si="59"/>
        <v>NOVIEMBRE</v>
      </c>
    </row>
    <row r="1268" spans="1:12" x14ac:dyDescent="0.25">
      <c r="A1268" s="5">
        <f t="shared" si="57"/>
        <v>2025</v>
      </c>
      <c r="B1268" s="18" t="s">
        <v>1283</v>
      </c>
      <c r="C1268" s="18" t="s">
        <v>595</v>
      </c>
      <c r="D1268" s="12">
        <v>6377</v>
      </c>
      <c r="E1268" s="17" t="s">
        <v>445</v>
      </c>
      <c r="F1268" s="12" t="s">
        <v>446</v>
      </c>
      <c r="G1268" s="14">
        <v>1</v>
      </c>
      <c r="H1268" s="24">
        <v>15000</v>
      </c>
      <c r="I1268" s="12" t="s">
        <v>712</v>
      </c>
      <c r="J1268" s="6" t="s">
        <v>608</v>
      </c>
      <c r="K1268" s="6">
        <f t="shared" si="58"/>
        <v>11</v>
      </c>
      <c r="L1268" s="6" t="str">
        <f t="shared" si="59"/>
        <v>NOVIEMBRE</v>
      </c>
    </row>
    <row r="1269" spans="1:12" x14ac:dyDescent="0.25">
      <c r="A1269" s="5">
        <f t="shared" ref="A1269:A1332" si="60">+YEAR(B1269)</f>
        <v>2025</v>
      </c>
      <c r="B1269" s="18" t="s">
        <v>1283</v>
      </c>
      <c r="C1269" s="18" t="s">
        <v>595</v>
      </c>
      <c r="D1269" s="12">
        <v>6377</v>
      </c>
      <c r="E1269" s="17" t="s">
        <v>259</v>
      </c>
      <c r="F1269" s="12" t="s">
        <v>260</v>
      </c>
      <c r="G1269" s="14">
        <v>1</v>
      </c>
      <c r="H1269" s="24">
        <v>104000</v>
      </c>
      <c r="I1269" s="12" t="s">
        <v>712</v>
      </c>
      <c r="J1269" s="6" t="s">
        <v>608</v>
      </c>
      <c r="K1269" s="6">
        <f t="shared" ref="K1269:K1332" si="61">+MONTH(B1269)</f>
        <v>11</v>
      </c>
      <c r="L1269" s="6" t="str">
        <f t="shared" si="59"/>
        <v>NOVIEMBRE</v>
      </c>
    </row>
    <row r="1270" spans="1:12" x14ac:dyDescent="0.25">
      <c r="A1270" s="5">
        <f t="shared" si="60"/>
        <v>2025</v>
      </c>
      <c r="B1270" s="18" t="s">
        <v>1283</v>
      </c>
      <c r="C1270" s="18" t="s">
        <v>595</v>
      </c>
      <c r="D1270" s="12">
        <v>6377</v>
      </c>
      <c r="E1270" s="17" t="s">
        <v>257</v>
      </c>
      <c r="F1270" s="12" t="s">
        <v>258</v>
      </c>
      <c r="G1270" s="14">
        <v>3</v>
      </c>
      <c r="H1270" s="24">
        <v>252000</v>
      </c>
      <c r="I1270" s="12" t="s">
        <v>712</v>
      </c>
      <c r="J1270" s="6" t="s">
        <v>608</v>
      </c>
      <c r="K1270" s="6">
        <f t="shared" si="61"/>
        <v>11</v>
      </c>
      <c r="L1270" s="6" t="str">
        <f t="shared" si="59"/>
        <v>NOVIEMBRE</v>
      </c>
    </row>
    <row r="1271" spans="1:12" x14ac:dyDescent="0.25">
      <c r="A1271" s="5">
        <f t="shared" si="60"/>
        <v>2025</v>
      </c>
      <c r="B1271" s="18" t="s">
        <v>1283</v>
      </c>
      <c r="C1271" s="18" t="s">
        <v>595</v>
      </c>
      <c r="D1271" s="12">
        <v>6377</v>
      </c>
      <c r="E1271" s="17" t="s">
        <v>124</v>
      </c>
      <c r="F1271" s="12" t="s">
        <v>125</v>
      </c>
      <c r="G1271" s="14">
        <v>4</v>
      </c>
      <c r="H1271" s="24">
        <v>76600</v>
      </c>
      <c r="I1271" s="12" t="s">
        <v>712</v>
      </c>
      <c r="J1271" s="6" t="s">
        <v>608</v>
      </c>
      <c r="K1271" s="6">
        <f t="shared" si="61"/>
        <v>11</v>
      </c>
      <c r="L1271" s="6" t="str">
        <f t="shared" si="59"/>
        <v>NOVIEMBRE</v>
      </c>
    </row>
    <row r="1272" spans="1:12" x14ac:dyDescent="0.25">
      <c r="A1272" s="5">
        <f t="shared" si="60"/>
        <v>2025</v>
      </c>
      <c r="B1272" s="18" t="s">
        <v>1283</v>
      </c>
      <c r="C1272" s="18" t="s">
        <v>595</v>
      </c>
      <c r="D1272" s="12">
        <v>6377</v>
      </c>
      <c r="E1272" s="17" t="s">
        <v>122</v>
      </c>
      <c r="F1272" s="12" t="s">
        <v>123</v>
      </c>
      <c r="G1272" s="14">
        <v>8</v>
      </c>
      <c r="H1272" s="24">
        <v>50400</v>
      </c>
      <c r="I1272" s="12" t="s">
        <v>712</v>
      </c>
      <c r="J1272" s="6" t="s">
        <v>608</v>
      </c>
      <c r="K1272" s="6">
        <f t="shared" si="61"/>
        <v>11</v>
      </c>
      <c r="L1272" s="6" t="str">
        <f t="shared" si="59"/>
        <v>NOVIEMBRE</v>
      </c>
    </row>
    <row r="1273" spans="1:12" x14ac:dyDescent="0.25">
      <c r="A1273" s="5">
        <f t="shared" si="60"/>
        <v>2025</v>
      </c>
      <c r="B1273" s="18" t="s">
        <v>1283</v>
      </c>
      <c r="C1273" s="18" t="s">
        <v>595</v>
      </c>
      <c r="D1273" s="12">
        <v>6377</v>
      </c>
      <c r="E1273" s="17" t="s">
        <v>397</v>
      </c>
      <c r="F1273" s="12" t="s">
        <v>398</v>
      </c>
      <c r="G1273" s="14">
        <v>1</v>
      </c>
      <c r="H1273" s="24">
        <v>1000000</v>
      </c>
      <c r="I1273" s="12" t="s">
        <v>712</v>
      </c>
      <c r="J1273" s="6" t="s">
        <v>608</v>
      </c>
      <c r="K1273" s="6">
        <f t="shared" si="61"/>
        <v>11</v>
      </c>
      <c r="L1273" s="6" t="str">
        <f t="shared" si="59"/>
        <v>NOVIEMBRE</v>
      </c>
    </row>
    <row r="1274" spans="1:12" x14ac:dyDescent="0.25">
      <c r="A1274" s="5">
        <f t="shared" si="60"/>
        <v>2025</v>
      </c>
      <c r="B1274" s="18" t="s">
        <v>1283</v>
      </c>
      <c r="C1274" s="18" t="s">
        <v>595</v>
      </c>
      <c r="D1274" s="12">
        <v>6377</v>
      </c>
      <c r="E1274" s="17" t="s">
        <v>331</v>
      </c>
      <c r="F1274" s="12" t="s">
        <v>332</v>
      </c>
      <c r="G1274" s="14">
        <v>2</v>
      </c>
      <c r="H1274" s="24">
        <v>272000</v>
      </c>
      <c r="I1274" s="12" t="s">
        <v>712</v>
      </c>
      <c r="J1274" s="6" t="s">
        <v>608</v>
      </c>
      <c r="K1274" s="6">
        <f t="shared" si="61"/>
        <v>11</v>
      </c>
      <c r="L1274" s="6" t="str">
        <f t="shared" si="59"/>
        <v>NOVIEMBRE</v>
      </c>
    </row>
    <row r="1275" spans="1:12" x14ac:dyDescent="0.25">
      <c r="A1275" s="5">
        <f t="shared" si="60"/>
        <v>2025</v>
      </c>
      <c r="B1275" s="18" t="s">
        <v>1283</v>
      </c>
      <c r="C1275" s="18" t="s">
        <v>595</v>
      </c>
      <c r="D1275" s="12">
        <v>6377</v>
      </c>
      <c r="E1275" s="17" t="s">
        <v>270</v>
      </c>
      <c r="F1275" s="12" t="s">
        <v>271</v>
      </c>
      <c r="G1275" s="14">
        <v>1</v>
      </c>
      <c r="H1275" s="24">
        <v>1100000</v>
      </c>
      <c r="I1275" s="12" t="s">
        <v>712</v>
      </c>
      <c r="J1275" s="6" t="s">
        <v>608</v>
      </c>
      <c r="K1275" s="6">
        <f t="shared" si="61"/>
        <v>11</v>
      </c>
      <c r="L1275" s="6" t="str">
        <f t="shared" si="59"/>
        <v>NOVIEMBRE</v>
      </c>
    </row>
    <row r="1276" spans="1:12" x14ac:dyDescent="0.25">
      <c r="A1276" s="5">
        <f t="shared" si="60"/>
        <v>2025</v>
      </c>
      <c r="B1276" s="18" t="s">
        <v>1283</v>
      </c>
      <c r="C1276" s="18" t="s">
        <v>595</v>
      </c>
      <c r="D1276" s="12">
        <v>6377</v>
      </c>
      <c r="E1276" s="17" t="s">
        <v>469</v>
      </c>
      <c r="F1276" s="12" t="s">
        <v>470</v>
      </c>
      <c r="G1276" s="14">
        <v>1</v>
      </c>
      <c r="H1276" s="24">
        <v>41000</v>
      </c>
      <c r="I1276" s="12" t="s">
        <v>712</v>
      </c>
      <c r="J1276" s="6" t="s">
        <v>608</v>
      </c>
      <c r="K1276" s="6">
        <f t="shared" si="61"/>
        <v>11</v>
      </c>
      <c r="L1276" s="6" t="str">
        <f t="shared" si="59"/>
        <v>NOVIEMBRE</v>
      </c>
    </row>
    <row r="1277" spans="1:12" x14ac:dyDescent="0.25">
      <c r="A1277" s="5">
        <f t="shared" si="60"/>
        <v>2025</v>
      </c>
      <c r="B1277" s="18" t="s">
        <v>1283</v>
      </c>
      <c r="C1277" s="18" t="s">
        <v>595</v>
      </c>
      <c r="D1277" s="12">
        <v>6377</v>
      </c>
      <c r="E1277" s="17" t="s">
        <v>365</v>
      </c>
      <c r="F1277" s="12" t="s">
        <v>366</v>
      </c>
      <c r="G1277" s="14">
        <v>4</v>
      </c>
      <c r="H1277" s="24">
        <v>24000</v>
      </c>
      <c r="I1277" s="12" t="s">
        <v>712</v>
      </c>
      <c r="J1277" s="6" t="s">
        <v>608</v>
      </c>
      <c r="K1277" s="6">
        <f t="shared" si="61"/>
        <v>11</v>
      </c>
      <c r="L1277" s="6" t="str">
        <f t="shared" si="59"/>
        <v>NOVIEMBRE</v>
      </c>
    </row>
    <row r="1278" spans="1:12" x14ac:dyDescent="0.25">
      <c r="A1278" s="5">
        <f t="shared" si="60"/>
        <v>2025</v>
      </c>
      <c r="B1278" s="18" t="s">
        <v>1283</v>
      </c>
      <c r="C1278" s="18" t="s">
        <v>595</v>
      </c>
      <c r="D1278" s="12">
        <v>6377</v>
      </c>
      <c r="E1278" s="17" t="s">
        <v>280</v>
      </c>
      <c r="F1278" s="12" t="s">
        <v>281</v>
      </c>
      <c r="G1278" s="14">
        <v>1</v>
      </c>
      <c r="H1278" s="24">
        <v>90000</v>
      </c>
      <c r="I1278" s="12" t="s">
        <v>712</v>
      </c>
      <c r="J1278" s="6" t="s">
        <v>608</v>
      </c>
      <c r="K1278" s="6">
        <f t="shared" si="61"/>
        <v>11</v>
      </c>
      <c r="L1278" s="6" t="str">
        <f t="shared" si="59"/>
        <v>NOVIEMBRE</v>
      </c>
    </row>
    <row r="1279" spans="1:12" x14ac:dyDescent="0.25">
      <c r="A1279" s="5">
        <f t="shared" si="60"/>
        <v>2025</v>
      </c>
      <c r="B1279" s="18" t="s">
        <v>1283</v>
      </c>
      <c r="C1279" s="18" t="s">
        <v>595</v>
      </c>
      <c r="D1279" s="12">
        <v>6377</v>
      </c>
      <c r="E1279" s="17">
        <v>210737</v>
      </c>
      <c r="F1279" s="12" t="s">
        <v>506</v>
      </c>
      <c r="G1279" s="14">
        <v>1</v>
      </c>
      <c r="H1279" s="24">
        <v>128000</v>
      </c>
      <c r="I1279" s="12" t="s">
        <v>712</v>
      </c>
      <c r="J1279" s="6" t="s">
        <v>608</v>
      </c>
      <c r="K1279" s="6">
        <f t="shared" si="61"/>
        <v>11</v>
      </c>
      <c r="L1279" s="6" t="str">
        <f t="shared" si="59"/>
        <v>NOVIEMBRE</v>
      </c>
    </row>
    <row r="1280" spans="1:12" x14ac:dyDescent="0.25">
      <c r="A1280" s="5">
        <f t="shared" si="60"/>
        <v>2025</v>
      </c>
      <c r="B1280" s="18" t="s">
        <v>1283</v>
      </c>
      <c r="C1280" s="18" t="s">
        <v>595</v>
      </c>
      <c r="D1280" s="12">
        <v>6377</v>
      </c>
      <c r="E1280" s="17" t="s">
        <v>86</v>
      </c>
      <c r="F1280" s="12" t="s">
        <v>87</v>
      </c>
      <c r="G1280" s="14">
        <v>1</v>
      </c>
      <c r="H1280" s="24">
        <v>163000</v>
      </c>
      <c r="I1280" s="12" t="s">
        <v>712</v>
      </c>
      <c r="J1280" s="6" t="s">
        <v>608</v>
      </c>
      <c r="K1280" s="6">
        <f t="shared" si="61"/>
        <v>11</v>
      </c>
      <c r="L1280" s="6" t="str">
        <f t="shared" si="59"/>
        <v>NOVIEMBRE</v>
      </c>
    </row>
    <row r="1281" spans="1:12" x14ac:dyDescent="0.25">
      <c r="A1281" s="5">
        <f t="shared" si="60"/>
        <v>2025</v>
      </c>
      <c r="B1281" s="18" t="s">
        <v>1283</v>
      </c>
      <c r="C1281" s="18" t="s">
        <v>595</v>
      </c>
      <c r="D1281" s="12">
        <v>6377</v>
      </c>
      <c r="E1281" s="17" t="s">
        <v>167</v>
      </c>
      <c r="F1281" s="12" t="s">
        <v>168</v>
      </c>
      <c r="G1281" s="14">
        <v>1</v>
      </c>
      <c r="H1281" s="24">
        <v>650000</v>
      </c>
      <c r="I1281" s="12" t="s">
        <v>712</v>
      </c>
      <c r="J1281" s="6" t="s">
        <v>608</v>
      </c>
      <c r="K1281" s="6">
        <f t="shared" si="61"/>
        <v>11</v>
      </c>
      <c r="L1281" s="6" t="str">
        <f t="shared" si="59"/>
        <v>NOVIEMBRE</v>
      </c>
    </row>
    <row r="1282" spans="1:12" x14ac:dyDescent="0.25">
      <c r="A1282" s="5">
        <f t="shared" si="60"/>
        <v>2025</v>
      </c>
      <c r="B1282" s="18" t="s">
        <v>1219</v>
      </c>
      <c r="C1282" s="18" t="s">
        <v>595</v>
      </c>
      <c r="D1282" s="12">
        <v>6330</v>
      </c>
      <c r="E1282" s="17" t="s">
        <v>684</v>
      </c>
      <c r="F1282" s="12" t="s">
        <v>701</v>
      </c>
      <c r="G1282" s="14">
        <v>4</v>
      </c>
      <c r="H1282" s="24">
        <v>405676</v>
      </c>
      <c r="I1282" s="12" t="s">
        <v>546</v>
      </c>
      <c r="J1282" s="6" t="s">
        <v>610</v>
      </c>
      <c r="K1282" s="6">
        <f t="shared" si="61"/>
        <v>10</v>
      </c>
      <c r="L1282" s="6" t="str">
        <f t="shared" si="59"/>
        <v>OCTUBRE</v>
      </c>
    </row>
    <row r="1283" spans="1:12" x14ac:dyDescent="0.25">
      <c r="A1283" s="5">
        <f t="shared" si="60"/>
        <v>2025</v>
      </c>
      <c r="B1283" s="18" t="s">
        <v>1116</v>
      </c>
      <c r="C1283" s="18" t="s">
        <v>595</v>
      </c>
      <c r="D1283" s="12">
        <v>6197</v>
      </c>
      <c r="E1283" s="17" t="s">
        <v>1089</v>
      </c>
      <c r="F1283" s="12" t="s">
        <v>1090</v>
      </c>
      <c r="G1283" s="14">
        <v>1</v>
      </c>
      <c r="H1283" s="24">
        <v>122000</v>
      </c>
      <c r="I1283" s="12" t="s">
        <v>546</v>
      </c>
      <c r="J1283" s="6" t="s">
        <v>610</v>
      </c>
      <c r="K1283" s="6">
        <f t="shared" si="61"/>
        <v>8</v>
      </c>
      <c r="L1283" s="6" t="str">
        <f t="shared" ref="L1283:L1346" si="62">VLOOKUP(K1283,N:O,2,0)</f>
        <v>AGOSTO</v>
      </c>
    </row>
    <row r="1284" spans="1:12" x14ac:dyDescent="0.25">
      <c r="A1284" s="5">
        <f t="shared" si="60"/>
        <v>2025</v>
      </c>
      <c r="B1284" s="18" t="s">
        <v>1116</v>
      </c>
      <c r="C1284" s="18" t="s">
        <v>595</v>
      </c>
      <c r="D1284" s="12">
        <v>6197</v>
      </c>
      <c r="E1284" s="17" t="s">
        <v>561</v>
      </c>
      <c r="F1284" s="12" t="s">
        <v>575</v>
      </c>
      <c r="G1284" s="14">
        <v>1</v>
      </c>
      <c r="H1284" s="24">
        <v>395000</v>
      </c>
      <c r="I1284" s="12" t="s">
        <v>546</v>
      </c>
      <c r="J1284" s="6" t="s">
        <v>610</v>
      </c>
      <c r="K1284" s="6">
        <f t="shared" si="61"/>
        <v>8</v>
      </c>
      <c r="L1284" s="6" t="str">
        <f t="shared" si="62"/>
        <v>AGOSTO</v>
      </c>
    </row>
    <row r="1285" spans="1:12" x14ac:dyDescent="0.25">
      <c r="A1285" s="5">
        <f t="shared" si="60"/>
        <v>2025</v>
      </c>
      <c r="B1285" s="18" t="s">
        <v>1116</v>
      </c>
      <c r="C1285" s="18" t="s">
        <v>595</v>
      </c>
      <c r="D1285" s="12">
        <v>6197</v>
      </c>
      <c r="E1285" s="17" t="s">
        <v>196</v>
      </c>
      <c r="F1285" s="12" t="s">
        <v>197</v>
      </c>
      <c r="G1285" s="14">
        <v>1</v>
      </c>
      <c r="H1285" s="24">
        <v>2560000</v>
      </c>
      <c r="I1285" s="12" t="s">
        <v>546</v>
      </c>
      <c r="J1285" s="6" t="s">
        <v>610</v>
      </c>
      <c r="K1285" s="6">
        <f t="shared" si="61"/>
        <v>8</v>
      </c>
      <c r="L1285" s="6" t="str">
        <f t="shared" si="62"/>
        <v>AGOSTO</v>
      </c>
    </row>
    <row r="1286" spans="1:12" x14ac:dyDescent="0.25">
      <c r="A1286" s="5">
        <f t="shared" si="60"/>
        <v>2025</v>
      </c>
      <c r="B1286" s="18" t="s">
        <v>1219</v>
      </c>
      <c r="C1286" s="18" t="s">
        <v>595</v>
      </c>
      <c r="D1286" s="12">
        <v>6330</v>
      </c>
      <c r="E1286" s="17" t="s">
        <v>555</v>
      </c>
      <c r="F1286" s="12" t="s">
        <v>569</v>
      </c>
      <c r="G1286" s="14">
        <v>2</v>
      </c>
      <c r="H1286" s="24">
        <v>1018336</v>
      </c>
      <c r="I1286" s="12" t="s">
        <v>546</v>
      </c>
      <c r="J1286" s="6" t="s">
        <v>610</v>
      </c>
      <c r="K1286" s="6">
        <f t="shared" si="61"/>
        <v>10</v>
      </c>
      <c r="L1286" s="6" t="str">
        <f t="shared" si="62"/>
        <v>OCTUBRE</v>
      </c>
    </row>
    <row r="1287" spans="1:12" x14ac:dyDescent="0.25">
      <c r="A1287" s="5">
        <f t="shared" si="60"/>
        <v>2025</v>
      </c>
      <c r="B1287" s="18" t="s">
        <v>1219</v>
      </c>
      <c r="C1287" s="18" t="s">
        <v>595</v>
      </c>
      <c r="D1287" s="12">
        <v>6330</v>
      </c>
      <c r="E1287" s="17" t="s">
        <v>295</v>
      </c>
      <c r="F1287" s="12" t="s">
        <v>296</v>
      </c>
      <c r="G1287" s="14">
        <v>3</v>
      </c>
      <c r="H1287" s="24">
        <v>423000</v>
      </c>
      <c r="I1287" s="12" t="s">
        <v>546</v>
      </c>
      <c r="J1287" s="6" t="s">
        <v>610</v>
      </c>
      <c r="K1287" s="6">
        <f t="shared" si="61"/>
        <v>10</v>
      </c>
      <c r="L1287" s="6" t="str">
        <f t="shared" si="62"/>
        <v>OCTUBRE</v>
      </c>
    </row>
    <row r="1288" spans="1:12" x14ac:dyDescent="0.25">
      <c r="A1288" s="5">
        <f t="shared" si="60"/>
        <v>2025</v>
      </c>
      <c r="B1288" s="18" t="s">
        <v>1219</v>
      </c>
      <c r="C1288" s="18" t="s">
        <v>595</v>
      </c>
      <c r="D1288" s="12">
        <v>6330</v>
      </c>
      <c r="E1288" s="17" t="s">
        <v>224</v>
      </c>
      <c r="F1288" s="12" t="s">
        <v>225</v>
      </c>
      <c r="G1288" s="14">
        <v>2</v>
      </c>
      <c r="H1288" s="24">
        <v>5400000</v>
      </c>
      <c r="I1288" s="12" t="s">
        <v>546</v>
      </c>
      <c r="J1288" s="6" t="s">
        <v>610</v>
      </c>
      <c r="K1288" s="6">
        <f t="shared" si="61"/>
        <v>10</v>
      </c>
      <c r="L1288" s="6" t="str">
        <f t="shared" si="62"/>
        <v>OCTUBRE</v>
      </c>
    </row>
    <row r="1289" spans="1:12" x14ac:dyDescent="0.25">
      <c r="A1289" s="5">
        <f t="shared" si="60"/>
        <v>2025</v>
      </c>
      <c r="B1289" s="18" t="s">
        <v>1219</v>
      </c>
      <c r="C1289" s="18" t="s">
        <v>595</v>
      </c>
      <c r="D1289" s="12">
        <v>6330</v>
      </c>
      <c r="E1289" s="17" t="s">
        <v>1001</v>
      </c>
      <c r="F1289" s="12" t="s">
        <v>1002</v>
      </c>
      <c r="G1289" s="14">
        <v>10</v>
      </c>
      <c r="H1289" s="24">
        <v>920000</v>
      </c>
      <c r="I1289" s="12" t="s">
        <v>546</v>
      </c>
      <c r="J1289" s="6" t="s">
        <v>610</v>
      </c>
      <c r="K1289" s="6">
        <f t="shared" si="61"/>
        <v>10</v>
      </c>
      <c r="L1289" s="6" t="str">
        <f t="shared" si="62"/>
        <v>OCTUBRE</v>
      </c>
    </row>
    <row r="1290" spans="1:12" x14ac:dyDescent="0.25">
      <c r="A1290" s="5">
        <f t="shared" si="60"/>
        <v>2025</v>
      </c>
      <c r="B1290" s="18" t="s">
        <v>1116</v>
      </c>
      <c r="C1290" s="18" t="s">
        <v>595</v>
      </c>
      <c r="D1290" s="12">
        <v>6197</v>
      </c>
      <c r="E1290" s="17" t="s">
        <v>668</v>
      </c>
      <c r="F1290" s="12" t="s">
        <v>402</v>
      </c>
      <c r="G1290" s="14">
        <v>1</v>
      </c>
      <c r="H1290" s="24">
        <v>310000</v>
      </c>
      <c r="I1290" s="12" t="s">
        <v>546</v>
      </c>
      <c r="J1290" s="6" t="s">
        <v>610</v>
      </c>
      <c r="K1290" s="6">
        <f t="shared" si="61"/>
        <v>8</v>
      </c>
      <c r="L1290" s="6" t="str">
        <f t="shared" si="62"/>
        <v>AGOSTO</v>
      </c>
    </row>
    <row r="1291" spans="1:12" x14ac:dyDescent="0.25">
      <c r="A1291" s="5">
        <f t="shared" si="60"/>
        <v>2025</v>
      </c>
      <c r="B1291" s="18" t="s">
        <v>1079</v>
      </c>
      <c r="C1291" s="18" t="s">
        <v>595</v>
      </c>
      <c r="D1291" s="12">
        <v>6142</v>
      </c>
      <c r="E1291" s="17" t="s">
        <v>333</v>
      </c>
      <c r="F1291" s="12" t="s">
        <v>334</v>
      </c>
      <c r="G1291" s="14">
        <v>2</v>
      </c>
      <c r="H1291" s="24">
        <v>960000</v>
      </c>
      <c r="I1291" s="12" t="s">
        <v>712</v>
      </c>
      <c r="J1291" s="6" t="s">
        <v>608</v>
      </c>
      <c r="K1291" s="6">
        <f t="shared" si="61"/>
        <v>7</v>
      </c>
      <c r="L1291" s="6" t="str">
        <f t="shared" si="62"/>
        <v>JULIO</v>
      </c>
    </row>
    <row r="1292" spans="1:12" x14ac:dyDescent="0.25">
      <c r="A1292" s="5">
        <f t="shared" si="60"/>
        <v>2025</v>
      </c>
      <c r="B1292" s="18" t="s">
        <v>1079</v>
      </c>
      <c r="C1292" s="18" t="s">
        <v>595</v>
      </c>
      <c r="D1292" s="12">
        <v>6142</v>
      </c>
      <c r="E1292" s="17" t="s">
        <v>363</v>
      </c>
      <c r="F1292" s="12" t="s">
        <v>364</v>
      </c>
      <c r="G1292" s="14">
        <v>1</v>
      </c>
      <c r="H1292" s="24">
        <v>66363</v>
      </c>
      <c r="I1292" s="12" t="s">
        <v>712</v>
      </c>
      <c r="J1292" s="6" t="s">
        <v>608</v>
      </c>
      <c r="K1292" s="6">
        <f t="shared" si="61"/>
        <v>7</v>
      </c>
      <c r="L1292" s="6" t="str">
        <f t="shared" si="62"/>
        <v>JULIO</v>
      </c>
    </row>
    <row r="1293" spans="1:12" x14ac:dyDescent="0.25">
      <c r="A1293" s="5">
        <f t="shared" si="60"/>
        <v>2025</v>
      </c>
      <c r="B1293" s="18" t="s">
        <v>970</v>
      </c>
      <c r="C1293" s="18" t="s">
        <v>595</v>
      </c>
      <c r="D1293" s="12">
        <v>6016</v>
      </c>
      <c r="E1293" s="17" t="s">
        <v>60</v>
      </c>
      <c r="F1293" s="12" t="s">
        <v>61</v>
      </c>
      <c r="G1293" s="14">
        <v>1</v>
      </c>
      <c r="H1293" s="24">
        <v>42000</v>
      </c>
      <c r="I1293" s="12" t="s">
        <v>546</v>
      </c>
      <c r="J1293" s="6" t="s">
        <v>610</v>
      </c>
      <c r="K1293" s="6">
        <f t="shared" si="61"/>
        <v>4</v>
      </c>
      <c r="L1293" s="6" t="str">
        <f t="shared" si="62"/>
        <v>ABRIL</v>
      </c>
    </row>
    <row r="1294" spans="1:12" x14ac:dyDescent="0.25">
      <c r="A1294" s="5">
        <f t="shared" si="60"/>
        <v>2025</v>
      </c>
      <c r="B1294" s="18" t="s">
        <v>970</v>
      </c>
      <c r="C1294" s="18" t="s">
        <v>595</v>
      </c>
      <c r="D1294" s="12">
        <v>6016</v>
      </c>
      <c r="E1294" s="17" t="s">
        <v>417</v>
      </c>
      <c r="F1294" s="12" t="s">
        <v>418</v>
      </c>
      <c r="G1294" s="14">
        <v>2</v>
      </c>
      <c r="H1294" s="24">
        <v>434152</v>
      </c>
      <c r="I1294" s="12" t="s">
        <v>546</v>
      </c>
      <c r="J1294" s="6" t="s">
        <v>610</v>
      </c>
      <c r="K1294" s="6">
        <f t="shared" si="61"/>
        <v>4</v>
      </c>
      <c r="L1294" s="6" t="str">
        <f t="shared" si="62"/>
        <v>ABRIL</v>
      </c>
    </row>
    <row r="1295" spans="1:12" x14ac:dyDescent="0.25">
      <c r="A1295" s="5">
        <f t="shared" si="60"/>
        <v>2025</v>
      </c>
      <c r="B1295" s="18" t="s">
        <v>1079</v>
      </c>
      <c r="C1295" s="18" t="s">
        <v>595</v>
      </c>
      <c r="D1295" s="12">
        <v>6142</v>
      </c>
      <c r="E1295" s="17" t="s">
        <v>348</v>
      </c>
      <c r="F1295" s="12" t="s">
        <v>349</v>
      </c>
      <c r="G1295" s="14">
        <v>10</v>
      </c>
      <c r="H1295" s="24">
        <v>12000</v>
      </c>
      <c r="I1295" s="12" t="s">
        <v>712</v>
      </c>
      <c r="J1295" s="6" t="s">
        <v>608</v>
      </c>
      <c r="K1295" s="6">
        <f t="shared" si="61"/>
        <v>7</v>
      </c>
      <c r="L1295" s="6" t="str">
        <f t="shared" si="62"/>
        <v>JULIO</v>
      </c>
    </row>
    <row r="1296" spans="1:12" x14ac:dyDescent="0.25">
      <c r="A1296" s="5">
        <f t="shared" si="60"/>
        <v>2025</v>
      </c>
      <c r="B1296" s="18" t="s">
        <v>1079</v>
      </c>
      <c r="C1296" s="18" t="s">
        <v>595</v>
      </c>
      <c r="D1296" s="12">
        <v>6142</v>
      </c>
      <c r="E1296" s="17" t="s">
        <v>299</v>
      </c>
      <c r="F1296" s="12" t="s">
        <v>300</v>
      </c>
      <c r="G1296" s="14">
        <v>1</v>
      </c>
      <c r="H1296" s="24">
        <v>59000</v>
      </c>
      <c r="I1296" s="12" t="s">
        <v>712</v>
      </c>
      <c r="J1296" s="6" t="s">
        <v>608</v>
      </c>
      <c r="K1296" s="6">
        <f t="shared" si="61"/>
        <v>7</v>
      </c>
      <c r="L1296" s="6" t="str">
        <f t="shared" si="62"/>
        <v>JULIO</v>
      </c>
    </row>
    <row r="1297" spans="1:12" x14ac:dyDescent="0.25">
      <c r="A1297" s="5">
        <f t="shared" si="60"/>
        <v>2025</v>
      </c>
      <c r="B1297" s="18" t="s">
        <v>1128</v>
      </c>
      <c r="C1297" s="18" t="s">
        <v>595</v>
      </c>
      <c r="D1297" s="12">
        <v>6213</v>
      </c>
      <c r="E1297" s="17" t="s">
        <v>492</v>
      </c>
      <c r="F1297" s="12" t="s">
        <v>493</v>
      </c>
      <c r="G1297" s="14">
        <v>4</v>
      </c>
      <c r="H1297" s="24">
        <v>312000</v>
      </c>
      <c r="I1297" s="12" t="s">
        <v>546</v>
      </c>
      <c r="J1297" s="6" t="s">
        <v>610</v>
      </c>
      <c r="K1297" s="6">
        <f t="shared" si="61"/>
        <v>8</v>
      </c>
      <c r="L1297" s="6" t="str">
        <f t="shared" si="62"/>
        <v>AGOSTO</v>
      </c>
    </row>
    <row r="1298" spans="1:12" x14ac:dyDescent="0.25">
      <c r="A1298" s="5">
        <f t="shared" si="60"/>
        <v>2025</v>
      </c>
      <c r="B1298" s="18" t="s">
        <v>1128</v>
      </c>
      <c r="C1298" s="18" t="s">
        <v>595</v>
      </c>
      <c r="D1298" s="12">
        <v>6213</v>
      </c>
      <c r="E1298" s="17">
        <v>4393176</v>
      </c>
      <c r="F1298" s="12" t="s">
        <v>1129</v>
      </c>
      <c r="G1298" s="14">
        <v>1</v>
      </c>
      <c r="H1298" s="24">
        <v>162000</v>
      </c>
      <c r="I1298" s="12" t="s">
        <v>546</v>
      </c>
      <c r="J1298" s="6" t="s">
        <v>610</v>
      </c>
      <c r="K1298" s="6">
        <f t="shared" si="61"/>
        <v>8</v>
      </c>
      <c r="L1298" s="6" t="str">
        <f t="shared" si="62"/>
        <v>AGOSTO</v>
      </c>
    </row>
    <row r="1299" spans="1:12" x14ac:dyDescent="0.25">
      <c r="A1299" s="5">
        <f t="shared" si="60"/>
        <v>2025</v>
      </c>
      <c r="B1299" s="18" t="s">
        <v>1128</v>
      </c>
      <c r="C1299" s="18" t="s">
        <v>595</v>
      </c>
      <c r="D1299" s="12">
        <v>6213</v>
      </c>
      <c r="E1299" s="17" t="s">
        <v>1088</v>
      </c>
      <c r="F1299" s="12" t="s">
        <v>298</v>
      </c>
      <c r="G1299" s="14">
        <v>1</v>
      </c>
      <c r="H1299" s="24">
        <v>101000</v>
      </c>
      <c r="I1299" s="12" t="s">
        <v>546</v>
      </c>
      <c r="J1299" s="6" t="s">
        <v>610</v>
      </c>
      <c r="K1299" s="6">
        <f t="shared" si="61"/>
        <v>8</v>
      </c>
      <c r="L1299" s="6" t="str">
        <f t="shared" si="62"/>
        <v>AGOSTO</v>
      </c>
    </row>
    <row r="1300" spans="1:12" x14ac:dyDescent="0.25">
      <c r="A1300" s="5">
        <f t="shared" si="60"/>
        <v>2025</v>
      </c>
      <c r="B1300" s="18" t="s">
        <v>1107</v>
      </c>
      <c r="C1300" s="18" t="s">
        <v>595</v>
      </c>
      <c r="D1300" s="12">
        <v>6181</v>
      </c>
      <c r="E1300" s="17">
        <v>4024808</v>
      </c>
      <c r="F1300" s="12" t="s">
        <v>1111</v>
      </c>
      <c r="G1300" s="14">
        <v>1</v>
      </c>
      <c r="H1300" s="24">
        <v>131000</v>
      </c>
      <c r="I1300" s="12" t="s">
        <v>546</v>
      </c>
      <c r="J1300" s="6" t="s">
        <v>610</v>
      </c>
      <c r="K1300" s="6">
        <f t="shared" si="61"/>
        <v>7</v>
      </c>
      <c r="L1300" s="6" t="str">
        <f t="shared" si="62"/>
        <v>JULIO</v>
      </c>
    </row>
    <row r="1301" spans="1:12" x14ac:dyDescent="0.25">
      <c r="A1301" s="5">
        <f t="shared" si="60"/>
        <v>2025</v>
      </c>
      <c r="B1301" s="18" t="s">
        <v>1354</v>
      </c>
      <c r="C1301" s="18" t="s">
        <v>595</v>
      </c>
      <c r="D1301" s="12">
        <v>6417</v>
      </c>
      <c r="E1301" s="17" t="s">
        <v>204</v>
      </c>
      <c r="F1301" s="12" t="s">
        <v>205</v>
      </c>
      <c r="G1301" s="14">
        <v>2</v>
      </c>
      <c r="H1301" s="24">
        <v>94000</v>
      </c>
      <c r="I1301" s="12" t="s">
        <v>712</v>
      </c>
      <c r="J1301" s="6" t="s">
        <v>608</v>
      </c>
      <c r="K1301" s="6">
        <f t="shared" si="61"/>
        <v>12</v>
      </c>
      <c r="L1301" s="6" t="str">
        <f t="shared" si="62"/>
        <v>DICIEMBRE</v>
      </c>
    </row>
    <row r="1302" spans="1:12" x14ac:dyDescent="0.25">
      <c r="A1302" s="5">
        <f t="shared" si="60"/>
        <v>2025</v>
      </c>
      <c r="B1302" s="18" t="s">
        <v>1354</v>
      </c>
      <c r="C1302" s="18" t="s">
        <v>595</v>
      </c>
      <c r="D1302" s="12">
        <v>6417</v>
      </c>
      <c r="E1302" s="17" t="s">
        <v>526</v>
      </c>
      <c r="F1302" s="12" t="s">
        <v>527</v>
      </c>
      <c r="G1302" s="14">
        <v>1</v>
      </c>
      <c r="H1302" s="24">
        <v>42000</v>
      </c>
      <c r="I1302" s="12" t="s">
        <v>712</v>
      </c>
      <c r="J1302" s="6" t="s">
        <v>608</v>
      </c>
      <c r="K1302" s="6">
        <f t="shared" si="61"/>
        <v>12</v>
      </c>
      <c r="L1302" s="6" t="str">
        <f t="shared" si="62"/>
        <v>DICIEMBRE</v>
      </c>
    </row>
    <row r="1303" spans="1:12" x14ac:dyDescent="0.25">
      <c r="A1303" s="5">
        <f t="shared" si="60"/>
        <v>2025</v>
      </c>
      <c r="B1303" s="18" t="s">
        <v>1354</v>
      </c>
      <c r="C1303" s="18" t="s">
        <v>595</v>
      </c>
      <c r="D1303" s="12">
        <v>6417</v>
      </c>
      <c r="E1303" s="17" t="s">
        <v>423</v>
      </c>
      <c r="F1303" s="12" t="s">
        <v>424</v>
      </c>
      <c r="G1303" s="14">
        <v>4</v>
      </c>
      <c r="H1303" s="24">
        <v>328000</v>
      </c>
      <c r="I1303" s="12" t="s">
        <v>712</v>
      </c>
      <c r="J1303" s="6" t="s">
        <v>608</v>
      </c>
      <c r="K1303" s="6">
        <f t="shared" si="61"/>
        <v>12</v>
      </c>
      <c r="L1303" s="6" t="str">
        <f t="shared" si="62"/>
        <v>DICIEMBRE</v>
      </c>
    </row>
    <row r="1304" spans="1:12" x14ac:dyDescent="0.25">
      <c r="A1304" s="5">
        <f t="shared" si="60"/>
        <v>2025</v>
      </c>
      <c r="B1304" s="18" t="s">
        <v>1354</v>
      </c>
      <c r="C1304" s="18" t="s">
        <v>595</v>
      </c>
      <c r="D1304" s="12">
        <v>6417</v>
      </c>
      <c r="E1304" s="17" t="s">
        <v>484</v>
      </c>
      <c r="F1304" s="12" t="s">
        <v>485</v>
      </c>
      <c r="G1304" s="14">
        <v>4</v>
      </c>
      <c r="H1304" s="24">
        <v>120000</v>
      </c>
      <c r="I1304" s="12" t="s">
        <v>712</v>
      </c>
      <c r="J1304" s="6" t="s">
        <v>608</v>
      </c>
      <c r="K1304" s="6">
        <f t="shared" si="61"/>
        <v>12</v>
      </c>
      <c r="L1304" s="6" t="str">
        <f t="shared" si="62"/>
        <v>DICIEMBRE</v>
      </c>
    </row>
    <row r="1305" spans="1:12" x14ac:dyDescent="0.25">
      <c r="A1305" s="5">
        <f t="shared" si="60"/>
        <v>2025</v>
      </c>
      <c r="B1305" s="18" t="s">
        <v>1354</v>
      </c>
      <c r="C1305" s="18" t="s">
        <v>595</v>
      </c>
      <c r="D1305" s="12">
        <v>6417</v>
      </c>
      <c r="E1305" s="17" t="s">
        <v>371</v>
      </c>
      <c r="F1305" s="12" t="s">
        <v>372</v>
      </c>
      <c r="G1305" s="14">
        <v>5</v>
      </c>
      <c r="H1305" s="24">
        <v>940000</v>
      </c>
      <c r="I1305" s="12" t="s">
        <v>712</v>
      </c>
      <c r="J1305" s="6" t="s">
        <v>608</v>
      </c>
      <c r="K1305" s="6">
        <f t="shared" si="61"/>
        <v>12</v>
      </c>
      <c r="L1305" s="6" t="str">
        <f t="shared" si="62"/>
        <v>DICIEMBRE</v>
      </c>
    </row>
    <row r="1306" spans="1:12" x14ac:dyDescent="0.25">
      <c r="A1306" s="5">
        <f t="shared" si="60"/>
        <v>2025</v>
      </c>
      <c r="B1306" s="18" t="s">
        <v>1354</v>
      </c>
      <c r="C1306" s="18" t="s">
        <v>595</v>
      </c>
      <c r="D1306" s="12">
        <v>6417</v>
      </c>
      <c r="E1306" s="17" t="s">
        <v>934</v>
      </c>
      <c r="F1306" s="12" t="s">
        <v>935</v>
      </c>
      <c r="G1306" s="14">
        <v>1</v>
      </c>
      <c r="H1306" s="24">
        <v>53261</v>
      </c>
      <c r="I1306" s="12" t="s">
        <v>712</v>
      </c>
      <c r="J1306" s="6" t="s">
        <v>608</v>
      </c>
      <c r="K1306" s="6">
        <f t="shared" si="61"/>
        <v>12</v>
      </c>
      <c r="L1306" s="6" t="str">
        <f t="shared" si="62"/>
        <v>DICIEMBRE</v>
      </c>
    </row>
    <row r="1307" spans="1:12" x14ac:dyDescent="0.25">
      <c r="A1307" s="5">
        <f t="shared" si="60"/>
        <v>2025</v>
      </c>
      <c r="B1307" s="18" t="s">
        <v>1354</v>
      </c>
      <c r="C1307" s="18" t="s">
        <v>595</v>
      </c>
      <c r="D1307" s="12">
        <v>6417</v>
      </c>
      <c r="E1307" s="17" t="s">
        <v>936</v>
      </c>
      <c r="F1307" s="12" t="s">
        <v>937</v>
      </c>
      <c r="G1307" s="14">
        <v>2</v>
      </c>
      <c r="H1307" s="24">
        <v>155434</v>
      </c>
      <c r="I1307" s="12" t="s">
        <v>712</v>
      </c>
      <c r="J1307" s="6" t="s">
        <v>608</v>
      </c>
      <c r="K1307" s="6">
        <f t="shared" si="61"/>
        <v>12</v>
      </c>
      <c r="L1307" s="6" t="str">
        <f t="shared" si="62"/>
        <v>DICIEMBRE</v>
      </c>
    </row>
    <row r="1308" spans="1:12" x14ac:dyDescent="0.25">
      <c r="A1308" s="5">
        <f t="shared" si="60"/>
        <v>2025</v>
      </c>
      <c r="B1308" s="18" t="s">
        <v>1354</v>
      </c>
      <c r="C1308" s="18" t="s">
        <v>595</v>
      </c>
      <c r="D1308" s="12">
        <v>6417</v>
      </c>
      <c r="E1308" s="17">
        <v>995550</v>
      </c>
      <c r="F1308" s="12" t="s">
        <v>629</v>
      </c>
      <c r="G1308" s="14">
        <v>1</v>
      </c>
      <c r="H1308" s="24">
        <v>708000</v>
      </c>
      <c r="I1308" s="12" t="s">
        <v>712</v>
      </c>
      <c r="J1308" s="6" t="s">
        <v>608</v>
      </c>
      <c r="K1308" s="6">
        <f t="shared" si="61"/>
        <v>12</v>
      </c>
      <c r="L1308" s="6" t="str">
        <f t="shared" si="62"/>
        <v>DICIEMBRE</v>
      </c>
    </row>
    <row r="1309" spans="1:12" x14ac:dyDescent="0.25">
      <c r="A1309" s="5">
        <f t="shared" si="60"/>
        <v>2025</v>
      </c>
      <c r="B1309" s="18" t="s">
        <v>1354</v>
      </c>
      <c r="C1309" s="18" t="s">
        <v>595</v>
      </c>
      <c r="D1309" s="12">
        <v>6417</v>
      </c>
      <c r="E1309" s="17">
        <v>994346</v>
      </c>
      <c r="F1309" s="12" t="s">
        <v>408</v>
      </c>
      <c r="G1309" s="14">
        <v>1</v>
      </c>
      <c r="H1309" s="24">
        <v>475000</v>
      </c>
      <c r="I1309" s="12" t="s">
        <v>712</v>
      </c>
      <c r="J1309" s="6" t="s">
        <v>608</v>
      </c>
      <c r="K1309" s="6">
        <f t="shared" si="61"/>
        <v>12</v>
      </c>
      <c r="L1309" s="6" t="str">
        <f t="shared" si="62"/>
        <v>DICIEMBRE</v>
      </c>
    </row>
    <row r="1310" spans="1:12" x14ac:dyDescent="0.25">
      <c r="A1310" s="5">
        <f t="shared" si="60"/>
        <v>2025</v>
      </c>
      <c r="B1310" s="18" t="s">
        <v>1354</v>
      </c>
      <c r="C1310" s="18" t="s">
        <v>595</v>
      </c>
      <c r="D1310" s="12">
        <v>6417</v>
      </c>
      <c r="E1310" s="17" t="s">
        <v>482</v>
      </c>
      <c r="F1310" s="12" t="s">
        <v>483</v>
      </c>
      <c r="G1310" s="14">
        <v>1</v>
      </c>
      <c r="H1310" s="24">
        <v>445000</v>
      </c>
      <c r="I1310" s="12" t="s">
        <v>712</v>
      </c>
      <c r="J1310" s="6" t="s">
        <v>608</v>
      </c>
      <c r="K1310" s="6">
        <f t="shared" si="61"/>
        <v>12</v>
      </c>
      <c r="L1310" s="6" t="str">
        <f t="shared" si="62"/>
        <v>DICIEMBRE</v>
      </c>
    </row>
    <row r="1311" spans="1:12" x14ac:dyDescent="0.25">
      <c r="A1311" s="5">
        <f t="shared" si="60"/>
        <v>2025</v>
      </c>
      <c r="B1311" s="18" t="s">
        <v>1354</v>
      </c>
      <c r="C1311" s="18" t="s">
        <v>595</v>
      </c>
      <c r="D1311" s="12">
        <v>6417</v>
      </c>
      <c r="E1311" s="17" t="s">
        <v>228</v>
      </c>
      <c r="F1311" s="12" t="s">
        <v>229</v>
      </c>
      <c r="G1311" s="14">
        <v>1</v>
      </c>
      <c r="H1311" s="24">
        <v>120000</v>
      </c>
      <c r="I1311" s="12" t="s">
        <v>712</v>
      </c>
      <c r="J1311" s="6" t="s">
        <v>608</v>
      </c>
      <c r="K1311" s="6">
        <f t="shared" si="61"/>
        <v>12</v>
      </c>
      <c r="L1311" s="6" t="str">
        <f t="shared" si="62"/>
        <v>DICIEMBRE</v>
      </c>
    </row>
    <row r="1312" spans="1:12" x14ac:dyDescent="0.25">
      <c r="A1312" s="5">
        <f t="shared" si="60"/>
        <v>2025</v>
      </c>
      <c r="B1312" s="18" t="s">
        <v>1354</v>
      </c>
      <c r="C1312" s="18" t="s">
        <v>595</v>
      </c>
      <c r="D1312" s="12">
        <v>6417</v>
      </c>
      <c r="E1312" s="17" t="s">
        <v>245</v>
      </c>
      <c r="F1312" s="12" t="s">
        <v>246</v>
      </c>
      <c r="G1312" s="14">
        <v>10</v>
      </c>
      <c r="H1312" s="24">
        <v>55000</v>
      </c>
      <c r="I1312" s="12" t="s">
        <v>712</v>
      </c>
      <c r="J1312" s="6" t="s">
        <v>608</v>
      </c>
      <c r="K1312" s="6">
        <f t="shared" si="61"/>
        <v>12</v>
      </c>
      <c r="L1312" s="6" t="str">
        <f t="shared" si="62"/>
        <v>DICIEMBRE</v>
      </c>
    </row>
    <row r="1313" spans="1:12" x14ac:dyDescent="0.25">
      <c r="A1313" s="5">
        <f t="shared" si="60"/>
        <v>2025</v>
      </c>
      <c r="B1313" s="18" t="s">
        <v>1351</v>
      </c>
      <c r="C1313" s="18" t="s">
        <v>595</v>
      </c>
      <c r="D1313" s="12">
        <v>6415</v>
      </c>
      <c r="E1313" s="17" t="s">
        <v>204</v>
      </c>
      <c r="F1313" s="12" t="s">
        <v>205</v>
      </c>
      <c r="G1313" s="14">
        <v>4</v>
      </c>
      <c r="H1313" s="24">
        <v>188000</v>
      </c>
      <c r="I1313" s="12" t="s">
        <v>712</v>
      </c>
      <c r="J1313" s="6" t="s">
        <v>608</v>
      </c>
      <c r="K1313" s="6">
        <f t="shared" si="61"/>
        <v>12</v>
      </c>
      <c r="L1313" s="6" t="str">
        <f t="shared" si="62"/>
        <v>DICIEMBRE</v>
      </c>
    </row>
    <row r="1314" spans="1:12" x14ac:dyDescent="0.25">
      <c r="A1314" s="5">
        <f t="shared" si="60"/>
        <v>2025</v>
      </c>
      <c r="B1314" s="18" t="s">
        <v>1351</v>
      </c>
      <c r="C1314" s="18" t="s">
        <v>595</v>
      </c>
      <c r="D1314" s="12">
        <v>6415</v>
      </c>
      <c r="E1314" s="17" t="s">
        <v>526</v>
      </c>
      <c r="F1314" s="12" t="s">
        <v>527</v>
      </c>
      <c r="G1314" s="14">
        <v>1</v>
      </c>
      <c r="H1314" s="24">
        <v>42000</v>
      </c>
      <c r="I1314" s="12" t="s">
        <v>712</v>
      </c>
      <c r="J1314" s="6" t="s">
        <v>608</v>
      </c>
      <c r="K1314" s="6">
        <f t="shared" si="61"/>
        <v>12</v>
      </c>
      <c r="L1314" s="6" t="str">
        <f t="shared" si="62"/>
        <v>DICIEMBRE</v>
      </c>
    </row>
    <row r="1315" spans="1:12" x14ac:dyDescent="0.25">
      <c r="A1315" s="5">
        <f t="shared" si="60"/>
        <v>2025</v>
      </c>
      <c r="B1315" s="18" t="s">
        <v>1351</v>
      </c>
      <c r="C1315" s="18" t="s">
        <v>595</v>
      </c>
      <c r="D1315" s="12">
        <v>6415</v>
      </c>
      <c r="E1315" s="17" t="s">
        <v>23</v>
      </c>
      <c r="F1315" s="12" t="s">
        <v>24</v>
      </c>
      <c r="G1315" s="14">
        <v>1</v>
      </c>
      <c r="H1315" s="24">
        <v>280000</v>
      </c>
      <c r="I1315" s="12" t="s">
        <v>712</v>
      </c>
      <c r="J1315" s="6" t="s">
        <v>608</v>
      </c>
      <c r="K1315" s="6">
        <f t="shared" si="61"/>
        <v>12</v>
      </c>
      <c r="L1315" s="6" t="str">
        <f t="shared" si="62"/>
        <v>DICIEMBRE</v>
      </c>
    </row>
    <row r="1316" spans="1:12" x14ac:dyDescent="0.25">
      <c r="A1316" s="5">
        <f t="shared" si="60"/>
        <v>2025</v>
      </c>
      <c r="B1316" s="18" t="s">
        <v>1351</v>
      </c>
      <c r="C1316" s="18" t="s">
        <v>595</v>
      </c>
      <c r="D1316" s="12">
        <v>6415</v>
      </c>
      <c r="E1316" s="17" t="s">
        <v>484</v>
      </c>
      <c r="F1316" s="12" t="s">
        <v>485</v>
      </c>
      <c r="G1316" s="14">
        <v>3</v>
      </c>
      <c r="H1316" s="24">
        <v>90000</v>
      </c>
      <c r="I1316" s="12" t="s">
        <v>712</v>
      </c>
      <c r="J1316" s="6" t="s">
        <v>608</v>
      </c>
      <c r="K1316" s="6">
        <f t="shared" si="61"/>
        <v>12</v>
      </c>
      <c r="L1316" s="6" t="str">
        <f t="shared" si="62"/>
        <v>DICIEMBRE</v>
      </c>
    </row>
    <row r="1317" spans="1:12" x14ac:dyDescent="0.25">
      <c r="A1317" s="5">
        <f t="shared" si="60"/>
        <v>2025</v>
      </c>
      <c r="B1317" s="18" t="s">
        <v>1351</v>
      </c>
      <c r="C1317" s="18" t="s">
        <v>595</v>
      </c>
      <c r="D1317" s="12">
        <v>6415</v>
      </c>
      <c r="E1317" s="17" t="s">
        <v>373</v>
      </c>
      <c r="F1317" s="12" t="s">
        <v>374</v>
      </c>
      <c r="G1317" s="14">
        <v>1</v>
      </c>
      <c r="H1317" s="24">
        <v>447000</v>
      </c>
      <c r="I1317" s="12" t="s">
        <v>712</v>
      </c>
      <c r="J1317" s="6" t="s">
        <v>608</v>
      </c>
      <c r="K1317" s="6">
        <f t="shared" si="61"/>
        <v>12</v>
      </c>
      <c r="L1317" s="6" t="str">
        <f t="shared" si="62"/>
        <v>DICIEMBRE</v>
      </c>
    </row>
    <row r="1318" spans="1:12" x14ac:dyDescent="0.25">
      <c r="A1318" s="5">
        <f t="shared" si="60"/>
        <v>2025</v>
      </c>
      <c r="B1318" s="18" t="s">
        <v>1351</v>
      </c>
      <c r="C1318" s="18" t="s">
        <v>595</v>
      </c>
      <c r="D1318" s="12">
        <v>6415</v>
      </c>
      <c r="E1318" s="17">
        <v>995550</v>
      </c>
      <c r="F1318" s="12" t="s">
        <v>629</v>
      </c>
      <c r="G1318" s="14">
        <v>1</v>
      </c>
      <c r="H1318" s="24">
        <v>708000</v>
      </c>
      <c r="I1318" s="12" t="s">
        <v>712</v>
      </c>
      <c r="J1318" s="6" t="s">
        <v>608</v>
      </c>
      <c r="K1318" s="6">
        <f t="shared" si="61"/>
        <v>12</v>
      </c>
      <c r="L1318" s="6" t="str">
        <f t="shared" si="62"/>
        <v>DICIEMBRE</v>
      </c>
    </row>
    <row r="1319" spans="1:12" x14ac:dyDescent="0.25">
      <c r="A1319" s="5">
        <f t="shared" si="60"/>
        <v>2025</v>
      </c>
      <c r="B1319" s="18" t="s">
        <v>1351</v>
      </c>
      <c r="C1319" s="18" t="s">
        <v>595</v>
      </c>
      <c r="D1319" s="12">
        <v>6415</v>
      </c>
      <c r="E1319" s="17">
        <v>994346</v>
      </c>
      <c r="F1319" s="12" t="s">
        <v>408</v>
      </c>
      <c r="G1319" s="14">
        <v>1</v>
      </c>
      <c r="H1319" s="24">
        <v>475000</v>
      </c>
      <c r="I1319" s="12" t="s">
        <v>712</v>
      </c>
      <c r="J1319" s="6" t="s">
        <v>608</v>
      </c>
      <c r="K1319" s="6">
        <f t="shared" si="61"/>
        <v>12</v>
      </c>
      <c r="L1319" s="6" t="str">
        <f t="shared" si="62"/>
        <v>DICIEMBRE</v>
      </c>
    </row>
    <row r="1320" spans="1:12" x14ac:dyDescent="0.25">
      <c r="A1320" s="5">
        <f t="shared" si="60"/>
        <v>2025</v>
      </c>
      <c r="B1320" s="18" t="s">
        <v>1351</v>
      </c>
      <c r="C1320" s="18" t="s">
        <v>595</v>
      </c>
      <c r="D1320" s="12">
        <v>6415</v>
      </c>
      <c r="E1320" s="17" t="s">
        <v>1014</v>
      </c>
      <c r="F1320" s="12" t="s">
        <v>1015</v>
      </c>
      <c r="G1320" s="14">
        <v>1</v>
      </c>
      <c r="H1320" s="24">
        <v>321000</v>
      </c>
      <c r="I1320" s="12" t="s">
        <v>712</v>
      </c>
      <c r="J1320" s="6" t="s">
        <v>608</v>
      </c>
      <c r="K1320" s="6">
        <f t="shared" si="61"/>
        <v>12</v>
      </c>
      <c r="L1320" s="6" t="str">
        <f t="shared" si="62"/>
        <v>DICIEMBRE</v>
      </c>
    </row>
    <row r="1321" spans="1:12" x14ac:dyDescent="0.25">
      <c r="A1321" s="5">
        <f t="shared" si="60"/>
        <v>2025</v>
      </c>
      <c r="B1321" s="18" t="s">
        <v>1351</v>
      </c>
      <c r="C1321" s="18" t="s">
        <v>595</v>
      </c>
      <c r="D1321" s="12">
        <v>6415</v>
      </c>
      <c r="E1321" s="17">
        <v>8774</v>
      </c>
      <c r="F1321" s="12" t="s">
        <v>720</v>
      </c>
      <c r="G1321" s="14">
        <v>1</v>
      </c>
      <c r="H1321" s="24">
        <v>730000</v>
      </c>
      <c r="I1321" s="12" t="s">
        <v>712</v>
      </c>
      <c r="J1321" s="6" t="s">
        <v>608</v>
      </c>
      <c r="K1321" s="6">
        <f t="shared" si="61"/>
        <v>12</v>
      </c>
      <c r="L1321" s="6" t="str">
        <f t="shared" si="62"/>
        <v>DICIEMBRE</v>
      </c>
    </row>
    <row r="1322" spans="1:12" x14ac:dyDescent="0.25">
      <c r="A1322" s="5">
        <f t="shared" si="60"/>
        <v>2025</v>
      </c>
      <c r="B1322" s="18" t="s">
        <v>1351</v>
      </c>
      <c r="C1322" s="18" t="s">
        <v>595</v>
      </c>
      <c r="D1322" s="12">
        <v>6415</v>
      </c>
      <c r="E1322" s="17" t="s">
        <v>445</v>
      </c>
      <c r="F1322" s="12" t="s">
        <v>446</v>
      </c>
      <c r="G1322" s="14">
        <v>2</v>
      </c>
      <c r="H1322" s="24">
        <v>30000</v>
      </c>
      <c r="I1322" s="12" t="s">
        <v>712</v>
      </c>
      <c r="J1322" s="6" t="s">
        <v>608</v>
      </c>
      <c r="K1322" s="6">
        <f t="shared" si="61"/>
        <v>12</v>
      </c>
      <c r="L1322" s="6" t="str">
        <f t="shared" si="62"/>
        <v>DICIEMBRE</v>
      </c>
    </row>
    <row r="1323" spans="1:12" x14ac:dyDescent="0.25">
      <c r="A1323" s="5">
        <f t="shared" si="60"/>
        <v>2025</v>
      </c>
      <c r="B1323" s="18" t="s">
        <v>1351</v>
      </c>
      <c r="C1323" s="18" t="s">
        <v>595</v>
      </c>
      <c r="D1323" s="12">
        <v>6415</v>
      </c>
      <c r="E1323" s="17" t="s">
        <v>183</v>
      </c>
      <c r="F1323" s="12" t="s">
        <v>184</v>
      </c>
      <c r="G1323" s="14">
        <v>1</v>
      </c>
      <c r="H1323" s="24">
        <v>129000</v>
      </c>
      <c r="I1323" s="12" t="s">
        <v>712</v>
      </c>
      <c r="J1323" s="6" t="s">
        <v>608</v>
      </c>
      <c r="K1323" s="6">
        <f t="shared" si="61"/>
        <v>12</v>
      </c>
      <c r="L1323" s="6" t="str">
        <f t="shared" si="62"/>
        <v>DICIEMBRE</v>
      </c>
    </row>
    <row r="1324" spans="1:12" x14ac:dyDescent="0.25">
      <c r="A1324" s="5">
        <f t="shared" si="60"/>
        <v>2025</v>
      </c>
      <c r="B1324" s="18" t="s">
        <v>1351</v>
      </c>
      <c r="C1324" s="18" t="s">
        <v>595</v>
      </c>
      <c r="D1324" s="12">
        <v>6415</v>
      </c>
      <c r="E1324" s="17">
        <v>109</v>
      </c>
      <c r="F1324" s="12" t="s">
        <v>579</v>
      </c>
      <c r="G1324" s="14">
        <v>1</v>
      </c>
      <c r="H1324" s="24">
        <v>100000</v>
      </c>
      <c r="I1324" s="12" t="s">
        <v>712</v>
      </c>
      <c r="J1324" s="6" t="s">
        <v>608</v>
      </c>
      <c r="K1324" s="6">
        <f t="shared" si="61"/>
        <v>12</v>
      </c>
      <c r="L1324" s="6" t="str">
        <f t="shared" si="62"/>
        <v>DICIEMBRE</v>
      </c>
    </row>
    <row r="1325" spans="1:12" x14ac:dyDescent="0.25">
      <c r="A1325" s="5">
        <f t="shared" si="60"/>
        <v>2025</v>
      </c>
      <c r="B1325" s="18" t="s">
        <v>1308</v>
      </c>
      <c r="C1325" s="18" t="s">
        <v>595</v>
      </c>
      <c r="D1325" s="12">
        <v>6404</v>
      </c>
      <c r="E1325" s="17" t="s">
        <v>1108</v>
      </c>
      <c r="F1325" s="12" t="s">
        <v>1265</v>
      </c>
      <c r="G1325" s="14">
        <v>7</v>
      </c>
      <c r="H1325" s="24">
        <v>518000</v>
      </c>
      <c r="I1325" s="12" t="s">
        <v>546</v>
      </c>
      <c r="J1325" s="6" t="s">
        <v>610</v>
      </c>
      <c r="K1325" s="6">
        <f t="shared" si="61"/>
        <v>12</v>
      </c>
      <c r="L1325" s="6" t="str">
        <f t="shared" si="62"/>
        <v>DICIEMBRE</v>
      </c>
    </row>
    <row r="1326" spans="1:12" x14ac:dyDescent="0.25">
      <c r="A1326" s="5">
        <f t="shared" si="60"/>
        <v>2025</v>
      </c>
      <c r="B1326" s="18" t="s">
        <v>1308</v>
      </c>
      <c r="C1326" s="18" t="s">
        <v>595</v>
      </c>
      <c r="D1326" s="12">
        <v>6404</v>
      </c>
      <c r="E1326" s="17" t="s">
        <v>1312</v>
      </c>
      <c r="F1326" s="12" t="s">
        <v>1313</v>
      </c>
      <c r="G1326" s="14">
        <v>81</v>
      </c>
      <c r="H1326" s="24">
        <v>4390119</v>
      </c>
      <c r="I1326" s="12" t="s">
        <v>546</v>
      </c>
      <c r="J1326" s="6" t="s">
        <v>610</v>
      </c>
      <c r="K1326" s="6">
        <f t="shared" si="61"/>
        <v>12</v>
      </c>
      <c r="L1326" s="6" t="str">
        <f t="shared" si="62"/>
        <v>DICIEMBRE</v>
      </c>
    </row>
    <row r="1327" spans="1:12" x14ac:dyDescent="0.25">
      <c r="A1327" s="5">
        <f t="shared" si="60"/>
        <v>2025</v>
      </c>
      <c r="B1327" s="18" t="s">
        <v>1308</v>
      </c>
      <c r="C1327" s="18" t="s">
        <v>595</v>
      </c>
      <c r="D1327" s="12">
        <v>6404</v>
      </c>
      <c r="E1327" s="17" t="s">
        <v>442</v>
      </c>
      <c r="F1327" s="12" t="s">
        <v>443</v>
      </c>
      <c r="G1327" s="14">
        <v>4</v>
      </c>
      <c r="H1327" s="24">
        <v>620000</v>
      </c>
      <c r="I1327" s="12" t="s">
        <v>546</v>
      </c>
      <c r="J1327" s="6" t="s">
        <v>610</v>
      </c>
      <c r="K1327" s="6">
        <f t="shared" si="61"/>
        <v>12</v>
      </c>
      <c r="L1327" s="6" t="str">
        <f t="shared" si="62"/>
        <v>DICIEMBRE</v>
      </c>
    </row>
    <row r="1328" spans="1:12" x14ac:dyDescent="0.25">
      <c r="A1328" s="5">
        <f t="shared" si="60"/>
        <v>2025</v>
      </c>
      <c r="B1328" s="18" t="s">
        <v>1308</v>
      </c>
      <c r="C1328" s="18" t="s">
        <v>595</v>
      </c>
      <c r="D1328" s="12">
        <v>6404</v>
      </c>
      <c r="E1328" s="17" t="s">
        <v>37</v>
      </c>
      <c r="F1328" s="12" t="s">
        <v>38</v>
      </c>
      <c r="G1328" s="14">
        <v>2</v>
      </c>
      <c r="H1328" s="24">
        <v>644810</v>
      </c>
      <c r="I1328" s="12" t="s">
        <v>546</v>
      </c>
      <c r="J1328" s="6" t="s">
        <v>610</v>
      </c>
      <c r="K1328" s="6">
        <f t="shared" si="61"/>
        <v>12</v>
      </c>
      <c r="L1328" s="6" t="str">
        <f t="shared" si="62"/>
        <v>DICIEMBRE</v>
      </c>
    </row>
    <row r="1329" spans="1:12" x14ac:dyDescent="0.25">
      <c r="A1329" s="5">
        <f t="shared" si="60"/>
        <v>2025</v>
      </c>
      <c r="B1329" s="18" t="s">
        <v>1308</v>
      </c>
      <c r="C1329" s="18" t="s">
        <v>595</v>
      </c>
      <c r="D1329" s="12">
        <v>6404</v>
      </c>
      <c r="E1329" s="17" t="s">
        <v>272</v>
      </c>
      <c r="F1329" s="12" t="s">
        <v>273</v>
      </c>
      <c r="G1329" s="14">
        <v>2</v>
      </c>
      <c r="H1329" s="24">
        <v>570000</v>
      </c>
      <c r="I1329" s="12" t="s">
        <v>546</v>
      </c>
      <c r="J1329" s="6" t="s">
        <v>610</v>
      </c>
      <c r="K1329" s="6">
        <f t="shared" si="61"/>
        <v>12</v>
      </c>
      <c r="L1329" s="6" t="str">
        <f t="shared" si="62"/>
        <v>DICIEMBRE</v>
      </c>
    </row>
    <row r="1330" spans="1:12" x14ac:dyDescent="0.25">
      <c r="A1330" s="5">
        <f t="shared" si="60"/>
        <v>2025</v>
      </c>
      <c r="B1330" s="18" t="s">
        <v>1308</v>
      </c>
      <c r="C1330" s="18" t="s">
        <v>595</v>
      </c>
      <c r="D1330" s="12">
        <v>6404</v>
      </c>
      <c r="E1330" s="17" t="s">
        <v>289</v>
      </c>
      <c r="F1330" s="12" t="s">
        <v>290</v>
      </c>
      <c r="G1330" s="14">
        <v>1</v>
      </c>
      <c r="H1330" s="24">
        <v>650000</v>
      </c>
      <c r="I1330" s="12" t="s">
        <v>546</v>
      </c>
      <c r="J1330" s="6" t="s">
        <v>610</v>
      </c>
      <c r="K1330" s="6">
        <f t="shared" si="61"/>
        <v>12</v>
      </c>
      <c r="L1330" s="6" t="str">
        <f t="shared" si="62"/>
        <v>DICIEMBRE</v>
      </c>
    </row>
    <row r="1331" spans="1:12" x14ac:dyDescent="0.25">
      <c r="A1331" s="5">
        <f t="shared" si="60"/>
        <v>2025</v>
      </c>
      <c r="B1331" s="18" t="s">
        <v>1308</v>
      </c>
      <c r="C1331" s="18" t="s">
        <v>595</v>
      </c>
      <c r="D1331" s="12">
        <v>6404</v>
      </c>
      <c r="E1331" s="17" t="s">
        <v>1088</v>
      </c>
      <c r="F1331" s="12" t="s">
        <v>298</v>
      </c>
      <c r="G1331" s="14">
        <v>1</v>
      </c>
      <c r="H1331" s="24">
        <v>104000</v>
      </c>
      <c r="I1331" s="12" t="s">
        <v>546</v>
      </c>
      <c r="J1331" s="6" t="s">
        <v>610</v>
      </c>
      <c r="K1331" s="6">
        <f t="shared" si="61"/>
        <v>12</v>
      </c>
      <c r="L1331" s="6" t="str">
        <f t="shared" si="62"/>
        <v>DICIEMBRE</v>
      </c>
    </row>
    <row r="1332" spans="1:12" x14ac:dyDescent="0.25">
      <c r="A1332" s="5">
        <f t="shared" si="60"/>
        <v>2025</v>
      </c>
      <c r="B1332" s="18" t="s">
        <v>1308</v>
      </c>
      <c r="C1332" s="18" t="s">
        <v>595</v>
      </c>
      <c r="D1332" s="12">
        <v>6404</v>
      </c>
      <c r="E1332" s="17" t="s">
        <v>605</v>
      </c>
      <c r="F1332" s="12" t="s">
        <v>607</v>
      </c>
      <c r="G1332" s="14">
        <v>19</v>
      </c>
      <c r="H1332" s="24">
        <v>701803</v>
      </c>
      <c r="I1332" s="12" t="s">
        <v>546</v>
      </c>
      <c r="J1332" s="6" t="s">
        <v>610</v>
      </c>
      <c r="K1332" s="6">
        <f t="shared" si="61"/>
        <v>12</v>
      </c>
      <c r="L1332" s="6" t="str">
        <f t="shared" si="62"/>
        <v>DICIEMBRE</v>
      </c>
    </row>
    <row r="1333" spans="1:12" x14ac:dyDescent="0.25">
      <c r="A1333" s="5">
        <f t="shared" ref="A1333:A1396" si="63">+YEAR(B1333)</f>
        <v>2025</v>
      </c>
      <c r="B1333" s="18" t="s">
        <v>1308</v>
      </c>
      <c r="C1333" s="18" t="s">
        <v>595</v>
      </c>
      <c r="D1333" s="12">
        <v>6404</v>
      </c>
      <c r="E1333" s="17" t="s">
        <v>905</v>
      </c>
      <c r="F1333" s="12" t="s">
        <v>906</v>
      </c>
      <c r="G1333" s="14">
        <v>1</v>
      </c>
      <c r="H1333" s="24">
        <v>693288</v>
      </c>
      <c r="I1333" s="12" t="s">
        <v>546</v>
      </c>
      <c r="J1333" s="6" t="s">
        <v>610</v>
      </c>
      <c r="K1333" s="6">
        <f t="shared" ref="K1333:K1396" si="64">+MONTH(B1333)</f>
        <v>12</v>
      </c>
      <c r="L1333" s="6" t="str">
        <f t="shared" si="62"/>
        <v>DICIEMBRE</v>
      </c>
    </row>
    <row r="1334" spans="1:12" x14ac:dyDescent="0.25">
      <c r="A1334" s="5">
        <f t="shared" si="63"/>
        <v>2025</v>
      </c>
      <c r="B1334" s="18" t="s">
        <v>1308</v>
      </c>
      <c r="C1334" s="18" t="s">
        <v>595</v>
      </c>
      <c r="D1334" s="12">
        <v>6404</v>
      </c>
      <c r="E1334" s="17" t="s">
        <v>1067</v>
      </c>
      <c r="F1334" s="12" t="s">
        <v>1068</v>
      </c>
      <c r="G1334" s="14">
        <v>8</v>
      </c>
      <c r="H1334" s="24">
        <v>427800</v>
      </c>
      <c r="I1334" s="12" t="s">
        <v>546</v>
      </c>
      <c r="J1334" s="6" t="s">
        <v>610</v>
      </c>
      <c r="K1334" s="6">
        <f t="shared" si="64"/>
        <v>12</v>
      </c>
      <c r="L1334" s="6" t="str">
        <f t="shared" si="62"/>
        <v>DICIEMBRE</v>
      </c>
    </row>
    <row r="1335" spans="1:12" x14ac:dyDescent="0.25">
      <c r="A1335" s="5">
        <f t="shared" si="63"/>
        <v>2025</v>
      </c>
      <c r="B1335" s="18" t="s">
        <v>1256</v>
      </c>
      <c r="C1335" s="18" t="s">
        <v>595</v>
      </c>
      <c r="D1335" s="12">
        <v>6341</v>
      </c>
      <c r="E1335" s="17" t="s">
        <v>934</v>
      </c>
      <c r="F1335" s="12" t="s">
        <v>935</v>
      </c>
      <c r="G1335" s="14">
        <v>1</v>
      </c>
      <c r="H1335" s="24">
        <v>53261</v>
      </c>
      <c r="I1335" s="12" t="s">
        <v>712</v>
      </c>
      <c r="J1335" s="6" t="s">
        <v>608</v>
      </c>
      <c r="K1335" s="6">
        <f t="shared" si="64"/>
        <v>10</v>
      </c>
      <c r="L1335" s="6" t="str">
        <f t="shared" si="62"/>
        <v>OCTUBRE</v>
      </c>
    </row>
    <row r="1336" spans="1:12" x14ac:dyDescent="0.25">
      <c r="A1336" s="5">
        <f t="shared" si="63"/>
        <v>2025</v>
      </c>
      <c r="B1336" s="18" t="s">
        <v>1307</v>
      </c>
      <c r="C1336" s="18" t="s">
        <v>595</v>
      </c>
      <c r="D1336" s="12">
        <v>6406</v>
      </c>
      <c r="E1336" s="17" t="s">
        <v>936</v>
      </c>
      <c r="F1336" s="12" t="s">
        <v>937</v>
      </c>
      <c r="G1336" s="14">
        <v>1</v>
      </c>
      <c r="H1336" s="24">
        <v>77717</v>
      </c>
      <c r="I1336" s="12" t="s">
        <v>712</v>
      </c>
      <c r="J1336" s="6" t="s">
        <v>608</v>
      </c>
      <c r="K1336" s="6">
        <f t="shared" si="64"/>
        <v>12</v>
      </c>
      <c r="L1336" s="6" t="str">
        <f t="shared" si="62"/>
        <v>DICIEMBRE</v>
      </c>
    </row>
    <row r="1337" spans="1:12" x14ac:dyDescent="0.25">
      <c r="A1337" s="5">
        <f t="shared" si="63"/>
        <v>2025</v>
      </c>
      <c r="B1337" s="18" t="s">
        <v>1307</v>
      </c>
      <c r="C1337" s="18" t="s">
        <v>595</v>
      </c>
      <c r="D1337" s="12">
        <v>6406</v>
      </c>
      <c r="E1337" s="17" t="s">
        <v>357</v>
      </c>
      <c r="F1337" s="12" t="s">
        <v>358</v>
      </c>
      <c r="G1337" s="14">
        <v>3</v>
      </c>
      <c r="H1337" s="24">
        <v>297000</v>
      </c>
      <c r="I1337" s="12" t="s">
        <v>712</v>
      </c>
      <c r="J1337" s="6" t="s">
        <v>608</v>
      </c>
      <c r="K1337" s="6">
        <f t="shared" si="64"/>
        <v>12</v>
      </c>
      <c r="L1337" s="6" t="str">
        <f t="shared" si="62"/>
        <v>DICIEMBRE</v>
      </c>
    </row>
    <row r="1338" spans="1:12" x14ac:dyDescent="0.25">
      <c r="A1338" s="5">
        <f t="shared" si="63"/>
        <v>2025</v>
      </c>
      <c r="B1338" s="18" t="s">
        <v>1256</v>
      </c>
      <c r="C1338" s="18" t="s">
        <v>595</v>
      </c>
      <c r="D1338" s="12">
        <v>6340</v>
      </c>
      <c r="E1338" s="17" t="s">
        <v>494</v>
      </c>
      <c r="F1338" s="12" t="s">
        <v>495</v>
      </c>
      <c r="G1338" s="14">
        <v>1</v>
      </c>
      <c r="H1338" s="24">
        <v>45000</v>
      </c>
      <c r="I1338" s="12" t="s">
        <v>712</v>
      </c>
      <c r="J1338" s="6" t="s">
        <v>608</v>
      </c>
      <c r="K1338" s="6">
        <f t="shared" si="64"/>
        <v>10</v>
      </c>
      <c r="L1338" s="6" t="str">
        <f t="shared" si="62"/>
        <v>OCTUBRE</v>
      </c>
    </row>
    <row r="1339" spans="1:12" x14ac:dyDescent="0.25">
      <c r="A1339" s="5">
        <f t="shared" si="63"/>
        <v>2025</v>
      </c>
      <c r="B1339" s="18" t="s">
        <v>1256</v>
      </c>
      <c r="C1339" s="18" t="s">
        <v>595</v>
      </c>
      <c r="D1339" s="12">
        <v>6340</v>
      </c>
      <c r="E1339" s="17" t="s">
        <v>81</v>
      </c>
      <c r="F1339" s="12" t="s">
        <v>82</v>
      </c>
      <c r="G1339" s="14">
        <v>2</v>
      </c>
      <c r="H1339" s="24">
        <v>94000</v>
      </c>
      <c r="I1339" s="12" t="s">
        <v>712</v>
      </c>
      <c r="J1339" s="6" t="s">
        <v>608</v>
      </c>
      <c r="K1339" s="6">
        <f t="shared" si="64"/>
        <v>10</v>
      </c>
      <c r="L1339" s="6" t="str">
        <f t="shared" si="62"/>
        <v>OCTUBRE</v>
      </c>
    </row>
    <row r="1340" spans="1:12" x14ac:dyDescent="0.25">
      <c r="A1340" s="5">
        <f t="shared" si="63"/>
        <v>2025</v>
      </c>
      <c r="B1340" s="18" t="s">
        <v>1256</v>
      </c>
      <c r="C1340" s="18" t="s">
        <v>595</v>
      </c>
      <c r="D1340" s="12">
        <v>6340</v>
      </c>
      <c r="E1340" s="17" t="s">
        <v>936</v>
      </c>
      <c r="F1340" s="12" t="s">
        <v>937</v>
      </c>
      <c r="G1340" s="14">
        <v>1</v>
      </c>
      <c r="H1340" s="24">
        <v>77717</v>
      </c>
      <c r="I1340" s="12" t="s">
        <v>712</v>
      </c>
      <c r="J1340" s="6" t="s">
        <v>608</v>
      </c>
      <c r="K1340" s="6">
        <f t="shared" si="64"/>
        <v>10</v>
      </c>
      <c r="L1340" s="6" t="str">
        <f t="shared" si="62"/>
        <v>OCTUBRE</v>
      </c>
    </row>
    <row r="1341" spans="1:12" x14ac:dyDescent="0.25">
      <c r="A1341" s="5">
        <f t="shared" si="63"/>
        <v>2025</v>
      </c>
      <c r="B1341" s="18" t="s">
        <v>1256</v>
      </c>
      <c r="C1341" s="18" t="s">
        <v>595</v>
      </c>
      <c r="D1341" s="12">
        <v>6340</v>
      </c>
      <c r="E1341" s="17" t="s">
        <v>299</v>
      </c>
      <c r="F1341" s="12" t="s">
        <v>300</v>
      </c>
      <c r="G1341" s="14">
        <v>1</v>
      </c>
      <c r="H1341" s="24">
        <v>65000</v>
      </c>
      <c r="I1341" s="12" t="s">
        <v>712</v>
      </c>
      <c r="J1341" s="6" t="s">
        <v>608</v>
      </c>
      <c r="K1341" s="6">
        <f t="shared" si="64"/>
        <v>10</v>
      </c>
      <c r="L1341" s="6" t="str">
        <f t="shared" si="62"/>
        <v>OCTUBRE</v>
      </c>
    </row>
    <row r="1342" spans="1:12" x14ac:dyDescent="0.25">
      <c r="A1342" s="5">
        <f t="shared" si="63"/>
        <v>2025</v>
      </c>
      <c r="B1342" s="18" t="s">
        <v>1256</v>
      </c>
      <c r="C1342" s="18" t="s">
        <v>595</v>
      </c>
      <c r="D1342" s="12">
        <v>6340</v>
      </c>
      <c r="E1342" s="17">
        <v>85003</v>
      </c>
      <c r="F1342" s="12" t="s">
        <v>449</v>
      </c>
      <c r="G1342" s="14">
        <v>3</v>
      </c>
      <c r="H1342" s="24">
        <v>63000</v>
      </c>
      <c r="I1342" s="12" t="s">
        <v>712</v>
      </c>
      <c r="J1342" s="6" t="s">
        <v>608</v>
      </c>
      <c r="K1342" s="6">
        <f t="shared" si="64"/>
        <v>10</v>
      </c>
      <c r="L1342" s="6" t="str">
        <f t="shared" si="62"/>
        <v>OCTUBRE</v>
      </c>
    </row>
    <row r="1343" spans="1:12" x14ac:dyDescent="0.25">
      <c r="A1343" s="5">
        <f t="shared" si="63"/>
        <v>2025</v>
      </c>
      <c r="B1343" s="18" t="s">
        <v>1256</v>
      </c>
      <c r="C1343" s="18" t="s">
        <v>595</v>
      </c>
      <c r="D1343" s="12">
        <v>6340</v>
      </c>
      <c r="E1343" s="17">
        <v>23559</v>
      </c>
      <c r="F1343" s="12" t="s">
        <v>129</v>
      </c>
      <c r="G1343" s="14">
        <v>1</v>
      </c>
      <c r="H1343" s="24">
        <v>5000</v>
      </c>
      <c r="I1343" s="12" t="s">
        <v>712</v>
      </c>
      <c r="J1343" s="6" t="s">
        <v>608</v>
      </c>
      <c r="K1343" s="6">
        <f t="shared" si="64"/>
        <v>10</v>
      </c>
      <c r="L1343" s="6" t="str">
        <f t="shared" si="62"/>
        <v>OCTUBRE</v>
      </c>
    </row>
    <row r="1344" spans="1:12" x14ac:dyDescent="0.25">
      <c r="A1344" s="5">
        <f t="shared" si="63"/>
        <v>2025</v>
      </c>
      <c r="B1344" s="18" t="s">
        <v>1256</v>
      </c>
      <c r="C1344" s="18" t="s">
        <v>595</v>
      </c>
      <c r="D1344" s="12">
        <v>6340</v>
      </c>
      <c r="E1344" s="17" t="s">
        <v>415</v>
      </c>
      <c r="F1344" s="12" t="s">
        <v>416</v>
      </c>
      <c r="G1344" s="14">
        <v>1</v>
      </c>
      <c r="H1344" s="24">
        <v>422000</v>
      </c>
      <c r="I1344" s="12" t="s">
        <v>712</v>
      </c>
      <c r="J1344" s="6" t="s">
        <v>608</v>
      </c>
      <c r="K1344" s="6">
        <f t="shared" si="64"/>
        <v>10</v>
      </c>
      <c r="L1344" s="6" t="str">
        <f t="shared" si="62"/>
        <v>OCTUBRE</v>
      </c>
    </row>
    <row r="1345" spans="1:12" x14ac:dyDescent="0.25">
      <c r="A1345" s="5">
        <f t="shared" si="63"/>
        <v>2025</v>
      </c>
      <c r="B1345" s="18" t="s">
        <v>1256</v>
      </c>
      <c r="C1345" s="18" t="s">
        <v>595</v>
      </c>
      <c r="D1345" s="12">
        <v>6340</v>
      </c>
      <c r="E1345" s="17" t="s">
        <v>181</v>
      </c>
      <c r="F1345" s="12" t="s">
        <v>182</v>
      </c>
      <c r="G1345" s="14">
        <v>2</v>
      </c>
      <c r="H1345" s="24">
        <v>206000</v>
      </c>
      <c r="I1345" s="12" t="s">
        <v>712</v>
      </c>
      <c r="J1345" s="6" t="s">
        <v>608</v>
      </c>
      <c r="K1345" s="6">
        <f t="shared" si="64"/>
        <v>10</v>
      </c>
      <c r="L1345" s="6" t="str">
        <f t="shared" si="62"/>
        <v>OCTUBRE</v>
      </c>
    </row>
    <row r="1346" spans="1:12" x14ac:dyDescent="0.25">
      <c r="A1346" s="5">
        <f t="shared" si="63"/>
        <v>2025</v>
      </c>
      <c r="B1346" s="18" t="s">
        <v>1307</v>
      </c>
      <c r="C1346" s="18" t="s">
        <v>595</v>
      </c>
      <c r="D1346" s="12">
        <v>6405</v>
      </c>
      <c r="E1346" s="17" t="s">
        <v>204</v>
      </c>
      <c r="F1346" s="12" t="s">
        <v>205</v>
      </c>
      <c r="G1346" s="14">
        <v>2</v>
      </c>
      <c r="H1346" s="24">
        <v>94000</v>
      </c>
      <c r="I1346" s="12" t="s">
        <v>712</v>
      </c>
      <c r="J1346" s="6" t="s">
        <v>608</v>
      </c>
      <c r="K1346" s="6">
        <f t="shared" si="64"/>
        <v>12</v>
      </c>
      <c r="L1346" s="6" t="str">
        <f t="shared" si="62"/>
        <v>DICIEMBRE</v>
      </c>
    </row>
    <row r="1347" spans="1:12" x14ac:dyDescent="0.25">
      <c r="A1347" s="5">
        <f t="shared" si="63"/>
        <v>2025</v>
      </c>
      <c r="B1347" s="18" t="s">
        <v>1307</v>
      </c>
      <c r="C1347" s="18" t="s">
        <v>595</v>
      </c>
      <c r="D1347" s="12">
        <v>6405</v>
      </c>
      <c r="E1347" s="17">
        <v>55509</v>
      </c>
      <c r="F1347" s="12" t="s">
        <v>431</v>
      </c>
      <c r="G1347" s="14">
        <v>2</v>
      </c>
      <c r="H1347" s="24">
        <v>98000</v>
      </c>
      <c r="I1347" s="12" t="s">
        <v>712</v>
      </c>
      <c r="J1347" s="6" t="s">
        <v>608</v>
      </c>
      <c r="K1347" s="6">
        <f t="shared" si="64"/>
        <v>12</v>
      </c>
      <c r="L1347" s="6" t="str">
        <f t="shared" ref="L1347:L1410" si="65">VLOOKUP(K1347,N:O,2,0)</f>
        <v>DICIEMBRE</v>
      </c>
    </row>
    <row r="1348" spans="1:12" x14ac:dyDescent="0.25">
      <c r="A1348" s="5">
        <f t="shared" si="63"/>
        <v>2025</v>
      </c>
      <c r="B1348" s="18" t="s">
        <v>1307</v>
      </c>
      <c r="C1348" s="18" t="s">
        <v>595</v>
      </c>
      <c r="D1348" s="12">
        <v>6405</v>
      </c>
      <c r="E1348" s="17" t="s">
        <v>500</v>
      </c>
      <c r="F1348" s="12" t="s">
        <v>501</v>
      </c>
      <c r="G1348" s="14">
        <v>2</v>
      </c>
      <c r="H1348" s="24">
        <v>202000</v>
      </c>
      <c r="I1348" s="12" t="s">
        <v>712</v>
      </c>
      <c r="J1348" s="6" t="s">
        <v>608</v>
      </c>
      <c r="K1348" s="6">
        <f t="shared" si="64"/>
        <v>12</v>
      </c>
      <c r="L1348" s="6" t="str">
        <f t="shared" si="65"/>
        <v>DICIEMBRE</v>
      </c>
    </row>
    <row r="1349" spans="1:12" x14ac:dyDescent="0.25">
      <c r="A1349" s="5">
        <f t="shared" si="63"/>
        <v>2025</v>
      </c>
      <c r="B1349" s="18" t="s">
        <v>1307</v>
      </c>
      <c r="C1349" s="18" t="s">
        <v>595</v>
      </c>
      <c r="D1349" s="12">
        <v>6405</v>
      </c>
      <c r="E1349" s="17" t="s">
        <v>533</v>
      </c>
      <c r="F1349" s="12" t="s">
        <v>534</v>
      </c>
      <c r="G1349" s="14">
        <v>1</v>
      </c>
      <c r="H1349" s="24">
        <v>124000</v>
      </c>
      <c r="I1349" s="12" t="s">
        <v>712</v>
      </c>
      <c r="J1349" s="6" t="s">
        <v>608</v>
      </c>
      <c r="K1349" s="6">
        <f t="shared" si="64"/>
        <v>12</v>
      </c>
      <c r="L1349" s="6" t="str">
        <f t="shared" si="65"/>
        <v>DICIEMBRE</v>
      </c>
    </row>
    <row r="1350" spans="1:12" x14ac:dyDescent="0.25">
      <c r="A1350" s="5">
        <f t="shared" si="63"/>
        <v>2025</v>
      </c>
      <c r="B1350" s="18" t="s">
        <v>1307</v>
      </c>
      <c r="C1350" s="18" t="s">
        <v>595</v>
      </c>
      <c r="D1350" s="12">
        <v>6405</v>
      </c>
      <c r="E1350" s="17" t="s">
        <v>423</v>
      </c>
      <c r="F1350" s="12" t="s">
        <v>424</v>
      </c>
      <c r="G1350" s="14">
        <v>6</v>
      </c>
      <c r="H1350" s="24">
        <v>492000</v>
      </c>
      <c r="I1350" s="12" t="s">
        <v>712</v>
      </c>
      <c r="J1350" s="6" t="s">
        <v>608</v>
      </c>
      <c r="K1350" s="6">
        <f t="shared" si="64"/>
        <v>12</v>
      </c>
      <c r="L1350" s="6" t="str">
        <f t="shared" si="65"/>
        <v>DICIEMBRE</v>
      </c>
    </row>
    <row r="1351" spans="1:12" x14ac:dyDescent="0.25">
      <c r="A1351" s="5">
        <f t="shared" si="63"/>
        <v>2025</v>
      </c>
      <c r="B1351" s="18" t="s">
        <v>1307</v>
      </c>
      <c r="C1351" s="18" t="s">
        <v>595</v>
      </c>
      <c r="D1351" s="12">
        <v>6405</v>
      </c>
      <c r="E1351" s="17" t="s">
        <v>209</v>
      </c>
      <c r="F1351" s="12" t="s">
        <v>210</v>
      </c>
      <c r="G1351" s="14">
        <v>6</v>
      </c>
      <c r="H1351" s="24">
        <v>330060</v>
      </c>
      <c r="I1351" s="12" t="s">
        <v>712</v>
      </c>
      <c r="J1351" s="6" t="s">
        <v>608</v>
      </c>
      <c r="K1351" s="6">
        <f t="shared" si="64"/>
        <v>12</v>
      </c>
      <c r="L1351" s="6" t="str">
        <f t="shared" si="65"/>
        <v>DICIEMBRE</v>
      </c>
    </row>
    <row r="1352" spans="1:12" x14ac:dyDescent="0.25">
      <c r="A1352" s="5">
        <f t="shared" si="63"/>
        <v>2025</v>
      </c>
      <c r="B1352" s="18" t="s">
        <v>1307</v>
      </c>
      <c r="C1352" s="18" t="s">
        <v>595</v>
      </c>
      <c r="D1352" s="12">
        <v>6405</v>
      </c>
      <c r="E1352" s="17" t="s">
        <v>253</v>
      </c>
      <c r="F1352" s="12" t="s">
        <v>254</v>
      </c>
      <c r="G1352" s="14">
        <v>5</v>
      </c>
      <c r="H1352" s="24">
        <v>120000</v>
      </c>
      <c r="I1352" s="12" t="s">
        <v>712</v>
      </c>
      <c r="J1352" s="6" t="s">
        <v>608</v>
      </c>
      <c r="K1352" s="6">
        <f t="shared" si="64"/>
        <v>12</v>
      </c>
      <c r="L1352" s="6" t="str">
        <f t="shared" si="65"/>
        <v>DICIEMBRE</v>
      </c>
    </row>
    <row r="1353" spans="1:12" x14ac:dyDescent="0.25">
      <c r="A1353" s="5">
        <f t="shared" si="63"/>
        <v>2025</v>
      </c>
      <c r="B1353" s="18" t="s">
        <v>1307</v>
      </c>
      <c r="C1353" s="18" t="s">
        <v>595</v>
      </c>
      <c r="D1353" s="12">
        <v>6405</v>
      </c>
      <c r="E1353" s="17" t="s">
        <v>371</v>
      </c>
      <c r="F1353" s="12" t="s">
        <v>372</v>
      </c>
      <c r="G1353" s="14">
        <v>1</v>
      </c>
      <c r="H1353" s="24">
        <v>188000</v>
      </c>
      <c r="I1353" s="12" t="s">
        <v>712</v>
      </c>
      <c r="J1353" s="6" t="s">
        <v>608</v>
      </c>
      <c r="K1353" s="6">
        <f t="shared" si="64"/>
        <v>12</v>
      </c>
      <c r="L1353" s="6" t="str">
        <f t="shared" si="65"/>
        <v>DICIEMBRE</v>
      </c>
    </row>
    <row r="1354" spans="1:12" x14ac:dyDescent="0.25">
      <c r="A1354" s="5">
        <f t="shared" si="63"/>
        <v>2025</v>
      </c>
      <c r="B1354" s="18" t="s">
        <v>1307</v>
      </c>
      <c r="C1354" s="18" t="s">
        <v>595</v>
      </c>
      <c r="D1354" s="12">
        <v>6405</v>
      </c>
      <c r="E1354" s="17" t="s">
        <v>476</v>
      </c>
      <c r="F1354" s="12" t="s">
        <v>477</v>
      </c>
      <c r="G1354" s="14">
        <v>2</v>
      </c>
      <c r="H1354" s="24">
        <v>966000</v>
      </c>
      <c r="I1354" s="12" t="s">
        <v>712</v>
      </c>
      <c r="J1354" s="6" t="s">
        <v>608</v>
      </c>
      <c r="K1354" s="6">
        <f t="shared" si="64"/>
        <v>12</v>
      </c>
      <c r="L1354" s="6" t="str">
        <f t="shared" si="65"/>
        <v>DICIEMBRE</v>
      </c>
    </row>
    <row r="1355" spans="1:12" x14ac:dyDescent="0.25">
      <c r="A1355" s="5">
        <f t="shared" si="63"/>
        <v>2025</v>
      </c>
      <c r="B1355" s="18" t="s">
        <v>1307</v>
      </c>
      <c r="C1355" s="18" t="s">
        <v>595</v>
      </c>
      <c r="D1355" s="12">
        <v>6405</v>
      </c>
      <c r="E1355" s="17">
        <v>9373</v>
      </c>
      <c r="F1355" s="12" t="s">
        <v>128</v>
      </c>
      <c r="G1355" s="14">
        <v>1</v>
      </c>
      <c r="H1355" s="24">
        <v>460000</v>
      </c>
      <c r="I1355" s="12" t="s">
        <v>712</v>
      </c>
      <c r="J1355" s="6" t="s">
        <v>608</v>
      </c>
      <c r="K1355" s="6">
        <f t="shared" si="64"/>
        <v>12</v>
      </c>
      <c r="L1355" s="6" t="str">
        <f t="shared" si="65"/>
        <v>DICIEMBRE</v>
      </c>
    </row>
    <row r="1356" spans="1:12" x14ac:dyDescent="0.25">
      <c r="A1356" s="5">
        <f t="shared" si="63"/>
        <v>2025</v>
      </c>
      <c r="B1356" s="18" t="s">
        <v>1307</v>
      </c>
      <c r="C1356" s="18" t="s">
        <v>595</v>
      </c>
      <c r="D1356" s="12">
        <v>6405</v>
      </c>
      <c r="E1356" s="17" t="s">
        <v>274</v>
      </c>
      <c r="F1356" s="12" t="s">
        <v>275</v>
      </c>
      <c r="G1356" s="14">
        <v>2</v>
      </c>
      <c r="H1356" s="24">
        <v>124000</v>
      </c>
      <c r="I1356" s="12" t="s">
        <v>712</v>
      </c>
      <c r="J1356" s="6" t="s">
        <v>608</v>
      </c>
      <c r="K1356" s="6">
        <f t="shared" si="64"/>
        <v>12</v>
      </c>
      <c r="L1356" s="6" t="str">
        <f t="shared" si="65"/>
        <v>DICIEMBRE</v>
      </c>
    </row>
    <row r="1357" spans="1:12" x14ac:dyDescent="0.25">
      <c r="A1357" s="5">
        <f t="shared" si="63"/>
        <v>2025</v>
      </c>
      <c r="B1357" s="18" t="s">
        <v>1307</v>
      </c>
      <c r="C1357" s="18" t="s">
        <v>595</v>
      </c>
      <c r="D1357" s="12">
        <v>6405</v>
      </c>
      <c r="E1357" s="17" t="s">
        <v>598</v>
      </c>
      <c r="F1357" s="12" t="s">
        <v>602</v>
      </c>
      <c r="G1357" s="14">
        <v>1</v>
      </c>
      <c r="H1357" s="24">
        <v>509000</v>
      </c>
      <c r="I1357" s="12" t="s">
        <v>712</v>
      </c>
      <c r="J1357" s="6" t="s">
        <v>608</v>
      </c>
      <c r="K1357" s="6">
        <f t="shared" si="64"/>
        <v>12</v>
      </c>
      <c r="L1357" s="6" t="str">
        <f t="shared" si="65"/>
        <v>DICIEMBRE</v>
      </c>
    </row>
    <row r="1358" spans="1:12" x14ac:dyDescent="0.25">
      <c r="A1358" s="5">
        <f t="shared" si="63"/>
        <v>2025</v>
      </c>
      <c r="B1358" s="18" t="s">
        <v>1307</v>
      </c>
      <c r="C1358" s="18" t="s">
        <v>595</v>
      </c>
      <c r="D1358" s="12">
        <v>6405</v>
      </c>
      <c r="E1358" s="17" t="s">
        <v>319</v>
      </c>
      <c r="F1358" s="12" t="s">
        <v>320</v>
      </c>
      <c r="G1358" s="14">
        <v>2</v>
      </c>
      <c r="H1358" s="24">
        <v>1060000</v>
      </c>
      <c r="I1358" s="12" t="s">
        <v>712</v>
      </c>
      <c r="J1358" s="6" t="s">
        <v>608</v>
      </c>
      <c r="K1358" s="6">
        <f t="shared" si="64"/>
        <v>12</v>
      </c>
      <c r="L1358" s="6" t="str">
        <f t="shared" si="65"/>
        <v>DICIEMBRE</v>
      </c>
    </row>
    <row r="1359" spans="1:12" x14ac:dyDescent="0.25">
      <c r="A1359" s="5">
        <f t="shared" si="63"/>
        <v>2025</v>
      </c>
      <c r="B1359" s="18" t="s">
        <v>1307</v>
      </c>
      <c r="C1359" s="18" t="s">
        <v>595</v>
      </c>
      <c r="D1359" s="12">
        <v>6405</v>
      </c>
      <c r="E1359" s="17" t="s">
        <v>299</v>
      </c>
      <c r="F1359" s="12" t="s">
        <v>300</v>
      </c>
      <c r="G1359" s="14">
        <v>2</v>
      </c>
      <c r="H1359" s="24">
        <v>130000</v>
      </c>
      <c r="I1359" s="12" t="s">
        <v>712</v>
      </c>
      <c r="J1359" s="6" t="s">
        <v>608</v>
      </c>
      <c r="K1359" s="6">
        <f t="shared" si="64"/>
        <v>12</v>
      </c>
      <c r="L1359" s="6" t="str">
        <f t="shared" si="65"/>
        <v>DICIEMBRE</v>
      </c>
    </row>
    <row r="1360" spans="1:12" x14ac:dyDescent="0.25">
      <c r="A1360" s="5">
        <f t="shared" si="63"/>
        <v>2025</v>
      </c>
      <c r="B1360" s="18" t="s">
        <v>1307</v>
      </c>
      <c r="C1360" s="18" t="s">
        <v>595</v>
      </c>
      <c r="D1360" s="12">
        <v>6405</v>
      </c>
      <c r="E1360" s="17">
        <v>85003</v>
      </c>
      <c r="F1360" s="12" t="s">
        <v>449</v>
      </c>
      <c r="G1360" s="14">
        <v>1</v>
      </c>
      <c r="H1360" s="24">
        <v>21000</v>
      </c>
      <c r="I1360" s="12" t="s">
        <v>712</v>
      </c>
      <c r="J1360" s="6" t="s">
        <v>608</v>
      </c>
      <c r="K1360" s="6">
        <f t="shared" si="64"/>
        <v>12</v>
      </c>
      <c r="L1360" s="6" t="str">
        <f t="shared" si="65"/>
        <v>DICIEMBRE</v>
      </c>
    </row>
    <row r="1361" spans="1:12" x14ac:dyDescent="0.25">
      <c r="A1361" s="5">
        <f t="shared" si="63"/>
        <v>2025</v>
      </c>
      <c r="B1361" s="18" t="s">
        <v>1307</v>
      </c>
      <c r="C1361" s="18" t="s">
        <v>595</v>
      </c>
      <c r="D1361" s="12">
        <v>6405</v>
      </c>
      <c r="E1361" s="17" t="s">
        <v>436</v>
      </c>
      <c r="F1361" s="12" t="s">
        <v>437</v>
      </c>
      <c r="G1361" s="14">
        <v>1</v>
      </c>
      <c r="H1361" s="24">
        <v>57000</v>
      </c>
      <c r="I1361" s="12" t="s">
        <v>712</v>
      </c>
      <c r="J1361" s="6" t="s">
        <v>608</v>
      </c>
      <c r="K1361" s="6">
        <f t="shared" si="64"/>
        <v>12</v>
      </c>
      <c r="L1361" s="6" t="str">
        <f t="shared" si="65"/>
        <v>DICIEMBRE</v>
      </c>
    </row>
    <row r="1362" spans="1:12" x14ac:dyDescent="0.25">
      <c r="A1362" s="5">
        <f t="shared" si="63"/>
        <v>2025</v>
      </c>
      <c r="B1362" s="18" t="s">
        <v>1307</v>
      </c>
      <c r="C1362" s="18" t="s">
        <v>595</v>
      </c>
      <c r="D1362" s="12">
        <v>6405</v>
      </c>
      <c r="E1362" s="17" t="s">
        <v>202</v>
      </c>
      <c r="F1362" s="12" t="s">
        <v>203</v>
      </c>
      <c r="G1362" s="14">
        <v>1</v>
      </c>
      <c r="H1362" s="24">
        <v>158137</v>
      </c>
      <c r="I1362" s="12" t="s">
        <v>712</v>
      </c>
      <c r="J1362" s="6" t="s">
        <v>608</v>
      </c>
      <c r="K1362" s="6">
        <f t="shared" si="64"/>
        <v>12</v>
      </c>
      <c r="L1362" s="6" t="str">
        <f t="shared" si="65"/>
        <v>DICIEMBRE</v>
      </c>
    </row>
    <row r="1363" spans="1:12" x14ac:dyDescent="0.25">
      <c r="A1363" s="5">
        <f t="shared" si="63"/>
        <v>2025</v>
      </c>
      <c r="B1363" s="18" t="s">
        <v>1307</v>
      </c>
      <c r="C1363" s="18" t="s">
        <v>595</v>
      </c>
      <c r="D1363" s="12">
        <v>6405</v>
      </c>
      <c r="E1363" s="17" t="s">
        <v>215</v>
      </c>
      <c r="F1363" s="12" t="s">
        <v>216</v>
      </c>
      <c r="G1363" s="14">
        <v>2</v>
      </c>
      <c r="H1363" s="24">
        <v>334000</v>
      </c>
      <c r="I1363" s="12" t="s">
        <v>712</v>
      </c>
      <c r="J1363" s="6" t="s">
        <v>608</v>
      </c>
      <c r="K1363" s="6">
        <f t="shared" si="64"/>
        <v>12</v>
      </c>
      <c r="L1363" s="6" t="str">
        <f t="shared" si="65"/>
        <v>DICIEMBRE</v>
      </c>
    </row>
    <row r="1364" spans="1:12" x14ac:dyDescent="0.25">
      <c r="A1364" s="5">
        <f t="shared" si="63"/>
        <v>2025</v>
      </c>
      <c r="B1364" s="18" t="s">
        <v>1307</v>
      </c>
      <c r="C1364" s="18" t="s">
        <v>595</v>
      </c>
      <c r="D1364" s="12">
        <v>6405</v>
      </c>
      <c r="E1364" s="17" t="s">
        <v>245</v>
      </c>
      <c r="F1364" s="12" t="s">
        <v>246</v>
      </c>
      <c r="G1364" s="14">
        <v>1</v>
      </c>
      <c r="H1364" s="24">
        <v>5500</v>
      </c>
      <c r="I1364" s="12" t="s">
        <v>712</v>
      </c>
      <c r="J1364" s="6" t="s">
        <v>608</v>
      </c>
      <c r="K1364" s="6">
        <f t="shared" si="64"/>
        <v>12</v>
      </c>
      <c r="L1364" s="6" t="str">
        <f t="shared" si="65"/>
        <v>DICIEMBRE</v>
      </c>
    </row>
    <row r="1365" spans="1:12" x14ac:dyDescent="0.25">
      <c r="A1365" s="5">
        <f t="shared" si="63"/>
        <v>2025</v>
      </c>
      <c r="B1365" s="18" t="s">
        <v>1307</v>
      </c>
      <c r="C1365" s="18" t="s">
        <v>595</v>
      </c>
      <c r="D1365" s="12">
        <v>6405</v>
      </c>
      <c r="E1365" s="17" t="s">
        <v>86</v>
      </c>
      <c r="F1365" s="12" t="s">
        <v>87</v>
      </c>
      <c r="G1365" s="14">
        <v>1</v>
      </c>
      <c r="H1365" s="24">
        <v>163000</v>
      </c>
      <c r="I1365" s="12" t="s">
        <v>712</v>
      </c>
      <c r="J1365" s="6" t="s">
        <v>608</v>
      </c>
      <c r="K1365" s="6">
        <f t="shared" si="64"/>
        <v>12</v>
      </c>
      <c r="L1365" s="6" t="str">
        <f t="shared" si="65"/>
        <v>DICIEMBRE</v>
      </c>
    </row>
    <row r="1366" spans="1:12" x14ac:dyDescent="0.25">
      <c r="A1366" s="5">
        <f t="shared" si="63"/>
        <v>2025</v>
      </c>
      <c r="B1366" s="18" t="s">
        <v>1307</v>
      </c>
      <c r="C1366" s="18" t="s">
        <v>595</v>
      </c>
      <c r="D1366" s="12">
        <v>6405</v>
      </c>
      <c r="E1366" s="17" t="s">
        <v>359</v>
      </c>
      <c r="F1366" s="12" t="s">
        <v>360</v>
      </c>
      <c r="G1366" s="14">
        <v>3</v>
      </c>
      <c r="H1366" s="24">
        <v>192000</v>
      </c>
      <c r="I1366" s="12" t="s">
        <v>712</v>
      </c>
      <c r="J1366" s="6" t="s">
        <v>608</v>
      </c>
      <c r="K1366" s="6">
        <f t="shared" si="64"/>
        <v>12</v>
      </c>
      <c r="L1366" s="6" t="str">
        <f t="shared" si="65"/>
        <v>DICIEMBRE</v>
      </c>
    </row>
    <row r="1367" spans="1:12" x14ac:dyDescent="0.25">
      <c r="A1367" s="5">
        <f t="shared" si="63"/>
        <v>2025</v>
      </c>
      <c r="B1367" s="18" t="s">
        <v>1307</v>
      </c>
      <c r="C1367" s="18" t="s">
        <v>595</v>
      </c>
      <c r="D1367" s="12">
        <v>6405</v>
      </c>
      <c r="E1367" s="17" t="s">
        <v>76</v>
      </c>
      <c r="F1367" s="12" t="s">
        <v>77</v>
      </c>
      <c r="G1367" s="14">
        <v>3</v>
      </c>
      <c r="H1367" s="24">
        <v>4224</v>
      </c>
      <c r="I1367" s="12" t="s">
        <v>712</v>
      </c>
      <c r="J1367" s="6" t="s">
        <v>608</v>
      </c>
      <c r="K1367" s="6">
        <f t="shared" si="64"/>
        <v>12</v>
      </c>
      <c r="L1367" s="6" t="str">
        <f t="shared" si="65"/>
        <v>DICIEMBRE</v>
      </c>
    </row>
    <row r="1368" spans="1:12" x14ac:dyDescent="0.25">
      <c r="A1368" s="5">
        <f t="shared" si="63"/>
        <v>2025</v>
      </c>
      <c r="B1368" s="18" t="s">
        <v>1307</v>
      </c>
      <c r="C1368" s="18" t="s">
        <v>595</v>
      </c>
      <c r="D1368" s="12">
        <v>6405</v>
      </c>
      <c r="E1368" s="17" t="s">
        <v>167</v>
      </c>
      <c r="F1368" s="12" t="s">
        <v>168</v>
      </c>
      <c r="G1368" s="14">
        <v>1</v>
      </c>
      <c r="H1368" s="24">
        <v>650000</v>
      </c>
      <c r="I1368" s="12" t="s">
        <v>712</v>
      </c>
      <c r="J1368" s="6" t="s">
        <v>608</v>
      </c>
      <c r="K1368" s="6">
        <f t="shared" si="64"/>
        <v>12</v>
      </c>
      <c r="L1368" s="6" t="str">
        <f t="shared" si="65"/>
        <v>DICIEMBRE</v>
      </c>
    </row>
    <row r="1369" spans="1:12" x14ac:dyDescent="0.25">
      <c r="A1369" s="5">
        <f t="shared" si="63"/>
        <v>2025</v>
      </c>
      <c r="B1369" s="18" t="s">
        <v>1189</v>
      </c>
      <c r="C1369" s="18" t="s">
        <v>595</v>
      </c>
      <c r="D1369" s="12">
        <v>6295</v>
      </c>
      <c r="E1369" s="17" t="s">
        <v>126</v>
      </c>
      <c r="F1369" s="12" t="s">
        <v>127</v>
      </c>
      <c r="G1369" s="14">
        <v>1</v>
      </c>
      <c r="H1369" s="24">
        <v>660000</v>
      </c>
      <c r="I1369" s="12" t="s">
        <v>712</v>
      </c>
      <c r="J1369" s="6" t="s">
        <v>608</v>
      </c>
      <c r="K1369" s="6">
        <f t="shared" si="64"/>
        <v>10</v>
      </c>
      <c r="L1369" s="6" t="str">
        <f t="shared" si="65"/>
        <v>OCTUBRE</v>
      </c>
    </row>
    <row r="1370" spans="1:12" x14ac:dyDescent="0.25">
      <c r="A1370" s="5">
        <f t="shared" si="63"/>
        <v>2025</v>
      </c>
      <c r="B1370" s="18" t="s">
        <v>1189</v>
      </c>
      <c r="C1370" s="18" t="s">
        <v>595</v>
      </c>
      <c r="D1370" s="12">
        <v>6295</v>
      </c>
      <c r="E1370" s="17" t="s">
        <v>715</v>
      </c>
      <c r="F1370" s="12" t="s">
        <v>721</v>
      </c>
      <c r="G1370" s="14">
        <v>1</v>
      </c>
      <c r="H1370" s="24">
        <v>384000</v>
      </c>
      <c r="I1370" s="12" t="s">
        <v>712</v>
      </c>
      <c r="J1370" s="6" t="s">
        <v>608</v>
      </c>
      <c r="K1370" s="6">
        <f t="shared" si="64"/>
        <v>10</v>
      </c>
      <c r="L1370" s="6" t="str">
        <f t="shared" si="65"/>
        <v>OCTUBRE</v>
      </c>
    </row>
    <row r="1371" spans="1:12" x14ac:dyDescent="0.25">
      <c r="A1371" s="5">
        <f t="shared" si="63"/>
        <v>2025</v>
      </c>
      <c r="B1371" s="18" t="s">
        <v>1189</v>
      </c>
      <c r="C1371" s="18" t="s">
        <v>595</v>
      </c>
      <c r="D1371" s="12">
        <v>6295</v>
      </c>
      <c r="E1371" s="17" t="s">
        <v>742</v>
      </c>
      <c r="F1371" s="12" t="s">
        <v>743</v>
      </c>
      <c r="G1371" s="14">
        <v>1</v>
      </c>
      <c r="H1371" s="24">
        <v>550000</v>
      </c>
      <c r="I1371" s="12" t="s">
        <v>712</v>
      </c>
      <c r="J1371" s="6" t="s">
        <v>608</v>
      </c>
      <c r="K1371" s="6">
        <f t="shared" si="64"/>
        <v>10</v>
      </c>
      <c r="L1371" s="6" t="str">
        <f t="shared" si="65"/>
        <v>OCTUBRE</v>
      </c>
    </row>
    <row r="1372" spans="1:12" x14ac:dyDescent="0.25">
      <c r="A1372" s="5">
        <f t="shared" si="63"/>
        <v>2025</v>
      </c>
      <c r="B1372" s="18" t="s">
        <v>1189</v>
      </c>
      <c r="C1372" s="18" t="s">
        <v>595</v>
      </c>
      <c r="D1372" s="12">
        <v>6295</v>
      </c>
      <c r="E1372" s="17" t="s">
        <v>299</v>
      </c>
      <c r="F1372" s="12" t="s">
        <v>300</v>
      </c>
      <c r="G1372" s="14">
        <v>1</v>
      </c>
      <c r="H1372" s="24">
        <v>65000</v>
      </c>
      <c r="I1372" s="12" t="s">
        <v>712</v>
      </c>
      <c r="J1372" s="6" t="s">
        <v>608</v>
      </c>
      <c r="K1372" s="6">
        <f t="shared" si="64"/>
        <v>10</v>
      </c>
      <c r="L1372" s="6" t="str">
        <f t="shared" si="65"/>
        <v>OCTUBRE</v>
      </c>
    </row>
    <row r="1373" spans="1:12" x14ac:dyDescent="0.25">
      <c r="A1373" s="5">
        <f t="shared" si="63"/>
        <v>2025</v>
      </c>
      <c r="B1373" s="18" t="s">
        <v>1189</v>
      </c>
      <c r="C1373" s="18" t="s">
        <v>595</v>
      </c>
      <c r="D1373" s="12">
        <v>6295</v>
      </c>
      <c r="E1373" s="17" t="s">
        <v>346</v>
      </c>
      <c r="F1373" s="12" t="s">
        <v>347</v>
      </c>
      <c r="G1373" s="14">
        <v>1</v>
      </c>
      <c r="H1373" s="24">
        <v>131000</v>
      </c>
      <c r="I1373" s="12" t="s">
        <v>712</v>
      </c>
      <c r="J1373" s="6" t="s">
        <v>608</v>
      </c>
      <c r="K1373" s="6">
        <f t="shared" si="64"/>
        <v>10</v>
      </c>
      <c r="L1373" s="6" t="str">
        <f t="shared" si="65"/>
        <v>OCTUBRE</v>
      </c>
    </row>
    <row r="1374" spans="1:12" x14ac:dyDescent="0.25">
      <c r="A1374" s="5">
        <f t="shared" si="63"/>
        <v>2025</v>
      </c>
      <c r="B1374" s="18" t="s">
        <v>1189</v>
      </c>
      <c r="C1374" s="18" t="s">
        <v>595</v>
      </c>
      <c r="D1374" s="12">
        <v>6295</v>
      </c>
      <c r="E1374" s="17" t="s">
        <v>910</v>
      </c>
      <c r="F1374" s="12" t="s">
        <v>911</v>
      </c>
      <c r="G1374" s="14">
        <v>1</v>
      </c>
      <c r="H1374" s="24">
        <v>328087</v>
      </c>
      <c r="I1374" s="12" t="s">
        <v>712</v>
      </c>
      <c r="J1374" s="6" t="s">
        <v>608</v>
      </c>
      <c r="K1374" s="6">
        <f t="shared" si="64"/>
        <v>10</v>
      </c>
      <c r="L1374" s="6" t="str">
        <f t="shared" si="65"/>
        <v>OCTUBRE</v>
      </c>
    </row>
    <row r="1375" spans="1:12" x14ac:dyDescent="0.25">
      <c r="A1375" s="5">
        <f t="shared" si="63"/>
        <v>2025</v>
      </c>
      <c r="B1375" s="18" t="s">
        <v>1189</v>
      </c>
      <c r="C1375" s="18" t="s">
        <v>595</v>
      </c>
      <c r="D1375" s="12">
        <v>6295</v>
      </c>
      <c r="E1375" s="17" t="s">
        <v>167</v>
      </c>
      <c r="F1375" s="12" t="s">
        <v>168</v>
      </c>
      <c r="G1375" s="14">
        <v>1</v>
      </c>
      <c r="H1375" s="24">
        <v>650000</v>
      </c>
      <c r="I1375" s="12" t="s">
        <v>712</v>
      </c>
      <c r="J1375" s="6" t="s">
        <v>608</v>
      </c>
      <c r="K1375" s="6">
        <f t="shared" si="64"/>
        <v>10</v>
      </c>
      <c r="L1375" s="6" t="str">
        <f t="shared" si="65"/>
        <v>OCTUBRE</v>
      </c>
    </row>
    <row r="1376" spans="1:12" x14ac:dyDescent="0.25">
      <c r="A1376" s="5">
        <f t="shared" si="63"/>
        <v>2025</v>
      </c>
      <c r="B1376" s="18" t="s">
        <v>1290</v>
      </c>
      <c r="C1376" s="18" t="s">
        <v>595</v>
      </c>
      <c r="D1376" s="12">
        <v>6388</v>
      </c>
      <c r="E1376" s="17" t="s">
        <v>253</v>
      </c>
      <c r="F1376" s="12" t="s">
        <v>254</v>
      </c>
      <c r="G1376" s="14">
        <v>5</v>
      </c>
      <c r="H1376" s="24">
        <v>120000</v>
      </c>
      <c r="I1376" s="12" t="s">
        <v>712</v>
      </c>
      <c r="J1376" s="6" t="s">
        <v>608</v>
      </c>
      <c r="K1376" s="6">
        <f t="shared" si="64"/>
        <v>12</v>
      </c>
      <c r="L1376" s="6" t="str">
        <f t="shared" si="65"/>
        <v>DICIEMBRE</v>
      </c>
    </row>
    <row r="1377" spans="1:12" x14ac:dyDescent="0.25">
      <c r="A1377" s="5">
        <f t="shared" si="63"/>
        <v>2025</v>
      </c>
      <c r="B1377" s="18" t="s">
        <v>1290</v>
      </c>
      <c r="C1377" s="18" t="s">
        <v>595</v>
      </c>
      <c r="D1377" s="12">
        <v>6388</v>
      </c>
      <c r="E1377" s="17" t="s">
        <v>325</v>
      </c>
      <c r="F1377" s="12" t="s">
        <v>326</v>
      </c>
      <c r="G1377" s="14">
        <v>1</v>
      </c>
      <c r="H1377" s="24">
        <v>227000</v>
      </c>
      <c r="I1377" s="12" t="s">
        <v>712</v>
      </c>
      <c r="J1377" s="6" t="s">
        <v>608</v>
      </c>
      <c r="K1377" s="6">
        <f t="shared" si="64"/>
        <v>12</v>
      </c>
      <c r="L1377" s="6" t="str">
        <f t="shared" si="65"/>
        <v>DICIEMBRE</v>
      </c>
    </row>
    <row r="1378" spans="1:12" x14ac:dyDescent="0.25">
      <c r="A1378" s="5">
        <f t="shared" si="63"/>
        <v>2025</v>
      </c>
      <c r="B1378" s="18" t="s">
        <v>1290</v>
      </c>
      <c r="C1378" s="18" t="s">
        <v>595</v>
      </c>
      <c r="D1378" s="12">
        <v>6388</v>
      </c>
      <c r="E1378" s="17" t="s">
        <v>423</v>
      </c>
      <c r="F1378" s="12" t="s">
        <v>424</v>
      </c>
      <c r="G1378" s="14">
        <v>3</v>
      </c>
      <c r="H1378" s="24">
        <v>246000</v>
      </c>
      <c r="I1378" s="12" t="s">
        <v>712</v>
      </c>
      <c r="J1378" s="6" t="s">
        <v>608</v>
      </c>
      <c r="K1378" s="6">
        <f t="shared" si="64"/>
        <v>12</v>
      </c>
      <c r="L1378" s="6" t="str">
        <f t="shared" si="65"/>
        <v>DICIEMBRE</v>
      </c>
    </row>
    <row r="1379" spans="1:12" x14ac:dyDescent="0.25">
      <c r="A1379" s="5">
        <f t="shared" si="63"/>
        <v>2025</v>
      </c>
      <c r="B1379" s="18" t="s">
        <v>1290</v>
      </c>
      <c r="C1379" s="18" t="s">
        <v>595</v>
      </c>
      <c r="D1379" s="12">
        <v>6388</v>
      </c>
      <c r="E1379" s="17" t="s">
        <v>29</v>
      </c>
      <c r="F1379" s="12" t="s">
        <v>30</v>
      </c>
      <c r="G1379" s="14">
        <v>1</v>
      </c>
      <c r="H1379" s="24">
        <v>155000</v>
      </c>
      <c r="I1379" s="12" t="s">
        <v>712</v>
      </c>
      <c r="J1379" s="6" t="s">
        <v>608</v>
      </c>
      <c r="K1379" s="6">
        <f t="shared" si="64"/>
        <v>12</v>
      </c>
      <c r="L1379" s="6" t="str">
        <f t="shared" si="65"/>
        <v>DICIEMBRE</v>
      </c>
    </row>
    <row r="1380" spans="1:12" x14ac:dyDescent="0.25">
      <c r="A1380" s="5">
        <f t="shared" si="63"/>
        <v>2025</v>
      </c>
      <c r="B1380" s="18" t="s">
        <v>1290</v>
      </c>
      <c r="C1380" s="18" t="s">
        <v>595</v>
      </c>
      <c r="D1380" s="12">
        <v>6388</v>
      </c>
      <c r="E1380" s="17" t="s">
        <v>209</v>
      </c>
      <c r="F1380" s="12" t="s">
        <v>210</v>
      </c>
      <c r="G1380" s="14">
        <v>6</v>
      </c>
      <c r="H1380" s="24">
        <v>330060</v>
      </c>
      <c r="I1380" s="12" t="s">
        <v>712</v>
      </c>
      <c r="J1380" s="6" t="s">
        <v>608</v>
      </c>
      <c r="K1380" s="6">
        <f t="shared" si="64"/>
        <v>12</v>
      </c>
      <c r="L1380" s="6" t="str">
        <f t="shared" si="65"/>
        <v>DICIEMBRE</v>
      </c>
    </row>
    <row r="1381" spans="1:12" x14ac:dyDescent="0.25">
      <c r="A1381" s="5">
        <f t="shared" si="63"/>
        <v>2025</v>
      </c>
      <c r="B1381" s="18" t="s">
        <v>1290</v>
      </c>
      <c r="C1381" s="18" t="s">
        <v>595</v>
      </c>
      <c r="D1381" s="12">
        <v>6388</v>
      </c>
      <c r="E1381" s="17" t="s">
        <v>371</v>
      </c>
      <c r="F1381" s="12" t="s">
        <v>372</v>
      </c>
      <c r="G1381" s="14">
        <v>2</v>
      </c>
      <c r="H1381" s="24">
        <v>376000</v>
      </c>
      <c r="I1381" s="12" t="s">
        <v>712</v>
      </c>
      <c r="J1381" s="6" t="s">
        <v>608</v>
      </c>
      <c r="K1381" s="6">
        <f t="shared" si="64"/>
        <v>12</v>
      </c>
      <c r="L1381" s="6" t="str">
        <f t="shared" si="65"/>
        <v>DICIEMBRE</v>
      </c>
    </row>
    <row r="1382" spans="1:12" x14ac:dyDescent="0.25">
      <c r="A1382" s="5">
        <f t="shared" si="63"/>
        <v>2025</v>
      </c>
      <c r="B1382" s="18" t="s">
        <v>1290</v>
      </c>
      <c r="C1382" s="18" t="s">
        <v>595</v>
      </c>
      <c r="D1382" s="12">
        <v>6388</v>
      </c>
      <c r="E1382" s="17" t="s">
        <v>531</v>
      </c>
      <c r="F1382" s="12" t="s">
        <v>532</v>
      </c>
      <c r="G1382" s="14">
        <v>1</v>
      </c>
      <c r="H1382" s="24">
        <v>4000</v>
      </c>
      <c r="I1382" s="12" t="s">
        <v>712</v>
      </c>
      <c r="J1382" s="6" t="s">
        <v>608</v>
      </c>
      <c r="K1382" s="6">
        <f t="shared" si="64"/>
        <v>12</v>
      </c>
      <c r="L1382" s="6" t="str">
        <f t="shared" si="65"/>
        <v>DICIEMBRE</v>
      </c>
    </row>
    <row r="1383" spans="1:12" x14ac:dyDescent="0.25">
      <c r="A1383" s="5">
        <f t="shared" si="63"/>
        <v>2025</v>
      </c>
      <c r="B1383" s="18" t="s">
        <v>1290</v>
      </c>
      <c r="C1383" s="18" t="s">
        <v>595</v>
      </c>
      <c r="D1383" s="12">
        <v>6388</v>
      </c>
      <c r="E1383" s="17" t="s">
        <v>934</v>
      </c>
      <c r="F1383" s="12" t="s">
        <v>935</v>
      </c>
      <c r="G1383" s="14">
        <v>1</v>
      </c>
      <c r="H1383" s="24">
        <v>53261</v>
      </c>
      <c r="I1383" s="12" t="s">
        <v>712</v>
      </c>
      <c r="J1383" s="6" t="s">
        <v>608</v>
      </c>
      <c r="K1383" s="6">
        <f t="shared" si="64"/>
        <v>12</v>
      </c>
      <c r="L1383" s="6" t="str">
        <f t="shared" si="65"/>
        <v>DICIEMBRE</v>
      </c>
    </row>
    <row r="1384" spans="1:12" x14ac:dyDescent="0.25">
      <c r="A1384" s="5">
        <f t="shared" si="63"/>
        <v>2025</v>
      </c>
      <c r="B1384" s="18" t="s">
        <v>1290</v>
      </c>
      <c r="C1384" s="18" t="s">
        <v>595</v>
      </c>
      <c r="D1384" s="12">
        <v>6388</v>
      </c>
      <c r="E1384" s="17" t="s">
        <v>936</v>
      </c>
      <c r="F1384" s="12" t="s">
        <v>937</v>
      </c>
      <c r="G1384" s="14">
        <v>1</v>
      </c>
      <c r="H1384" s="24">
        <v>77717</v>
      </c>
      <c r="I1384" s="12" t="s">
        <v>712</v>
      </c>
      <c r="J1384" s="6" t="s">
        <v>608</v>
      </c>
      <c r="K1384" s="6">
        <f t="shared" si="64"/>
        <v>12</v>
      </c>
      <c r="L1384" s="6" t="str">
        <f t="shared" si="65"/>
        <v>DICIEMBRE</v>
      </c>
    </row>
    <row r="1385" spans="1:12" x14ac:dyDescent="0.25">
      <c r="A1385" s="5">
        <f t="shared" si="63"/>
        <v>2025</v>
      </c>
      <c r="B1385" s="18" t="s">
        <v>1290</v>
      </c>
      <c r="C1385" s="18" t="s">
        <v>595</v>
      </c>
      <c r="D1385" s="12">
        <v>6388</v>
      </c>
      <c r="E1385" s="17">
        <v>9373</v>
      </c>
      <c r="F1385" s="12" t="s">
        <v>128</v>
      </c>
      <c r="G1385" s="14">
        <v>1</v>
      </c>
      <c r="H1385" s="24">
        <v>460000</v>
      </c>
      <c r="I1385" s="12" t="s">
        <v>712</v>
      </c>
      <c r="J1385" s="6" t="s">
        <v>608</v>
      </c>
      <c r="K1385" s="6">
        <f t="shared" si="64"/>
        <v>12</v>
      </c>
      <c r="L1385" s="6" t="str">
        <f t="shared" si="65"/>
        <v>DICIEMBRE</v>
      </c>
    </row>
    <row r="1386" spans="1:12" x14ac:dyDescent="0.25">
      <c r="A1386" s="5">
        <f t="shared" si="63"/>
        <v>2025</v>
      </c>
      <c r="B1386" s="18" t="s">
        <v>1290</v>
      </c>
      <c r="C1386" s="18" t="s">
        <v>595</v>
      </c>
      <c r="D1386" s="12">
        <v>6388</v>
      </c>
      <c r="E1386" s="17" t="s">
        <v>274</v>
      </c>
      <c r="F1386" s="12" t="s">
        <v>275</v>
      </c>
      <c r="G1386" s="14">
        <v>4</v>
      </c>
      <c r="H1386" s="24">
        <v>248000</v>
      </c>
      <c r="I1386" s="12" t="s">
        <v>712</v>
      </c>
      <c r="J1386" s="6" t="s">
        <v>608</v>
      </c>
      <c r="K1386" s="6">
        <f t="shared" si="64"/>
        <v>12</v>
      </c>
      <c r="L1386" s="6" t="str">
        <f t="shared" si="65"/>
        <v>DICIEMBRE</v>
      </c>
    </row>
    <row r="1387" spans="1:12" x14ac:dyDescent="0.25">
      <c r="A1387" s="5">
        <f t="shared" si="63"/>
        <v>2025</v>
      </c>
      <c r="B1387" s="18" t="s">
        <v>1290</v>
      </c>
      <c r="C1387" s="18" t="s">
        <v>595</v>
      </c>
      <c r="D1387" s="12">
        <v>6388</v>
      </c>
      <c r="E1387" s="17" t="s">
        <v>986</v>
      </c>
      <c r="F1387" s="12" t="s">
        <v>987</v>
      </c>
      <c r="G1387" s="14">
        <v>1</v>
      </c>
      <c r="H1387" s="24">
        <v>8000</v>
      </c>
      <c r="I1387" s="12" t="s">
        <v>712</v>
      </c>
      <c r="J1387" s="6" t="s">
        <v>608</v>
      </c>
      <c r="K1387" s="6">
        <f t="shared" si="64"/>
        <v>12</v>
      </c>
      <c r="L1387" s="6" t="str">
        <f t="shared" si="65"/>
        <v>DICIEMBRE</v>
      </c>
    </row>
    <row r="1388" spans="1:12" x14ac:dyDescent="0.25">
      <c r="A1388" s="5">
        <f t="shared" si="63"/>
        <v>2025</v>
      </c>
      <c r="B1388" s="18" t="s">
        <v>1290</v>
      </c>
      <c r="C1388" s="18" t="s">
        <v>595</v>
      </c>
      <c r="D1388" s="12">
        <v>6388</v>
      </c>
      <c r="E1388" s="17" t="s">
        <v>728</v>
      </c>
      <c r="F1388" s="12" t="s">
        <v>606</v>
      </c>
      <c r="G1388" s="14">
        <v>2</v>
      </c>
      <c r="H1388" s="24">
        <v>464000</v>
      </c>
      <c r="I1388" s="12" t="s">
        <v>712</v>
      </c>
      <c r="J1388" s="6" t="s">
        <v>608</v>
      </c>
      <c r="K1388" s="6">
        <f t="shared" si="64"/>
        <v>12</v>
      </c>
      <c r="L1388" s="6" t="str">
        <f t="shared" si="65"/>
        <v>DICIEMBRE</v>
      </c>
    </row>
    <row r="1389" spans="1:12" x14ac:dyDescent="0.25">
      <c r="A1389" s="5">
        <f t="shared" si="63"/>
        <v>2025</v>
      </c>
      <c r="B1389" s="18" t="s">
        <v>1290</v>
      </c>
      <c r="C1389" s="18" t="s">
        <v>595</v>
      </c>
      <c r="D1389" s="12">
        <v>6388</v>
      </c>
      <c r="E1389" s="17" t="s">
        <v>453</v>
      </c>
      <c r="F1389" s="12" t="s">
        <v>454</v>
      </c>
      <c r="G1389" s="14">
        <v>2</v>
      </c>
      <c r="H1389" s="24">
        <v>670000</v>
      </c>
      <c r="I1389" s="12" t="s">
        <v>712</v>
      </c>
      <c r="J1389" s="6" t="s">
        <v>608</v>
      </c>
      <c r="K1389" s="6">
        <f t="shared" si="64"/>
        <v>12</v>
      </c>
      <c r="L1389" s="6" t="str">
        <f t="shared" si="65"/>
        <v>DICIEMBRE</v>
      </c>
    </row>
    <row r="1390" spans="1:12" x14ac:dyDescent="0.25">
      <c r="A1390" s="5">
        <f t="shared" si="63"/>
        <v>2025</v>
      </c>
      <c r="B1390" s="18" t="s">
        <v>1290</v>
      </c>
      <c r="C1390" s="18" t="s">
        <v>595</v>
      </c>
      <c r="D1390" s="12">
        <v>6388</v>
      </c>
      <c r="E1390" s="17" t="s">
        <v>445</v>
      </c>
      <c r="F1390" s="12" t="s">
        <v>446</v>
      </c>
      <c r="G1390" s="14">
        <v>1</v>
      </c>
      <c r="H1390" s="24">
        <v>15000</v>
      </c>
      <c r="I1390" s="12" t="s">
        <v>712</v>
      </c>
      <c r="J1390" s="6" t="s">
        <v>608</v>
      </c>
      <c r="K1390" s="6">
        <f t="shared" si="64"/>
        <v>12</v>
      </c>
      <c r="L1390" s="6" t="str">
        <f t="shared" si="65"/>
        <v>DICIEMBRE</v>
      </c>
    </row>
    <row r="1391" spans="1:12" x14ac:dyDescent="0.25">
      <c r="A1391" s="5">
        <f t="shared" si="63"/>
        <v>2025</v>
      </c>
      <c r="B1391" s="18" t="s">
        <v>1290</v>
      </c>
      <c r="C1391" s="18" t="s">
        <v>595</v>
      </c>
      <c r="D1391" s="12">
        <v>6388</v>
      </c>
      <c r="E1391" s="17">
        <v>4303030</v>
      </c>
      <c r="F1391" s="12" t="s">
        <v>541</v>
      </c>
      <c r="G1391" s="14">
        <v>1</v>
      </c>
      <c r="H1391" s="24">
        <v>27000</v>
      </c>
      <c r="I1391" s="12" t="s">
        <v>712</v>
      </c>
      <c r="J1391" s="6" t="s">
        <v>608</v>
      </c>
      <c r="K1391" s="6">
        <f t="shared" si="64"/>
        <v>12</v>
      </c>
      <c r="L1391" s="6" t="str">
        <f t="shared" si="65"/>
        <v>DICIEMBRE</v>
      </c>
    </row>
    <row r="1392" spans="1:12" x14ac:dyDescent="0.25">
      <c r="A1392" s="5">
        <f t="shared" si="63"/>
        <v>2025</v>
      </c>
      <c r="B1392" s="18" t="s">
        <v>1290</v>
      </c>
      <c r="C1392" s="18" t="s">
        <v>595</v>
      </c>
      <c r="D1392" s="12">
        <v>6388</v>
      </c>
      <c r="E1392" s="17">
        <v>55525</v>
      </c>
      <c r="F1392" s="12" t="s">
        <v>471</v>
      </c>
      <c r="G1392" s="14">
        <v>1</v>
      </c>
      <c r="H1392" s="24">
        <v>62000</v>
      </c>
      <c r="I1392" s="12" t="s">
        <v>712</v>
      </c>
      <c r="J1392" s="6" t="s">
        <v>608</v>
      </c>
      <c r="K1392" s="6">
        <f t="shared" si="64"/>
        <v>12</v>
      </c>
      <c r="L1392" s="6" t="str">
        <f t="shared" si="65"/>
        <v>DICIEMBRE</v>
      </c>
    </row>
    <row r="1393" spans="1:12" x14ac:dyDescent="0.25">
      <c r="A1393" s="5">
        <f t="shared" si="63"/>
        <v>2025</v>
      </c>
      <c r="B1393" s="18" t="s">
        <v>1219</v>
      </c>
      <c r="C1393" s="18" t="s">
        <v>595</v>
      </c>
      <c r="D1393" s="12">
        <v>6324</v>
      </c>
      <c r="E1393" s="17" t="s">
        <v>331</v>
      </c>
      <c r="F1393" s="12" t="s">
        <v>332</v>
      </c>
      <c r="G1393" s="14">
        <v>1</v>
      </c>
      <c r="H1393" s="24">
        <v>136000</v>
      </c>
      <c r="I1393" s="12" t="s">
        <v>712</v>
      </c>
      <c r="J1393" s="6" t="s">
        <v>608</v>
      </c>
      <c r="K1393" s="6">
        <f t="shared" si="64"/>
        <v>10</v>
      </c>
      <c r="L1393" s="6" t="str">
        <f t="shared" si="65"/>
        <v>OCTUBRE</v>
      </c>
    </row>
    <row r="1394" spans="1:12" x14ac:dyDescent="0.25">
      <c r="A1394" s="5">
        <f t="shared" si="63"/>
        <v>2025</v>
      </c>
      <c r="B1394" s="18" t="s">
        <v>1219</v>
      </c>
      <c r="C1394" s="18" t="s">
        <v>595</v>
      </c>
      <c r="D1394" s="12">
        <v>6324</v>
      </c>
      <c r="E1394" s="17" t="s">
        <v>936</v>
      </c>
      <c r="F1394" s="12" t="s">
        <v>937</v>
      </c>
      <c r="G1394" s="14">
        <v>1</v>
      </c>
      <c r="H1394" s="24">
        <v>77717</v>
      </c>
      <c r="I1394" s="12" t="s">
        <v>712</v>
      </c>
      <c r="J1394" s="6" t="s">
        <v>608</v>
      </c>
      <c r="K1394" s="6">
        <f t="shared" si="64"/>
        <v>10</v>
      </c>
      <c r="L1394" s="6" t="str">
        <f t="shared" si="65"/>
        <v>OCTUBRE</v>
      </c>
    </row>
    <row r="1395" spans="1:12" x14ac:dyDescent="0.25">
      <c r="A1395" s="5">
        <f t="shared" si="63"/>
        <v>2025</v>
      </c>
      <c r="B1395" s="18" t="s">
        <v>1219</v>
      </c>
      <c r="C1395" s="18" t="s">
        <v>595</v>
      </c>
      <c r="D1395" s="12">
        <v>6324</v>
      </c>
      <c r="E1395" s="17" t="s">
        <v>436</v>
      </c>
      <c r="F1395" s="12" t="s">
        <v>437</v>
      </c>
      <c r="G1395" s="14">
        <v>1</v>
      </c>
      <c r="H1395" s="24">
        <v>57000</v>
      </c>
      <c r="I1395" s="12" t="s">
        <v>712</v>
      </c>
      <c r="J1395" s="6" t="s">
        <v>608</v>
      </c>
      <c r="K1395" s="6">
        <f t="shared" si="64"/>
        <v>10</v>
      </c>
      <c r="L1395" s="6" t="str">
        <f t="shared" si="65"/>
        <v>OCTUBRE</v>
      </c>
    </row>
    <row r="1396" spans="1:12" x14ac:dyDescent="0.25">
      <c r="A1396" s="5">
        <f t="shared" si="63"/>
        <v>2025</v>
      </c>
      <c r="B1396" s="18" t="s">
        <v>1219</v>
      </c>
      <c r="C1396" s="18" t="s">
        <v>595</v>
      </c>
      <c r="D1396" s="12">
        <v>6324</v>
      </c>
      <c r="E1396" s="17" t="s">
        <v>346</v>
      </c>
      <c r="F1396" s="12" t="s">
        <v>347</v>
      </c>
      <c r="G1396" s="14">
        <v>1</v>
      </c>
      <c r="H1396" s="24">
        <v>131000</v>
      </c>
      <c r="I1396" s="12" t="s">
        <v>712</v>
      </c>
      <c r="J1396" s="6" t="s">
        <v>608</v>
      </c>
      <c r="K1396" s="6">
        <f t="shared" si="64"/>
        <v>10</v>
      </c>
      <c r="L1396" s="6" t="str">
        <f t="shared" si="65"/>
        <v>OCTUBRE</v>
      </c>
    </row>
    <row r="1397" spans="1:12" x14ac:dyDescent="0.25">
      <c r="A1397" s="5">
        <f t="shared" ref="A1397:A1460" si="66">+YEAR(B1397)</f>
        <v>2025</v>
      </c>
      <c r="B1397" s="18" t="s">
        <v>1219</v>
      </c>
      <c r="C1397" s="18" t="s">
        <v>595</v>
      </c>
      <c r="D1397" s="12">
        <v>6324</v>
      </c>
      <c r="E1397" s="17">
        <v>4301254</v>
      </c>
      <c r="F1397" s="12" t="s">
        <v>403</v>
      </c>
      <c r="G1397" s="14">
        <v>1</v>
      </c>
      <c r="H1397" s="24">
        <v>3000</v>
      </c>
      <c r="I1397" s="12" t="s">
        <v>712</v>
      </c>
      <c r="J1397" s="6" t="s">
        <v>608</v>
      </c>
      <c r="K1397" s="6">
        <f t="shared" ref="K1397:K1460" si="67">+MONTH(B1397)</f>
        <v>10</v>
      </c>
      <c r="L1397" s="6" t="str">
        <f t="shared" si="65"/>
        <v>OCTUBRE</v>
      </c>
    </row>
    <row r="1398" spans="1:12" x14ac:dyDescent="0.25">
      <c r="A1398" s="5">
        <f t="shared" si="66"/>
        <v>2025</v>
      </c>
      <c r="B1398" s="18" t="s">
        <v>1219</v>
      </c>
      <c r="C1398" s="18" t="s">
        <v>595</v>
      </c>
      <c r="D1398" s="12">
        <v>6324</v>
      </c>
      <c r="E1398" s="17" t="s">
        <v>251</v>
      </c>
      <c r="F1398" s="12" t="s">
        <v>252</v>
      </c>
      <c r="G1398" s="14">
        <v>1</v>
      </c>
      <c r="H1398" s="24">
        <v>60000</v>
      </c>
      <c r="I1398" s="12" t="s">
        <v>712</v>
      </c>
      <c r="J1398" s="6" t="s">
        <v>608</v>
      </c>
      <c r="K1398" s="6">
        <f t="shared" si="67"/>
        <v>10</v>
      </c>
      <c r="L1398" s="6" t="str">
        <f t="shared" si="65"/>
        <v>OCTUBRE</v>
      </c>
    </row>
    <row r="1399" spans="1:12" x14ac:dyDescent="0.25">
      <c r="A1399" s="5">
        <f t="shared" si="66"/>
        <v>2025</v>
      </c>
      <c r="B1399" s="18" t="s">
        <v>1219</v>
      </c>
      <c r="C1399" s="18" t="s">
        <v>595</v>
      </c>
      <c r="D1399" s="12">
        <v>6324</v>
      </c>
      <c r="E1399" s="17" t="s">
        <v>282</v>
      </c>
      <c r="F1399" s="12" t="s">
        <v>283</v>
      </c>
      <c r="G1399" s="14">
        <v>1</v>
      </c>
      <c r="H1399" s="24">
        <v>329000</v>
      </c>
      <c r="I1399" s="12" t="s">
        <v>712</v>
      </c>
      <c r="J1399" s="6" t="s">
        <v>608</v>
      </c>
      <c r="K1399" s="6">
        <f t="shared" si="67"/>
        <v>10</v>
      </c>
      <c r="L1399" s="6" t="str">
        <f t="shared" si="65"/>
        <v>OCTUBRE</v>
      </c>
    </row>
    <row r="1400" spans="1:12" x14ac:dyDescent="0.25">
      <c r="A1400" s="5">
        <f t="shared" si="66"/>
        <v>2025</v>
      </c>
      <c r="B1400" s="18" t="s">
        <v>1219</v>
      </c>
      <c r="C1400" s="18" t="s">
        <v>595</v>
      </c>
      <c r="D1400" s="12">
        <v>6324</v>
      </c>
      <c r="E1400" s="17" t="s">
        <v>984</v>
      </c>
      <c r="F1400" s="12" t="s">
        <v>985</v>
      </c>
      <c r="G1400" s="14">
        <v>1</v>
      </c>
      <c r="H1400" s="24">
        <v>98000</v>
      </c>
      <c r="I1400" s="12" t="s">
        <v>712</v>
      </c>
      <c r="J1400" s="6" t="s">
        <v>608</v>
      </c>
      <c r="K1400" s="6">
        <f t="shared" si="67"/>
        <v>10</v>
      </c>
      <c r="L1400" s="6" t="str">
        <f t="shared" si="65"/>
        <v>OCTUBRE</v>
      </c>
    </row>
    <row r="1401" spans="1:12" x14ac:dyDescent="0.25">
      <c r="A1401" s="5">
        <f t="shared" si="66"/>
        <v>2025</v>
      </c>
      <c r="B1401" s="18" t="s">
        <v>1219</v>
      </c>
      <c r="C1401" s="18" t="s">
        <v>595</v>
      </c>
      <c r="D1401" s="12">
        <v>6324</v>
      </c>
      <c r="E1401" s="17">
        <v>128049</v>
      </c>
      <c r="F1401" s="12" t="s">
        <v>269</v>
      </c>
      <c r="G1401" s="14">
        <v>1</v>
      </c>
      <c r="H1401" s="24">
        <v>50000</v>
      </c>
      <c r="I1401" s="12" t="s">
        <v>712</v>
      </c>
      <c r="J1401" s="6" t="s">
        <v>608</v>
      </c>
      <c r="K1401" s="6">
        <f t="shared" si="67"/>
        <v>10</v>
      </c>
      <c r="L1401" s="6" t="str">
        <f t="shared" si="65"/>
        <v>OCTUBRE</v>
      </c>
    </row>
    <row r="1402" spans="1:12" x14ac:dyDescent="0.25">
      <c r="A1402" s="5">
        <f t="shared" si="66"/>
        <v>2025</v>
      </c>
      <c r="B1402" s="18" t="s">
        <v>1219</v>
      </c>
      <c r="C1402" s="18" t="s">
        <v>595</v>
      </c>
      <c r="D1402" s="12">
        <v>6324</v>
      </c>
      <c r="E1402" s="17" t="s">
        <v>124</v>
      </c>
      <c r="F1402" s="12" t="s">
        <v>125</v>
      </c>
      <c r="G1402" s="14">
        <v>4</v>
      </c>
      <c r="H1402" s="24">
        <v>76600</v>
      </c>
      <c r="I1402" s="12" t="s">
        <v>712</v>
      </c>
      <c r="J1402" s="6" t="s">
        <v>608</v>
      </c>
      <c r="K1402" s="6">
        <f t="shared" si="67"/>
        <v>10</v>
      </c>
      <c r="L1402" s="6" t="str">
        <f t="shared" si="65"/>
        <v>OCTUBRE</v>
      </c>
    </row>
    <row r="1403" spans="1:12" x14ac:dyDescent="0.25">
      <c r="A1403" s="5">
        <f t="shared" si="66"/>
        <v>2025</v>
      </c>
      <c r="B1403" s="18" t="s">
        <v>1219</v>
      </c>
      <c r="C1403" s="18" t="s">
        <v>595</v>
      </c>
      <c r="D1403" s="12">
        <v>6324</v>
      </c>
      <c r="E1403" s="17" t="s">
        <v>395</v>
      </c>
      <c r="F1403" s="12" t="s">
        <v>396</v>
      </c>
      <c r="G1403" s="14">
        <v>2</v>
      </c>
      <c r="H1403" s="24">
        <v>316000</v>
      </c>
      <c r="I1403" s="12" t="s">
        <v>712</v>
      </c>
      <c r="J1403" s="6" t="s">
        <v>608</v>
      </c>
      <c r="K1403" s="6">
        <f t="shared" si="67"/>
        <v>10</v>
      </c>
      <c r="L1403" s="6" t="str">
        <f t="shared" si="65"/>
        <v>OCTUBRE</v>
      </c>
    </row>
    <row r="1404" spans="1:12" x14ac:dyDescent="0.25">
      <c r="A1404" s="5">
        <f t="shared" si="66"/>
        <v>2025</v>
      </c>
      <c r="B1404" s="18" t="s">
        <v>1368</v>
      </c>
      <c r="C1404" s="18" t="s">
        <v>595</v>
      </c>
      <c r="D1404" s="12">
        <v>6408</v>
      </c>
      <c r="E1404" s="17" t="s">
        <v>484</v>
      </c>
      <c r="F1404" s="12" t="s">
        <v>485</v>
      </c>
      <c r="G1404" s="14">
        <v>1</v>
      </c>
      <c r="H1404" s="24">
        <v>30000</v>
      </c>
      <c r="I1404" s="12" t="s">
        <v>712</v>
      </c>
      <c r="J1404" s="6" t="s">
        <v>608</v>
      </c>
      <c r="K1404" s="6">
        <f t="shared" si="67"/>
        <v>12</v>
      </c>
      <c r="L1404" s="6" t="str">
        <f t="shared" si="65"/>
        <v>DICIEMBRE</v>
      </c>
    </row>
    <row r="1405" spans="1:12" x14ac:dyDescent="0.25">
      <c r="A1405" s="5">
        <f t="shared" si="66"/>
        <v>2025</v>
      </c>
      <c r="B1405" s="18" t="s">
        <v>1368</v>
      </c>
      <c r="C1405" s="18" t="s">
        <v>595</v>
      </c>
      <c r="D1405" s="12">
        <v>6408</v>
      </c>
      <c r="E1405" s="17">
        <v>8774</v>
      </c>
      <c r="F1405" s="12" t="s">
        <v>720</v>
      </c>
      <c r="G1405" s="14">
        <v>2</v>
      </c>
      <c r="H1405" s="24">
        <v>1460000</v>
      </c>
      <c r="I1405" s="12" t="s">
        <v>712</v>
      </c>
      <c r="J1405" s="6" t="s">
        <v>608</v>
      </c>
      <c r="K1405" s="6">
        <f t="shared" si="67"/>
        <v>12</v>
      </c>
      <c r="L1405" s="6" t="str">
        <f t="shared" si="65"/>
        <v>DICIEMBRE</v>
      </c>
    </row>
    <row r="1406" spans="1:12" x14ac:dyDescent="0.25">
      <c r="A1406" s="5">
        <f t="shared" si="66"/>
        <v>2025</v>
      </c>
      <c r="B1406" s="18" t="s">
        <v>1368</v>
      </c>
      <c r="C1406" s="18" t="s">
        <v>595</v>
      </c>
      <c r="D1406" s="12">
        <v>6408</v>
      </c>
      <c r="E1406" s="17" t="s">
        <v>204</v>
      </c>
      <c r="F1406" s="12" t="s">
        <v>205</v>
      </c>
      <c r="G1406" s="14">
        <v>3</v>
      </c>
      <c r="H1406" s="24">
        <v>141000</v>
      </c>
      <c r="I1406" s="12" t="s">
        <v>712</v>
      </c>
      <c r="J1406" s="6" t="s">
        <v>608</v>
      </c>
      <c r="K1406" s="6">
        <f t="shared" si="67"/>
        <v>12</v>
      </c>
      <c r="L1406" s="6" t="str">
        <f t="shared" si="65"/>
        <v>DICIEMBRE</v>
      </c>
    </row>
    <row r="1407" spans="1:12" x14ac:dyDescent="0.25">
      <c r="A1407" s="5">
        <f t="shared" si="66"/>
        <v>2025</v>
      </c>
      <c r="B1407" s="18" t="s">
        <v>1368</v>
      </c>
      <c r="C1407" s="18" t="s">
        <v>595</v>
      </c>
      <c r="D1407" s="12">
        <v>6408</v>
      </c>
      <c r="E1407" s="17" t="s">
        <v>325</v>
      </c>
      <c r="F1407" s="12" t="s">
        <v>326</v>
      </c>
      <c r="G1407" s="14">
        <v>1</v>
      </c>
      <c r="H1407" s="24">
        <v>227000</v>
      </c>
      <c r="I1407" s="12" t="s">
        <v>712</v>
      </c>
      <c r="J1407" s="6" t="s">
        <v>608</v>
      </c>
      <c r="K1407" s="6">
        <f t="shared" si="67"/>
        <v>12</v>
      </c>
      <c r="L1407" s="6" t="str">
        <f t="shared" si="65"/>
        <v>DICIEMBRE</v>
      </c>
    </row>
    <row r="1408" spans="1:12" x14ac:dyDescent="0.25">
      <c r="A1408" s="5">
        <f t="shared" si="66"/>
        <v>2025</v>
      </c>
      <c r="B1408" s="18" t="s">
        <v>1368</v>
      </c>
      <c r="C1408" s="18" t="s">
        <v>595</v>
      </c>
      <c r="D1408" s="12">
        <v>6408</v>
      </c>
      <c r="E1408" s="17" t="s">
        <v>1285</v>
      </c>
      <c r="F1408" s="12" t="s">
        <v>1286</v>
      </c>
      <c r="G1408" s="14">
        <v>2</v>
      </c>
      <c r="H1408" s="24">
        <v>172000</v>
      </c>
      <c r="I1408" s="12" t="s">
        <v>712</v>
      </c>
      <c r="J1408" s="6" t="s">
        <v>608</v>
      </c>
      <c r="K1408" s="6">
        <f t="shared" si="67"/>
        <v>12</v>
      </c>
      <c r="L1408" s="6" t="str">
        <f t="shared" si="65"/>
        <v>DICIEMBRE</v>
      </c>
    </row>
    <row r="1409" spans="1:12" x14ac:dyDescent="0.25">
      <c r="A1409" s="5">
        <f t="shared" si="66"/>
        <v>2025</v>
      </c>
      <c r="B1409" s="18" t="s">
        <v>1368</v>
      </c>
      <c r="C1409" s="18" t="s">
        <v>595</v>
      </c>
      <c r="D1409" s="12">
        <v>6408</v>
      </c>
      <c r="E1409" s="17" t="s">
        <v>544</v>
      </c>
      <c r="F1409" s="12" t="s">
        <v>545</v>
      </c>
      <c r="G1409" s="14">
        <v>1</v>
      </c>
      <c r="H1409" s="24">
        <v>102000</v>
      </c>
      <c r="I1409" s="12" t="s">
        <v>712</v>
      </c>
      <c r="J1409" s="6" t="s">
        <v>608</v>
      </c>
      <c r="K1409" s="6">
        <f t="shared" si="67"/>
        <v>12</v>
      </c>
      <c r="L1409" s="6" t="str">
        <f t="shared" si="65"/>
        <v>DICIEMBRE</v>
      </c>
    </row>
    <row r="1410" spans="1:12" x14ac:dyDescent="0.25">
      <c r="A1410" s="5">
        <f t="shared" si="66"/>
        <v>2025</v>
      </c>
      <c r="B1410" s="18" t="s">
        <v>1368</v>
      </c>
      <c r="C1410" s="18" t="s">
        <v>595</v>
      </c>
      <c r="D1410" s="12">
        <v>6408</v>
      </c>
      <c r="E1410" s="17" t="s">
        <v>899</v>
      </c>
      <c r="F1410" s="12" t="s">
        <v>900</v>
      </c>
      <c r="G1410" s="14">
        <v>1</v>
      </c>
      <c r="H1410" s="24">
        <v>44000</v>
      </c>
      <c r="I1410" s="12" t="s">
        <v>712</v>
      </c>
      <c r="J1410" s="6" t="s">
        <v>608</v>
      </c>
      <c r="K1410" s="6">
        <f t="shared" si="67"/>
        <v>12</v>
      </c>
      <c r="L1410" s="6" t="str">
        <f t="shared" si="65"/>
        <v>DICIEMBRE</v>
      </c>
    </row>
    <row r="1411" spans="1:12" x14ac:dyDescent="0.25">
      <c r="A1411" s="5">
        <f t="shared" si="66"/>
        <v>2025</v>
      </c>
      <c r="B1411" s="18" t="s">
        <v>1368</v>
      </c>
      <c r="C1411" s="18" t="s">
        <v>595</v>
      </c>
      <c r="D1411" s="12">
        <v>6408</v>
      </c>
      <c r="E1411" s="17" t="s">
        <v>209</v>
      </c>
      <c r="F1411" s="12" t="s">
        <v>210</v>
      </c>
      <c r="G1411" s="14">
        <v>1</v>
      </c>
      <c r="H1411" s="24">
        <v>55010</v>
      </c>
      <c r="I1411" s="12" t="s">
        <v>712</v>
      </c>
      <c r="J1411" s="6" t="s">
        <v>608</v>
      </c>
      <c r="K1411" s="6">
        <f t="shared" si="67"/>
        <v>12</v>
      </c>
      <c r="L1411" s="6" t="str">
        <f t="shared" ref="L1411:L1474" si="68">VLOOKUP(K1411,N:O,2,0)</f>
        <v>DICIEMBRE</v>
      </c>
    </row>
    <row r="1412" spans="1:12" x14ac:dyDescent="0.25">
      <c r="A1412" s="5">
        <f t="shared" si="66"/>
        <v>2025</v>
      </c>
      <c r="B1412" s="18" t="s">
        <v>1368</v>
      </c>
      <c r="C1412" s="18" t="s">
        <v>595</v>
      </c>
      <c r="D1412" s="12">
        <v>6408</v>
      </c>
      <c r="E1412" s="17" t="s">
        <v>371</v>
      </c>
      <c r="F1412" s="12" t="s">
        <v>372</v>
      </c>
      <c r="G1412" s="14">
        <v>1</v>
      </c>
      <c r="H1412" s="24">
        <v>188000</v>
      </c>
      <c r="I1412" s="12" t="s">
        <v>712</v>
      </c>
      <c r="J1412" s="6" t="s">
        <v>608</v>
      </c>
      <c r="K1412" s="6">
        <f t="shared" si="67"/>
        <v>12</v>
      </c>
      <c r="L1412" s="6" t="str">
        <f t="shared" si="68"/>
        <v>DICIEMBRE</v>
      </c>
    </row>
    <row r="1413" spans="1:12" x14ac:dyDescent="0.25">
      <c r="A1413" s="5">
        <f t="shared" si="66"/>
        <v>2025</v>
      </c>
      <c r="B1413" s="18" t="s">
        <v>1368</v>
      </c>
      <c r="C1413" s="18" t="s">
        <v>595</v>
      </c>
      <c r="D1413" s="12">
        <v>6408</v>
      </c>
      <c r="E1413" s="17" t="s">
        <v>934</v>
      </c>
      <c r="F1413" s="12" t="s">
        <v>935</v>
      </c>
      <c r="G1413" s="14">
        <v>1</v>
      </c>
      <c r="H1413" s="24">
        <v>53261</v>
      </c>
      <c r="I1413" s="12" t="s">
        <v>712</v>
      </c>
      <c r="J1413" s="6" t="s">
        <v>608</v>
      </c>
      <c r="K1413" s="6">
        <f t="shared" si="67"/>
        <v>12</v>
      </c>
      <c r="L1413" s="6" t="str">
        <f t="shared" si="68"/>
        <v>DICIEMBRE</v>
      </c>
    </row>
    <row r="1414" spans="1:12" x14ac:dyDescent="0.25">
      <c r="A1414" s="5">
        <f t="shared" si="66"/>
        <v>2025</v>
      </c>
      <c r="B1414" s="18" t="s">
        <v>1368</v>
      </c>
      <c r="C1414" s="18" t="s">
        <v>595</v>
      </c>
      <c r="D1414" s="12">
        <v>6408</v>
      </c>
      <c r="E1414" s="17" t="s">
        <v>427</v>
      </c>
      <c r="F1414" s="12" t="s">
        <v>428</v>
      </c>
      <c r="G1414" s="14">
        <v>2</v>
      </c>
      <c r="H1414" s="24">
        <v>112000</v>
      </c>
      <c r="I1414" s="12" t="s">
        <v>712</v>
      </c>
      <c r="J1414" s="6" t="s">
        <v>608</v>
      </c>
      <c r="K1414" s="6">
        <f t="shared" si="67"/>
        <v>12</v>
      </c>
      <c r="L1414" s="6" t="str">
        <f t="shared" si="68"/>
        <v>DICIEMBRE</v>
      </c>
    </row>
    <row r="1415" spans="1:12" x14ac:dyDescent="0.25">
      <c r="A1415" s="5">
        <f t="shared" si="66"/>
        <v>2025</v>
      </c>
      <c r="B1415" s="18" t="s">
        <v>1368</v>
      </c>
      <c r="C1415" s="18" t="s">
        <v>595</v>
      </c>
      <c r="D1415" s="12">
        <v>6408</v>
      </c>
      <c r="E1415" s="17" t="s">
        <v>1014</v>
      </c>
      <c r="F1415" s="12" t="s">
        <v>1015</v>
      </c>
      <c r="G1415" s="14">
        <v>1</v>
      </c>
      <c r="H1415" s="24">
        <v>321000</v>
      </c>
      <c r="I1415" s="12" t="s">
        <v>712</v>
      </c>
      <c r="J1415" s="6" t="s">
        <v>608</v>
      </c>
      <c r="K1415" s="6">
        <f t="shared" si="67"/>
        <v>12</v>
      </c>
      <c r="L1415" s="6" t="str">
        <f t="shared" si="68"/>
        <v>DICIEMBRE</v>
      </c>
    </row>
    <row r="1416" spans="1:12" x14ac:dyDescent="0.25">
      <c r="A1416" s="5">
        <f t="shared" si="66"/>
        <v>2025</v>
      </c>
      <c r="B1416" s="18" t="s">
        <v>1368</v>
      </c>
      <c r="C1416" s="18" t="s">
        <v>595</v>
      </c>
      <c r="D1416" s="12">
        <v>6408</v>
      </c>
      <c r="E1416" s="17" t="s">
        <v>955</v>
      </c>
      <c r="F1416" s="12" t="s">
        <v>956</v>
      </c>
      <c r="G1416" s="14">
        <v>1</v>
      </c>
      <c r="H1416" s="24">
        <v>276000</v>
      </c>
      <c r="I1416" s="12" t="s">
        <v>712</v>
      </c>
      <c r="J1416" s="6" t="s">
        <v>608</v>
      </c>
      <c r="K1416" s="6">
        <f t="shared" si="67"/>
        <v>12</v>
      </c>
      <c r="L1416" s="6" t="str">
        <f t="shared" si="68"/>
        <v>DICIEMBRE</v>
      </c>
    </row>
    <row r="1417" spans="1:12" x14ac:dyDescent="0.25">
      <c r="A1417" s="5">
        <f t="shared" si="66"/>
        <v>2025</v>
      </c>
      <c r="B1417" s="18" t="s">
        <v>1368</v>
      </c>
      <c r="C1417" s="18" t="s">
        <v>595</v>
      </c>
      <c r="D1417" s="12">
        <v>6408</v>
      </c>
      <c r="E1417" s="17" t="s">
        <v>419</v>
      </c>
      <c r="F1417" s="12" t="s">
        <v>420</v>
      </c>
      <c r="G1417" s="14">
        <v>1</v>
      </c>
      <c r="H1417" s="24">
        <v>215000</v>
      </c>
      <c r="I1417" s="12" t="s">
        <v>712</v>
      </c>
      <c r="J1417" s="6" t="s">
        <v>608</v>
      </c>
      <c r="K1417" s="6">
        <f t="shared" si="67"/>
        <v>12</v>
      </c>
      <c r="L1417" s="6" t="str">
        <f t="shared" si="68"/>
        <v>DICIEMBRE</v>
      </c>
    </row>
    <row r="1418" spans="1:12" x14ac:dyDescent="0.25">
      <c r="A1418" s="5">
        <f t="shared" si="66"/>
        <v>2025</v>
      </c>
      <c r="B1418" s="18" t="s">
        <v>1368</v>
      </c>
      <c r="C1418" s="18" t="s">
        <v>595</v>
      </c>
      <c r="D1418" s="12">
        <v>6408</v>
      </c>
      <c r="E1418" s="17" t="s">
        <v>213</v>
      </c>
      <c r="F1418" s="12" t="s">
        <v>214</v>
      </c>
      <c r="G1418" s="14">
        <v>1</v>
      </c>
      <c r="H1418" s="24">
        <v>1200000</v>
      </c>
      <c r="I1418" s="12" t="s">
        <v>712</v>
      </c>
      <c r="J1418" s="6" t="s">
        <v>608</v>
      </c>
      <c r="K1418" s="6">
        <f t="shared" si="67"/>
        <v>12</v>
      </c>
      <c r="L1418" s="6" t="str">
        <f t="shared" si="68"/>
        <v>DICIEMBRE</v>
      </c>
    </row>
    <row r="1419" spans="1:12" x14ac:dyDescent="0.25">
      <c r="A1419" s="5">
        <f t="shared" si="66"/>
        <v>2025</v>
      </c>
      <c r="B1419" s="18" t="s">
        <v>1368</v>
      </c>
      <c r="C1419" s="18" t="s">
        <v>595</v>
      </c>
      <c r="D1419" s="12">
        <v>6408</v>
      </c>
      <c r="E1419" s="17">
        <v>55525</v>
      </c>
      <c r="F1419" s="12" t="s">
        <v>471</v>
      </c>
      <c r="G1419" s="14">
        <v>1</v>
      </c>
      <c r="H1419" s="24">
        <v>62000</v>
      </c>
      <c r="I1419" s="12" t="s">
        <v>712</v>
      </c>
      <c r="J1419" s="6" t="s">
        <v>608</v>
      </c>
      <c r="K1419" s="6">
        <f t="shared" si="67"/>
        <v>12</v>
      </c>
      <c r="L1419" s="6" t="str">
        <f t="shared" si="68"/>
        <v>DICIEMBRE</v>
      </c>
    </row>
    <row r="1420" spans="1:12" x14ac:dyDescent="0.25">
      <c r="A1420" s="5">
        <f t="shared" si="66"/>
        <v>2025</v>
      </c>
      <c r="B1420" s="18" t="s">
        <v>1368</v>
      </c>
      <c r="C1420" s="18" t="s">
        <v>595</v>
      </c>
      <c r="D1420" s="12">
        <v>6408</v>
      </c>
      <c r="E1420" s="17">
        <v>4304023</v>
      </c>
      <c r="F1420" s="12" t="s">
        <v>284</v>
      </c>
      <c r="G1420" s="14">
        <v>1</v>
      </c>
      <c r="H1420" s="24">
        <v>17500</v>
      </c>
      <c r="I1420" s="12" t="s">
        <v>712</v>
      </c>
      <c r="J1420" s="6" t="s">
        <v>608</v>
      </c>
      <c r="K1420" s="6">
        <f t="shared" si="67"/>
        <v>12</v>
      </c>
      <c r="L1420" s="6" t="str">
        <f t="shared" si="68"/>
        <v>DICIEMBRE</v>
      </c>
    </row>
    <row r="1421" spans="1:12" x14ac:dyDescent="0.25">
      <c r="A1421" s="5">
        <f t="shared" si="66"/>
        <v>2025</v>
      </c>
      <c r="B1421" s="18" t="s">
        <v>1368</v>
      </c>
      <c r="C1421" s="18" t="s">
        <v>595</v>
      </c>
      <c r="D1421" s="12">
        <v>6408</v>
      </c>
      <c r="E1421" s="17" t="s">
        <v>51</v>
      </c>
      <c r="F1421" s="12" t="s">
        <v>52</v>
      </c>
      <c r="G1421" s="14">
        <v>1</v>
      </c>
      <c r="H1421" s="24">
        <v>7000</v>
      </c>
      <c r="I1421" s="12" t="s">
        <v>712</v>
      </c>
      <c r="J1421" s="6" t="s">
        <v>608</v>
      </c>
      <c r="K1421" s="6">
        <f t="shared" si="67"/>
        <v>12</v>
      </c>
      <c r="L1421" s="6" t="str">
        <f t="shared" si="68"/>
        <v>DICIEMBRE</v>
      </c>
    </row>
    <row r="1422" spans="1:12" x14ac:dyDescent="0.25">
      <c r="A1422" s="5">
        <f t="shared" si="66"/>
        <v>2025</v>
      </c>
      <c r="B1422" s="18" t="s">
        <v>1368</v>
      </c>
      <c r="C1422" s="18" t="s">
        <v>595</v>
      </c>
      <c r="D1422" s="12">
        <v>6408</v>
      </c>
      <c r="E1422" s="17" t="s">
        <v>202</v>
      </c>
      <c r="F1422" s="12" t="s">
        <v>203</v>
      </c>
      <c r="G1422" s="14">
        <v>1</v>
      </c>
      <c r="H1422" s="24">
        <v>158137</v>
      </c>
      <c r="I1422" s="12" t="s">
        <v>712</v>
      </c>
      <c r="J1422" s="6" t="s">
        <v>608</v>
      </c>
      <c r="K1422" s="6">
        <f t="shared" si="67"/>
        <v>12</v>
      </c>
      <c r="L1422" s="6" t="str">
        <f t="shared" si="68"/>
        <v>DICIEMBRE</v>
      </c>
    </row>
    <row r="1423" spans="1:12" x14ac:dyDescent="0.25">
      <c r="A1423" s="5">
        <f t="shared" si="66"/>
        <v>2025</v>
      </c>
      <c r="B1423" s="18" t="s">
        <v>1368</v>
      </c>
      <c r="C1423" s="18" t="s">
        <v>595</v>
      </c>
      <c r="D1423" s="12">
        <v>6408</v>
      </c>
      <c r="E1423" s="17">
        <v>78931</v>
      </c>
      <c r="F1423" s="12" t="s">
        <v>379</v>
      </c>
      <c r="G1423" s="14">
        <v>2</v>
      </c>
      <c r="H1423" s="24">
        <v>5000</v>
      </c>
      <c r="I1423" s="12" t="s">
        <v>712</v>
      </c>
      <c r="J1423" s="6" t="s">
        <v>608</v>
      </c>
      <c r="K1423" s="6">
        <f t="shared" si="67"/>
        <v>12</v>
      </c>
      <c r="L1423" s="6" t="str">
        <f t="shared" si="68"/>
        <v>DICIEMBRE</v>
      </c>
    </row>
    <row r="1424" spans="1:12" x14ac:dyDescent="0.25">
      <c r="A1424" s="5">
        <f t="shared" si="66"/>
        <v>2025</v>
      </c>
      <c r="B1424" s="18" t="s">
        <v>1368</v>
      </c>
      <c r="C1424" s="18" t="s">
        <v>595</v>
      </c>
      <c r="D1424" s="12">
        <v>6408</v>
      </c>
      <c r="E1424" s="17" t="s">
        <v>563</v>
      </c>
      <c r="F1424" s="12" t="s">
        <v>578</v>
      </c>
      <c r="G1424" s="14">
        <v>1</v>
      </c>
      <c r="H1424" s="24">
        <v>290000</v>
      </c>
      <c r="I1424" s="12" t="s">
        <v>712</v>
      </c>
      <c r="J1424" s="6" t="s">
        <v>608</v>
      </c>
      <c r="K1424" s="6">
        <f t="shared" si="67"/>
        <v>12</v>
      </c>
      <c r="L1424" s="6" t="str">
        <f t="shared" si="68"/>
        <v>DICIEMBRE</v>
      </c>
    </row>
    <row r="1425" spans="1:12" x14ac:dyDescent="0.25">
      <c r="A1425" s="5">
        <f t="shared" si="66"/>
        <v>2025</v>
      </c>
      <c r="B1425" s="18" t="s">
        <v>1368</v>
      </c>
      <c r="C1425" s="18" t="s">
        <v>595</v>
      </c>
      <c r="D1425" s="12">
        <v>6408</v>
      </c>
      <c r="E1425" s="17">
        <v>328349</v>
      </c>
      <c r="F1425" s="12" t="s">
        <v>107</v>
      </c>
      <c r="G1425" s="14">
        <v>1</v>
      </c>
      <c r="H1425" s="24">
        <v>890000</v>
      </c>
      <c r="I1425" s="12" t="s">
        <v>712</v>
      </c>
      <c r="J1425" s="6" t="s">
        <v>608</v>
      </c>
      <c r="K1425" s="6">
        <f t="shared" si="67"/>
        <v>12</v>
      </c>
      <c r="L1425" s="6" t="str">
        <f t="shared" si="68"/>
        <v>DICIEMBRE</v>
      </c>
    </row>
    <row r="1426" spans="1:12" x14ac:dyDescent="0.25">
      <c r="A1426" s="5">
        <f t="shared" si="66"/>
        <v>2025</v>
      </c>
      <c r="B1426" s="18" t="s">
        <v>1115</v>
      </c>
      <c r="C1426" s="18" t="s">
        <v>595</v>
      </c>
      <c r="D1426" s="12">
        <v>6195</v>
      </c>
      <c r="E1426" s="17" t="s">
        <v>167</v>
      </c>
      <c r="F1426" s="12" t="s">
        <v>168</v>
      </c>
      <c r="G1426" s="14">
        <v>2</v>
      </c>
      <c r="H1426" s="24">
        <v>1400000</v>
      </c>
      <c r="I1426" s="12" t="s">
        <v>631</v>
      </c>
      <c r="J1426" s="6" t="s">
        <v>609</v>
      </c>
      <c r="K1426" s="6">
        <f t="shared" si="67"/>
        <v>7</v>
      </c>
      <c r="L1426" s="6" t="str">
        <f t="shared" si="68"/>
        <v>JULIO</v>
      </c>
    </row>
    <row r="1427" spans="1:12" x14ac:dyDescent="0.25">
      <c r="A1427" s="5">
        <f t="shared" si="66"/>
        <v>2025</v>
      </c>
      <c r="B1427" s="18" t="s">
        <v>1050</v>
      </c>
      <c r="C1427" s="18" t="s">
        <v>595</v>
      </c>
      <c r="D1427" s="12">
        <v>6110</v>
      </c>
      <c r="E1427" s="17" t="s">
        <v>650</v>
      </c>
      <c r="F1427" s="12" t="s">
        <v>651</v>
      </c>
      <c r="G1427" s="14">
        <v>228</v>
      </c>
      <c r="H1427" s="24">
        <v>233928</v>
      </c>
      <c r="I1427" s="12" t="s">
        <v>712</v>
      </c>
      <c r="J1427" s="6" t="s">
        <v>608</v>
      </c>
      <c r="K1427" s="6">
        <f t="shared" si="67"/>
        <v>6</v>
      </c>
      <c r="L1427" s="6" t="str">
        <f t="shared" si="68"/>
        <v>JUNIO</v>
      </c>
    </row>
    <row r="1428" spans="1:12" x14ac:dyDescent="0.25">
      <c r="A1428" s="5">
        <f t="shared" si="66"/>
        <v>2025</v>
      </c>
      <c r="B1428" s="18" t="s">
        <v>1013</v>
      </c>
      <c r="C1428" s="18" t="s">
        <v>595</v>
      </c>
      <c r="D1428" s="12">
        <v>6071</v>
      </c>
      <c r="E1428" s="17" t="s">
        <v>272</v>
      </c>
      <c r="F1428" s="12" t="s">
        <v>273</v>
      </c>
      <c r="G1428" s="14">
        <v>1</v>
      </c>
      <c r="H1428" s="24">
        <v>295000</v>
      </c>
      <c r="I1428" s="12" t="s">
        <v>712</v>
      </c>
      <c r="J1428" s="6" t="s">
        <v>608</v>
      </c>
      <c r="K1428" s="6">
        <f t="shared" si="67"/>
        <v>5</v>
      </c>
      <c r="L1428" s="6" t="str">
        <f t="shared" si="68"/>
        <v>MAYO</v>
      </c>
    </row>
    <row r="1429" spans="1:12" x14ac:dyDescent="0.25">
      <c r="A1429" s="5">
        <f t="shared" si="66"/>
        <v>2025</v>
      </c>
      <c r="B1429" s="18" t="s">
        <v>1013</v>
      </c>
      <c r="C1429" s="18" t="s">
        <v>595</v>
      </c>
      <c r="D1429" s="12">
        <v>6071</v>
      </c>
      <c r="E1429" s="17" t="s">
        <v>299</v>
      </c>
      <c r="F1429" s="12" t="s">
        <v>300</v>
      </c>
      <c r="G1429" s="14">
        <v>1</v>
      </c>
      <c r="H1429" s="24">
        <v>59000</v>
      </c>
      <c r="I1429" s="12" t="s">
        <v>712</v>
      </c>
      <c r="J1429" s="6" t="s">
        <v>608</v>
      </c>
      <c r="K1429" s="6">
        <f t="shared" si="67"/>
        <v>5</v>
      </c>
      <c r="L1429" s="6" t="str">
        <f t="shared" si="68"/>
        <v>MAYO</v>
      </c>
    </row>
    <row r="1430" spans="1:12" x14ac:dyDescent="0.25">
      <c r="A1430" s="5">
        <f t="shared" si="66"/>
        <v>2025</v>
      </c>
      <c r="B1430" s="18" t="s">
        <v>1013</v>
      </c>
      <c r="C1430" s="18" t="s">
        <v>595</v>
      </c>
      <c r="D1430" s="12">
        <v>6071</v>
      </c>
      <c r="E1430" s="17" t="s">
        <v>297</v>
      </c>
      <c r="F1430" s="12" t="s">
        <v>298</v>
      </c>
      <c r="G1430" s="14">
        <v>1</v>
      </c>
      <c r="H1430" s="24">
        <v>139142</v>
      </c>
      <c r="I1430" s="12" t="s">
        <v>712</v>
      </c>
      <c r="J1430" s="6" t="s">
        <v>608</v>
      </c>
      <c r="K1430" s="6">
        <f t="shared" si="67"/>
        <v>5</v>
      </c>
      <c r="L1430" s="6" t="str">
        <f t="shared" si="68"/>
        <v>MAYO</v>
      </c>
    </row>
    <row r="1431" spans="1:12" x14ac:dyDescent="0.25">
      <c r="A1431" s="5">
        <f t="shared" si="66"/>
        <v>2025</v>
      </c>
      <c r="B1431" s="18" t="s">
        <v>1013</v>
      </c>
      <c r="C1431" s="18" t="s">
        <v>595</v>
      </c>
      <c r="D1431" s="12">
        <v>6071</v>
      </c>
      <c r="E1431" s="17" t="s">
        <v>56</v>
      </c>
      <c r="F1431" s="12" t="s">
        <v>57</v>
      </c>
      <c r="G1431" s="14">
        <v>1</v>
      </c>
      <c r="H1431" s="24">
        <v>22049</v>
      </c>
      <c r="I1431" s="12" t="s">
        <v>712</v>
      </c>
      <c r="J1431" s="6" t="s">
        <v>608</v>
      </c>
      <c r="K1431" s="6">
        <f t="shared" si="67"/>
        <v>5</v>
      </c>
      <c r="L1431" s="6" t="str">
        <f t="shared" si="68"/>
        <v>MAYO</v>
      </c>
    </row>
    <row r="1432" spans="1:12" x14ac:dyDescent="0.25">
      <c r="A1432" s="5">
        <f t="shared" si="66"/>
        <v>2025</v>
      </c>
      <c r="B1432" s="18" t="s">
        <v>1013</v>
      </c>
      <c r="C1432" s="18" t="s">
        <v>595</v>
      </c>
      <c r="D1432" s="12">
        <v>6071</v>
      </c>
      <c r="E1432" s="17" t="s">
        <v>599</v>
      </c>
      <c r="F1432" s="12" t="s">
        <v>603</v>
      </c>
      <c r="G1432" s="14">
        <v>4</v>
      </c>
      <c r="H1432" s="24">
        <v>252000</v>
      </c>
      <c r="I1432" s="12" t="s">
        <v>712</v>
      </c>
      <c r="J1432" s="6" t="s">
        <v>608</v>
      </c>
      <c r="K1432" s="6">
        <f t="shared" si="67"/>
        <v>5</v>
      </c>
      <c r="L1432" s="6" t="str">
        <f t="shared" si="68"/>
        <v>MAYO</v>
      </c>
    </row>
    <row r="1433" spans="1:12" x14ac:dyDescent="0.25">
      <c r="A1433" s="5">
        <f t="shared" si="66"/>
        <v>2025</v>
      </c>
      <c r="B1433" s="18" t="s">
        <v>1263</v>
      </c>
      <c r="C1433" s="18" t="s">
        <v>595</v>
      </c>
      <c r="D1433" s="12">
        <v>6354</v>
      </c>
      <c r="E1433" s="17" t="s">
        <v>245</v>
      </c>
      <c r="F1433" s="12" t="s">
        <v>246</v>
      </c>
      <c r="G1433" s="14">
        <v>9</v>
      </c>
      <c r="H1433" s="24">
        <v>49500</v>
      </c>
      <c r="I1433" s="12" t="s">
        <v>712</v>
      </c>
      <c r="J1433" s="6" t="s">
        <v>608</v>
      </c>
      <c r="K1433" s="6">
        <f t="shared" si="67"/>
        <v>11</v>
      </c>
      <c r="L1433" s="6" t="str">
        <f t="shared" si="68"/>
        <v>NOVIEMBRE</v>
      </c>
    </row>
    <row r="1434" spans="1:12" x14ac:dyDescent="0.25">
      <c r="A1434" s="5">
        <f t="shared" si="66"/>
        <v>2025</v>
      </c>
      <c r="B1434" s="18" t="s">
        <v>1263</v>
      </c>
      <c r="C1434" s="18" t="s">
        <v>595</v>
      </c>
      <c r="D1434" s="12">
        <v>6354</v>
      </c>
      <c r="E1434" s="17" t="s">
        <v>533</v>
      </c>
      <c r="F1434" s="12" t="s">
        <v>534</v>
      </c>
      <c r="G1434" s="14">
        <v>1</v>
      </c>
      <c r="H1434" s="24">
        <v>124000</v>
      </c>
      <c r="I1434" s="12" t="s">
        <v>712</v>
      </c>
      <c r="J1434" s="6" t="s">
        <v>608</v>
      </c>
      <c r="K1434" s="6">
        <f t="shared" si="67"/>
        <v>11</v>
      </c>
      <c r="L1434" s="6" t="str">
        <f t="shared" si="68"/>
        <v>NOVIEMBRE</v>
      </c>
    </row>
    <row r="1435" spans="1:12" x14ac:dyDescent="0.25">
      <c r="A1435" s="5">
        <f t="shared" si="66"/>
        <v>2025</v>
      </c>
      <c r="B1435" s="18" t="s">
        <v>1263</v>
      </c>
      <c r="C1435" s="18" t="s">
        <v>595</v>
      </c>
      <c r="D1435" s="12">
        <v>6354</v>
      </c>
      <c r="E1435" s="17" t="s">
        <v>228</v>
      </c>
      <c r="F1435" s="12" t="s">
        <v>229</v>
      </c>
      <c r="G1435" s="14">
        <v>7</v>
      </c>
      <c r="H1435" s="24">
        <v>840000</v>
      </c>
      <c r="I1435" s="12" t="s">
        <v>712</v>
      </c>
      <c r="J1435" s="6" t="s">
        <v>608</v>
      </c>
      <c r="K1435" s="6">
        <f t="shared" si="67"/>
        <v>11</v>
      </c>
      <c r="L1435" s="6" t="str">
        <f t="shared" si="68"/>
        <v>NOVIEMBRE</v>
      </c>
    </row>
    <row r="1436" spans="1:12" x14ac:dyDescent="0.25">
      <c r="A1436" s="5">
        <f t="shared" si="66"/>
        <v>2025</v>
      </c>
      <c r="B1436" s="18" t="s">
        <v>1263</v>
      </c>
      <c r="C1436" s="18" t="s">
        <v>595</v>
      </c>
      <c r="D1436" s="12">
        <v>6354</v>
      </c>
      <c r="E1436" s="17" t="s">
        <v>472</v>
      </c>
      <c r="F1436" s="12" t="s">
        <v>473</v>
      </c>
      <c r="G1436" s="14">
        <v>1</v>
      </c>
      <c r="H1436" s="24">
        <v>49000</v>
      </c>
      <c r="I1436" s="12" t="s">
        <v>712</v>
      </c>
      <c r="J1436" s="6" t="s">
        <v>608</v>
      </c>
      <c r="K1436" s="6">
        <f t="shared" si="67"/>
        <v>11</v>
      </c>
      <c r="L1436" s="6" t="str">
        <f t="shared" si="68"/>
        <v>NOVIEMBRE</v>
      </c>
    </row>
    <row r="1437" spans="1:12" x14ac:dyDescent="0.25">
      <c r="A1437" s="5">
        <f t="shared" si="66"/>
        <v>2025</v>
      </c>
      <c r="B1437" s="18" t="s">
        <v>1263</v>
      </c>
      <c r="C1437" s="18" t="s">
        <v>595</v>
      </c>
      <c r="D1437" s="12">
        <v>6354</v>
      </c>
      <c r="E1437" s="17">
        <v>9373</v>
      </c>
      <c r="F1437" s="12" t="s">
        <v>128</v>
      </c>
      <c r="G1437" s="14">
        <v>1</v>
      </c>
      <c r="H1437" s="24">
        <v>460000</v>
      </c>
      <c r="I1437" s="12" t="s">
        <v>712</v>
      </c>
      <c r="J1437" s="6" t="s">
        <v>608</v>
      </c>
      <c r="K1437" s="6">
        <f t="shared" si="67"/>
        <v>11</v>
      </c>
      <c r="L1437" s="6" t="str">
        <f t="shared" si="68"/>
        <v>NOVIEMBRE</v>
      </c>
    </row>
    <row r="1438" spans="1:12" x14ac:dyDescent="0.25">
      <c r="A1438" s="5">
        <f t="shared" si="66"/>
        <v>2025</v>
      </c>
      <c r="B1438" s="18" t="s">
        <v>1309</v>
      </c>
      <c r="C1438" s="18" t="s">
        <v>595</v>
      </c>
      <c r="D1438" s="12">
        <v>6407</v>
      </c>
      <c r="E1438" s="17" t="s">
        <v>1314</v>
      </c>
      <c r="F1438" s="12" t="s">
        <v>1315</v>
      </c>
      <c r="G1438" s="14">
        <v>1</v>
      </c>
      <c r="H1438" s="24">
        <v>274620</v>
      </c>
      <c r="I1438" s="12" t="s">
        <v>705</v>
      </c>
      <c r="J1438" s="6" t="s">
        <v>1348</v>
      </c>
      <c r="K1438" s="6">
        <f t="shared" si="67"/>
        <v>12</v>
      </c>
      <c r="L1438" s="6" t="str">
        <f t="shared" si="68"/>
        <v>DICIEMBRE</v>
      </c>
    </row>
    <row r="1439" spans="1:12" x14ac:dyDescent="0.25">
      <c r="A1439" s="5">
        <f t="shared" si="66"/>
        <v>2025</v>
      </c>
      <c r="B1439" s="18" t="s">
        <v>1309</v>
      </c>
      <c r="C1439" s="18" t="s">
        <v>595</v>
      </c>
      <c r="D1439" s="12">
        <v>6407</v>
      </c>
      <c r="E1439" s="17" t="s">
        <v>1316</v>
      </c>
      <c r="F1439" s="12" t="s">
        <v>1317</v>
      </c>
      <c r="G1439" s="14">
        <v>1</v>
      </c>
      <c r="H1439" s="24">
        <v>138552</v>
      </c>
      <c r="I1439" s="12" t="s">
        <v>705</v>
      </c>
      <c r="J1439" s="6" t="s">
        <v>1348</v>
      </c>
      <c r="K1439" s="6">
        <f t="shared" si="67"/>
        <v>12</v>
      </c>
      <c r="L1439" s="6" t="str">
        <f t="shared" si="68"/>
        <v>DICIEMBRE</v>
      </c>
    </row>
    <row r="1440" spans="1:12" x14ac:dyDescent="0.25">
      <c r="A1440" s="5">
        <f t="shared" si="66"/>
        <v>2025</v>
      </c>
      <c r="B1440" s="18" t="s">
        <v>1309</v>
      </c>
      <c r="C1440" s="18" t="s">
        <v>595</v>
      </c>
      <c r="D1440" s="12">
        <v>6407</v>
      </c>
      <c r="E1440" s="17" t="s">
        <v>1318</v>
      </c>
      <c r="F1440" s="12" t="s">
        <v>1319</v>
      </c>
      <c r="G1440" s="14">
        <v>1</v>
      </c>
      <c r="H1440" s="24">
        <v>88044</v>
      </c>
      <c r="I1440" s="12" t="s">
        <v>705</v>
      </c>
      <c r="J1440" s="6" t="s">
        <v>1348</v>
      </c>
      <c r="K1440" s="6">
        <f t="shared" si="67"/>
        <v>12</v>
      </c>
      <c r="L1440" s="6" t="str">
        <f t="shared" si="68"/>
        <v>DICIEMBRE</v>
      </c>
    </row>
    <row r="1441" spans="1:12" x14ac:dyDescent="0.25">
      <c r="A1441" s="5">
        <f t="shared" si="66"/>
        <v>2025</v>
      </c>
      <c r="B1441" s="18" t="s">
        <v>1309</v>
      </c>
      <c r="C1441" s="18" t="s">
        <v>595</v>
      </c>
      <c r="D1441" s="12">
        <v>6407</v>
      </c>
      <c r="E1441" s="17" t="s">
        <v>1320</v>
      </c>
      <c r="F1441" s="12" t="s">
        <v>1321</v>
      </c>
      <c r="G1441" s="14">
        <v>1</v>
      </c>
      <c r="H1441" s="24">
        <v>88044</v>
      </c>
      <c r="I1441" s="12" t="s">
        <v>705</v>
      </c>
      <c r="J1441" s="6" t="s">
        <v>1348</v>
      </c>
      <c r="K1441" s="6">
        <f t="shared" si="67"/>
        <v>12</v>
      </c>
      <c r="L1441" s="6" t="str">
        <f t="shared" si="68"/>
        <v>DICIEMBRE</v>
      </c>
    </row>
    <row r="1442" spans="1:12" x14ac:dyDescent="0.25">
      <c r="A1442" s="5">
        <f t="shared" si="66"/>
        <v>2025</v>
      </c>
      <c r="B1442" s="18" t="s">
        <v>1309</v>
      </c>
      <c r="C1442" s="18" t="s">
        <v>595</v>
      </c>
      <c r="D1442" s="12">
        <v>6407</v>
      </c>
      <c r="E1442" s="17" t="s">
        <v>1322</v>
      </c>
      <c r="F1442" s="12" t="s">
        <v>1323</v>
      </c>
      <c r="G1442" s="14">
        <v>1</v>
      </c>
      <c r="H1442" s="24">
        <v>81254.399999999994</v>
      </c>
      <c r="I1442" s="12" t="s">
        <v>705</v>
      </c>
      <c r="J1442" s="6" t="s">
        <v>1348</v>
      </c>
      <c r="K1442" s="6">
        <f t="shared" si="67"/>
        <v>12</v>
      </c>
      <c r="L1442" s="6" t="str">
        <f t="shared" si="68"/>
        <v>DICIEMBRE</v>
      </c>
    </row>
    <row r="1443" spans="1:12" x14ac:dyDescent="0.25">
      <c r="A1443" s="5">
        <f t="shared" si="66"/>
        <v>2025</v>
      </c>
      <c r="B1443" s="18" t="s">
        <v>1309</v>
      </c>
      <c r="C1443" s="18" t="s">
        <v>595</v>
      </c>
      <c r="D1443" s="12">
        <v>6407</v>
      </c>
      <c r="E1443" s="17" t="s">
        <v>1326</v>
      </c>
      <c r="F1443" s="12" t="s">
        <v>1327</v>
      </c>
      <c r="G1443" s="14">
        <v>1</v>
      </c>
      <c r="H1443" s="24">
        <v>876040.56</v>
      </c>
      <c r="I1443" s="12" t="s">
        <v>705</v>
      </c>
      <c r="J1443" s="6" t="s">
        <v>1348</v>
      </c>
      <c r="K1443" s="6">
        <f t="shared" si="67"/>
        <v>12</v>
      </c>
      <c r="L1443" s="6" t="str">
        <f t="shared" si="68"/>
        <v>DICIEMBRE</v>
      </c>
    </row>
    <row r="1444" spans="1:12" x14ac:dyDescent="0.25">
      <c r="A1444" s="5">
        <f t="shared" si="66"/>
        <v>2025</v>
      </c>
      <c r="B1444" s="18" t="s">
        <v>1309</v>
      </c>
      <c r="C1444" s="18" t="s">
        <v>595</v>
      </c>
      <c r="D1444" s="12">
        <v>6407</v>
      </c>
      <c r="E1444" s="17" t="s">
        <v>1328</v>
      </c>
      <c r="F1444" s="12" t="s">
        <v>1329</v>
      </c>
      <c r="G1444" s="14">
        <v>1</v>
      </c>
      <c r="H1444" s="24">
        <v>90452.56</v>
      </c>
      <c r="I1444" s="12" t="s">
        <v>705</v>
      </c>
      <c r="J1444" s="6" t="s">
        <v>1348</v>
      </c>
      <c r="K1444" s="6">
        <f t="shared" si="67"/>
        <v>12</v>
      </c>
      <c r="L1444" s="6" t="str">
        <f t="shared" si="68"/>
        <v>DICIEMBRE</v>
      </c>
    </row>
    <row r="1445" spans="1:12" x14ac:dyDescent="0.25">
      <c r="A1445" s="5">
        <f t="shared" si="66"/>
        <v>2025</v>
      </c>
      <c r="B1445" s="18" t="s">
        <v>1309</v>
      </c>
      <c r="C1445" s="18" t="s">
        <v>595</v>
      </c>
      <c r="D1445" s="12">
        <v>6407</v>
      </c>
      <c r="E1445" s="17" t="s">
        <v>1332</v>
      </c>
      <c r="F1445" s="12" t="s">
        <v>1333</v>
      </c>
      <c r="G1445" s="14">
        <v>1</v>
      </c>
      <c r="H1445" s="24">
        <v>32964.519999999997</v>
      </c>
      <c r="I1445" s="12" t="s">
        <v>705</v>
      </c>
      <c r="J1445" s="6" t="s">
        <v>1348</v>
      </c>
      <c r="K1445" s="6">
        <f t="shared" si="67"/>
        <v>12</v>
      </c>
      <c r="L1445" s="6" t="str">
        <f t="shared" si="68"/>
        <v>DICIEMBRE</v>
      </c>
    </row>
    <row r="1446" spans="1:12" x14ac:dyDescent="0.25">
      <c r="A1446" s="5">
        <f t="shared" si="66"/>
        <v>2025</v>
      </c>
      <c r="B1446" s="18" t="s">
        <v>1309</v>
      </c>
      <c r="C1446" s="18" t="s">
        <v>595</v>
      </c>
      <c r="D1446" s="12">
        <v>6407</v>
      </c>
      <c r="E1446" s="17" t="s">
        <v>1334</v>
      </c>
      <c r="F1446" s="12" t="s">
        <v>1335</v>
      </c>
      <c r="G1446" s="14">
        <v>1</v>
      </c>
      <c r="H1446" s="24">
        <v>227400.08</v>
      </c>
      <c r="I1446" s="12" t="s">
        <v>705</v>
      </c>
      <c r="J1446" s="6" t="s">
        <v>1348</v>
      </c>
      <c r="K1446" s="6">
        <f t="shared" si="67"/>
        <v>12</v>
      </c>
      <c r="L1446" s="6" t="str">
        <f t="shared" si="68"/>
        <v>DICIEMBRE</v>
      </c>
    </row>
    <row r="1447" spans="1:12" x14ac:dyDescent="0.25">
      <c r="A1447" s="5">
        <f t="shared" si="66"/>
        <v>2025</v>
      </c>
      <c r="B1447" s="18" t="s">
        <v>1309</v>
      </c>
      <c r="C1447" s="18" t="s">
        <v>595</v>
      </c>
      <c r="D1447" s="12">
        <v>6407</v>
      </c>
      <c r="E1447" s="17" t="s">
        <v>1336</v>
      </c>
      <c r="F1447" s="12" t="s">
        <v>1337</v>
      </c>
      <c r="G1447" s="14">
        <v>1</v>
      </c>
      <c r="H1447" s="24">
        <v>345328.44</v>
      </c>
      <c r="I1447" s="12" t="s">
        <v>705</v>
      </c>
      <c r="J1447" s="6" t="s">
        <v>1348</v>
      </c>
      <c r="K1447" s="6">
        <f t="shared" si="67"/>
        <v>12</v>
      </c>
      <c r="L1447" s="6" t="str">
        <f t="shared" si="68"/>
        <v>DICIEMBRE</v>
      </c>
    </row>
    <row r="1448" spans="1:12" x14ac:dyDescent="0.25">
      <c r="A1448" s="5">
        <f t="shared" si="66"/>
        <v>2025</v>
      </c>
      <c r="B1448" s="18" t="s">
        <v>1309</v>
      </c>
      <c r="C1448" s="18" t="s">
        <v>595</v>
      </c>
      <c r="D1448" s="12">
        <v>6407</v>
      </c>
      <c r="E1448" s="17" t="s">
        <v>1338</v>
      </c>
      <c r="F1448" s="12" t="s">
        <v>1339</v>
      </c>
      <c r="G1448" s="14">
        <v>1</v>
      </c>
      <c r="H1448" s="24">
        <v>221591.2</v>
      </c>
      <c r="I1448" s="12" t="s">
        <v>705</v>
      </c>
      <c r="J1448" s="6" t="s">
        <v>1348</v>
      </c>
      <c r="K1448" s="6">
        <f t="shared" si="67"/>
        <v>12</v>
      </c>
      <c r="L1448" s="6" t="str">
        <f t="shared" si="68"/>
        <v>DICIEMBRE</v>
      </c>
    </row>
    <row r="1449" spans="1:12" x14ac:dyDescent="0.25">
      <c r="A1449" s="5">
        <f t="shared" si="66"/>
        <v>2025</v>
      </c>
      <c r="B1449" s="18" t="s">
        <v>1309</v>
      </c>
      <c r="C1449" s="18" t="s">
        <v>595</v>
      </c>
      <c r="D1449" s="12">
        <v>6407</v>
      </c>
      <c r="E1449" s="17" t="s">
        <v>1340</v>
      </c>
      <c r="F1449" s="12" t="s">
        <v>1341</v>
      </c>
      <c r="G1449" s="14">
        <v>1</v>
      </c>
      <c r="H1449" s="24">
        <v>31356.36</v>
      </c>
      <c r="I1449" s="12" t="s">
        <v>705</v>
      </c>
      <c r="J1449" s="6" t="s">
        <v>1348</v>
      </c>
      <c r="K1449" s="6">
        <f t="shared" si="67"/>
        <v>12</v>
      </c>
      <c r="L1449" s="6" t="str">
        <f t="shared" si="68"/>
        <v>DICIEMBRE</v>
      </c>
    </row>
    <row r="1450" spans="1:12" x14ac:dyDescent="0.25">
      <c r="A1450" s="5">
        <f t="shared" si="66"/>
        <v>2025</v>
      </c>
      <c r="B1450" s="18" t="s">
        <v>1309</v>
      </c>
      <c r="C1450" s="18" t="s">
        <v>595</v>
      </c>
      <c r="D1450" s="12">
        <v>6407</v>
      </c>
      <c r="E1450" s="17" t="s">
        <v>1342</v>
      </c>
      <c r="F1450" s="12" t="s">
        <v>1343</v>
      </c>
      <c r="G1450" s="14">
        <v>1</v>
      </c>
      <c r="H1450" s="24">
        <v>34170.639999999999</v>
      </c>
      <c r="I1450" s="12" t="s">
        <v>705</v>
      </c>
      <c r="J1450" s="6" t="s">
        <v>1348</v>
      </c>
      <c r="K1450" s="6">
        <f t="shared" si="67"/>
        <v>12</v>
      </c>
      <c r="L1450" s="6" t="str">
        <f t="shared" si="68"/>
        <v>DICIEMBRE</v>
      </c>
    </row>
    <row r="1451" spans="1:12" x14ac:dyDescent="0.25">
      <c r="A1451" s="5">
        <f t="shared" si="66"/>
        <v>2025</v>
      </c>
      <c r="B1451" s="18" t="s">
        <v>1309</v>
      </c>
      <c r="C1451" s="18" t="s">
        <v>595</v>
      </c>
      <c r="D1451" s="12">
        <v>6407</v>
      </c>
      <c r="E1451" s="17" t="s">
        <v>1344</v>
      </c>
      <c r="F1451" s="12" t="s">
        <v>1345</v>
      </c>
      <c r="G1451" s="14">
        <v>1</v>
      </c>
      <c r="H1451" s="24">
        <v>231155.52</v>
      </c>
      <c r="I1451" s="12" t="s">
        <v>705</v>
      </c>
      <c r="J1451" s="6" t="s">
        <v>1348</v>
      </c>
      <c r="K1451" s="6">
        <f t="shared" si="67"/>
        <v>12</v>
      </c>
      <c r="L1451" s="6" t="str">
        <f t="shared" si="68"/>
        <v>DICIEMBRE</v>
      </c>
    </row>
    <row r="1452" spans="1:12" x14ac:dyDescent="0.25">
      <c r="A1452" s="5">
        <f t="shared" si="66"/>
        <v>2025</v>
      </c>
      <c r="B1452" s="18" t="s">
        <v>1309</v>
      </c>
      <c r="C1452" s="18" t="s">
        <v>595</v>
      </c>
      <c r="D1452" s="12">
        <v>6407</v>
      </c>
      <c r="E1452" s="17" t="s">
        <v>1346</v>
      </c>
      <c r="F1452" s="12" t="s">
        <v>1347</v>
      </c>
      <c r="G1452" s="14">
        <v>1</v>
      </c>
      <c r="H1452" s="24">
        <v>271560.08</v>
      </c>
      <c r="I1452" s="12" t="s">
        <v>705</v>
      </c>
      <c r="J1452" s="6" t="s">
        <v>1348</v>
      </c>
      <c r="K1452" s="6">
        <f t="shared" si="67"/>
        <v>12</v>
      </c>
      <c r="L1452" s="6" t="str">
        <f t="shared" si="68"/>
        <v>DICIEMBRE</v>
      </c>
    </row>
    <row r="1453" spans="1:12" x14ac:dyDescent="0.25">
      <c r="A1453" s="5">
        <f t="shared" si="66"/>
        <v>2025</v>
      </c>
      <c r="B1453" s="18" t="s">
        <v>1428</v>
      </c>
      <c r="C1453" s="18" t="s">
        <v>595</v>
      </c>
      <c r="D1453" s="12">
        <v>6427</v>
      </c>
      <c r="E1453" s="17" t="s">
        <v>342</v>
      </c>
      <c r="F1453" s="12" t="s">
        <v>343</v>
      </c>
      <c r="G1453" s="14">
        <v>3</v>
      </c>
      <c r="H1453" s="24">
        <v>749325</v>
      </c>
      <c r="I1453" s="12" t="s">
        <v>546</v>
      </c>
      <c r="J1453" s="6" t="s">
        <v>610</v>
      </c>
      <c r="K1453" s="6">
        <f t="shared" si="67"/>
        <v>12</v>
      </c>
      <c r="L1453" s="6" t="str">
        <f t="shared" si="68"/>
        <v>DICIEMBRE</v>
      </c>
    </row>
    <row r="1454" spans="1:12" x14ac:dyDescent="0.25">
      <c r="A1454" s="5">
        <f t="shared" si="66"/>
        <v>2025</v>
      </c>
      <c r="B1454" s="18" t="s">
        <v>1428</v>
      </c>
      <c r="C1454" s="18" t="s">
        <v>595</v>
      </c>
      <c r="D1454" s="12">
        <v>6427</v>
      </c>
      <c r="E1454" s="17">
        <v>4300382</v>
      </c>
      <c r="F1454" s="12" t="s">
        <v>411</v>
      </c>
      <c r="G1454" s="14">
        <v>4</v>
      </c>
      <c r="H1454" s="24">
        <v>140000</v>
      </c>
      <c r="I1454" s="12" t="s">
        <v>546</v>
      </c>
      <c r="J1454" s="6" t="s">
        <v>610</v>
      </c>
      <c r="K1454" s="6">
        <f t="shared" si="67"/>
        <v>12</v>
      </c>
      <c r="L1454" s="6" t="str">
        <f t="shared" si="68"/>
        <v>DICIEMBRE</v>
      </c>
    </row>
    <row r="1455" spans="1:12" x14ac:dyDescent="0.25">
      <c r="A1455" s="5">
        <f t="shared" si="66"/>
        <v>2025</v>
      </c>
      <c r="B1455" s="18" t="s">
        <v>1428</v>
      </c>
      <c r="C1455" s="18" t="s">
        <v>595</v>
      </c>
      <c r="D1455" s="12">
        <v>6427</v>
      </c>
      <c r="E1455" s="17" t="s">
        <v>668</v>
      </c>
      <c r="F1455" s="12" t="s">
        <v>402</v>
      </c>
      <c r="G1455" s="14">
        <v>4</v>
      </c>
      <c r="H1455" s="24">
        <v>1240000</v>
      </c>
      <c r="I1455" s="12" t="s">
        <v>546</v>
      </c>
      <c r="J1455" s="6" t="s">
        <v>610</v>
      </c>
      <c r="K1455" s="6">
        <f t="shared" si="67"/>
        <v>12</v>
      </c>
      <c r="L1455" s="6" t="str">
        <f t="shared" si="68"/>
        <v>DICIEMBRE</v>
      </c>
    </row>
    <row r="1456" spans="1:12" x14ac:dyDescent="0.25">
      <c r="A1456" s="5">
        <f t="shared" si="66"/>
        <v>2025</v>
      </c>
      <c r="B1456" s="18" t="s">
        <v>1428</v>
      </c>
      <c r="C1456" s="18" t="s">
        <v>595</v>
      </c>
      <c r="D1456" s="12">
        <v>6427</v>
      </c>
      <c r="E1456" s="17" t="s">
        <v>936</v>
      </c>
      <c r="F1456" s="12" t="s">
        <v>937</v>
      </c>
      <c r="G1456" s="14">
        <v>3</v>
      </c>
      <c r="H1456" s="24">
        <v>180000</v>
      </c>
      <c r="I1456" s="12" t="s">
        <v>546</v>
      </c>
      <c r="J1456" s="6" t="s">
        <v>610</v>
      </c>
      <c r="K1456" s="6">
        <f t="shared" si="67"/>
        <v>12</v>
      </c>
      <c r="L1456" s="6" t="str">
        <f t="shared" si="68"/>
        <v>DICIEMBRE</v>
      </c>
    </row>
    <row r="1457" spans="1:12" x14ac:dyDescent="0.25">
      <c r="A1457" s="5">
        <f t="shared" si="66"/>
        <v>2025</v>
      </c>
      <c r="B1457" s="18" t="s">
        <v>1428</v>
      </c>
      <c r="C1457" s="18" t="s">
        <v>595</v>
      </c>
      <c r="D1457" s="12">
        <v>6427</v>
      </c>
      <c r="E1457" s="17" t="s">
        <v>377</v>
      </c>
      <c r="F1457" s="12" t="s">
        <v>378</v>
      </c>
      <c r="G1457" s="14">
        <v>4</v>
      </c>
      <c r="H1457" s="24">
        <v>1052000</v>
      </c>
      <c r="I1457" s="12" t="s">
        <v>546</v>
      </c>
      <c r="J1457" s="6" t="s">
        <v>610</v>
      </c>
      <c r="K1457" s="6">
        <f t="shared" si="67"/>
        <v>12</v>
      </c>
      <c r="L1457" s="6" t="str">
        <f t="shared" si="68"/>
        <v>DICIEMBRE</v>
      </c>
    </row>
    <row r="1458" spans="1:12" x14ac:dyDescent="0.25">
      <c r="A1458" s="5">
        <f t="shared" si="66"/>
        <v>2025</v>
      </c>
      <c r="B1458" s="18" t="s">
        <v>1428</v>
      </c>
      <c r="C1458" s="18" t="s">
        <v>595</v>
      </c>
      <c r="D1458" s="12">
        <v>6427</v>
      </c>
      <c r="E1458" s="17" t="s">
        <v>352</v>
      </c>
      <c r="F1458" s="12" t="s">
        <v>353</v>
      </c>
      <c r="G1458" s="14">
        <v>4</v>
      </c>
      <c r="H1458" s="24">
        <v>252000</v>
      </c>
      <c r="I1458" s="12" t="s">
        <v>546</v>
      </c>
      <c r="J1458" s="6" t="s">
        <v>610</v>
      </c>
      <c r="K1458" s="6">
        <f t="shared" si="67"/>
        <v>12</v>
      </c>
      <c r="L1458" s="6" t="str">
        <f t="shared" si="68"/>
        <v>DICIEMBRE</v>
      </c>
    </row>
    <row r="1459" spans="1:12" x14ac:dyDescent="0.25">
      <c r="A1459" s="5">
        <f t="shared" si="66"/>
        <v>2025</v>
      </c>
      <c r="B1459" s="18" t="s">
        <v>1428</v>
      </c>
      <c r="C1459" s="18" t="s">
        <v>595</v>
      </c>
      <c r="D1459" s="12">
        <v>6427</v>
      </c>
      <c r="E1459" s="17" t="s">
        <v>1091</v>
      </c>
      <c r="F1459" s="12" t="s">
        <v>203</v>
      </c>
      <c r="G1459" s="14">
        <v>8</v>
      </c>
      <c r="H1459" s="24">
        <v>784000</v>
      </c>
      <c r="I1459" s="12" t="s">
        <v>546</v>
      </c>
      <c r="J1459" s="6" t="s">
        <v>610</v>
      </c>
      <c r="K1459" s="6">
        <f t="shared" si="67"/>
        <v>12</v>
      </c>
      <c r="L1459" s="6" t="str">
        <f t="shared" si="68"/>
        <v>DICIEMBRE</v>
      </c>
    </row>
    <row r="1460" spans="1:12" x14ac:dyDescent="0.25">
      <c r="A1460" s="5">
        <f t="shared" si="66"/>
        <v>2025</v>
      </c>
      <c r="B1460" s="18" t="s">
        <v>1428</v>
      </c>
      <c r="C1460" s="18" t="s">
        <v>595</v>
      </c>
      <c r="D1460" s="12">
        <v>6427</v>
      </c>
      <c r="E1460" s="17" t="s">
        <v>293</v>
      </c>
      <c r="F1460" s="12" t="s">
        <v>294</v>
      </c>
      <c r="G1460" s="14">
        <v>4</v>
      </c>
      <c r="H1460" s="24">
        <v>1939072</v>
      </c>
      <c r="I1460" s="12" t="s">
        <v>546</v>
      </c>
      <c r="J1460" s="6" t="s">
        <v>610</v>
      </c>
      <c r="K1460" s="6">
        <f t="shared" si="67"/>
        <v>12</v>
      </c>
      <c r="L1460" s="6" t="str">
        <f t="shared" si="68"/>
        <v>DICIEMBRE</v>
      </c>
    </row>
    <row r="1461" spans="1:12" x14ac:dyDescent="0.25">
      <c r="A1461" s="5">
        <f t="shared" ref="A1461:A1470" si="69">+YEAR(B1461)</f>
        <v>2025</v>
      </c>
      <c r="B1461" s="18" t="s">
        <v>1428</v>
      </c>
      <c r="C1461" s="18" t="s">
        <v>595</v>
      </c>
      <c r="D1461" s="12">
        <v>6427</v>
      </c>
      <c r="E1461" s="17" t="s">
        <v>463</v>
      </c>
      <c r="F1461" s="12" t="s">
        <v>464</v>
      </c>
      <c r="G1461" s="14">
        <v>4</v>
      </c>
      <c r="H1461" s="24">
        <v>1380000</v>
      </c>
      <c r="I1461" s="12" t="s">
        <v>546</v>
      </c>
      <c r="J1461" s="6" t="s">
        <v>610</v>
      </c>
      <c r="K1461" s="6">
        <f t="shared" ref="K1461:K1470" si="70">+MONTH(B1461)</f>
        <v>12</v>
      </c>
      <c r="L1461" s="6" t="str">
        <f t="shared" si="68"/>
        <v>DICIEMBRE</v>
      </c>
    </row>
    <row r="1462" spans="1:12" x14ac:dyDescent="0.25">
      <c r="A1462" s="5">
        <f t="shared" si="69"/>
        <v>2025</v>
      </c>
      <c r="B1462" s="18" t="s">
        <v>1428</v>
      </c>
      <c r="C1462" s="18" t="s">
        <v>595</v>
      </c>
      <c r="D1462" s="12">
        <v>6427</v>
      </c>
      <c r="E1462" s="17">
        <v>4300912</v>
      </c>
      <c r="F1462" s="12" t="s">
        <v>528</v>
      </c>
      <c r="G1462" s="14">
        <v>1</v>
      </c>
      <c r="H1462" s="24">
        <v>117600</v>
      </c>
      <c r="I1462" s="12" t="s">
        <v>546</v>
      </c>
      <c r="J1462" s="6" t="s">
        <v>610</v>
      </c>
      <c r="K1462" s="6">
        <f t="shared" si="70"/>
        <v>12</v>
      </c>
      <c r="L1462" s="6" t="str">
        <f t="shared" si="68"/>
        <v>DICIEMBRE</v>
      </c>
    </row>
    <row r="1463" spans="1:12" x14ac:dyDescent="0.25">
      <c r="A1463" s="5">
        <f t="shared" si="69"/>
        <v>2025</v>
      </c>
      <c r="B1463" s="18" t="s">
        <v>1428</v>
      </c>
      <c r="C1463" s="18" t="s">
        <v>595</v>
      </c>
      <c r="D1463" s="12">
        <v>6427</v>
      </c>
      <c r="E1463" s="17" t="s">
        <v>235</v>
      </c>
      <c r="F1463" s="12" t="s">
        <v>236</v>
      </c>
      <c r="G1463" s="14">
        <v>1</v>
      </c>
      <c r="H1463" s="24">
        <v>1243782</v>
      </c>
      <c r="I1463" s="12" t="s">
        <v>546</v>
      </c>
      <c r="J1463" s="6" t="s">
        <v>610</v>
      </c>
      <c r="K1463" s="6">
        <f t="shared" si="70"/>
        <v>12</v>
      </c>
      <c r="L1463" s="6" t="str">
        <f t="shared" si="68"/>
        <v>DICIEMBRE</v>
      </c>
    </row>
    <row r="1464" spans="1:12" x14ac:dyDescent="0.25">
      <c r="A1464" s="5">
        <f t="shared" si="69"/>
        <v>2025</v>
      </c>
      <c r="B1464" s="18" t="s">
        <v>1079</v>
      </c>
      <c r="C1464" s="18" t="s">
        <v>595</v>
      </c>
      <c r="D1464" s="12">
        <v>6142</v>
      </c>
      <c r="E1464" s="17">
        <v>23518355</v>
      </c>
      <c r="F1464" s="12" t="s">
        <v>729</v>
      </c>
      <c r="G1464" s="14">
        <v>1</v>
      </c>
      <c r="H1464" s="24">
        <v>291000</v>
      </c>
      <c r="I1464" s="12" t="s">
        <v>712</v>
      </c>
      <c r="J1464" s="6" t="s">
        <v>608</v>
      </c>
      <c r="K1464" s="6">
        <f t="shared" si="70"/>
        <v>7</v>
      </c>
      <c r="L1464" s="6" t="str">
        <f t="shared" si="68"/>
        <v>JULIO</v>
      </c>
    </row>
    <row r="1465" spans="1:12" x14ac:dyDescent="0.25">
      <c r="A1465" s="5">
        <f t="shared" si="69"/>
        <v>2025</v>
      </c>
      <c r="B1465" s="18" t="s">
        <v>1079</v>
      </c>
      <c r="C1465" s="18" t="s">
        <v>595</v>
      </c>
      <c r="D1465" s="12">
        <v>6142</v>
      </c>
      <c r="E1465" s="17" t="s">
        <v>1016</v>
      </c>
      <c r="F1465" s="12" t="s">
        <v>1017</v>
      </c>
      <c r="G1465" s="14">
        <v>1</v>
      </c>
      <c r="H1465" s="24">
        <v>500000</v>
      </c>
      <c r="I1465" s="12" t="s">
        <v>712</v>
      </c>
      <c r="J1465" s="6" t="s">
        <v>608</v>
      </c>
      <c r="K1465" s="6">
        <f t="shared" si="70"/>
        <v>7</v>
      </c>
      <c r="L1465" s="6" t="str">
        <f t="shared" si="68"/>
        <v>JULIO</v>
      </c>
    </row>
    <row r="1466" spans="1:12" x14ac:dyDescent="0.25">
      <c r="A1466" s="5">
        <f t="shared" si="69"/>
        <v>2025</v>
      </c>
      <c r="B1466" s="18" t="s">
        <v>1103</v>
      </c>
      <c r="C1466" s="18" t="s">
        <v>595</v>
      </c>
      <c r="D1466" s="12">
        <v>6176</v>
      </c>
      <c r="E1466" s="17">
        <v>4301851</v>
      </c>
      <c r="F1466" s="12" t="s">
        <v>185</v>
      </c>
      <c r="G1466" s="14">
        <v>1</v>
      </c>
      <c r="H1466" s="24">
        <v>105000</v>
      </c>
      <c r="I1466" s="12" t="s">
        <v>712</v>
      </c>
      <c r="J1466" s="6" t="s">
        <v>608</v>
      </c>
      <c r="K1466" s="6">
        <f t="shared" si="70"/>
        <v>7</v>
      </c>
      <c r="L1466" s="6" t="str">
        <f t="shared" si="68"/>
        <v>JULIO</v>
      </c>
    </row>
    <row r="1467" spans="1:12" x14ac:dyDescent="0.25">
      <c r="A1467" s="5">
        <f t="shared" si="69"/>
        <v>2025</v>
      </c>
      <c r="B1467" s="18" t="s">
        <v>1007</v>
      </c>
      <c r="C1467" s="18" t="s">
        <v>595</v>
      </c>
      <c r="D1467" s="12">
        <v>6049</v>
      </c>
      <c r="E1467" s="17">
        <v>4300902</v>
      </c>
      <c r="F1467" s="12" t="s">
        <v>978</v>
      </c>
      <c r="G1467" s="14">
        <v>1</v>
      </c>
      <c r="H1467" s="24">
        <v>300000</v>
      </c>
      <c r="I1467" s="12" t="s">
        <v>712</v>
      </c>
      <c r="J1467" s="6" t="s">
        <v>608</v>
      </c>
      <c r="K1467" s="6">
        <f t="shared" si="70"/>
        <v>5</v>
      </c>
      <c r="L1467" s="6" t="str">
        <f t="shared" si="68"/>
        <v>MAYO</v>
      </c>
    </row>
    <row r="1468" spans="1:12" x14ac:dyDescent="0.25">
      <c r="A1468" s="5">
        <f t="shared" si="69"/>
        <v>2025</v>
      </c>
      <c r="B1468" s="18" t="s">
        <v>1080</v>
      </c>
      <c r="C1468" s="18" t="s">
        <v>595</v>
      </c>
      <c r="D1468" s="12">
        <v>6147</v>
      </c>
      <c r="E1468" s="17" t="s">
        <v>41</v>
      </c>
      <c r="F1468" s="12" t="s">
        <v>42</v>
      </c>
      <c r="G1468" s="14">
        <v>2</v>
      </c>
      <c r="H1468" s="24">
        <v>56000</v>
      </c>
      <c r="I1468" s="12" t="s">
        <v>712</v>
      </c>
      <c r="J1468" s="6" t="s">
        <v>608</v>
      </c>
      <c r="K1468" s="6">
        <f t="shared" si="70"/>
        <v>7</v>
      </c>
      <c r="L1468" s="6" t="str">
        <f t="shared" si="68"/>
        <v>JULIO</v>
      </c>
    </row>
    <row r="1469" spans="1:12" x14ac:dyDescent="0.25">
      <c r="A1469" s="5">
        <f t="shared" si="69"/>
        <v>2025</v>
      </c>
      <c r="B1469" s="18" t="s">
        <v>1080</v>
      </c>
      <c r="C1469" s="18" t="s">
        <v>595</v>
      </c>
      <c r="D1469" s="12">
        <v>6147</v>
      </c>
      <c r="E1469" s="17" t="s">
        <v>114</v>
      </c>
      <c r="F1469" s="12" t="s">
        <v>115</v>
      </c>
      <c r="G1469" s="14">
        <v>1</v>
      </c>
      <c r="H1469" s="24">
        <v>148635</v>
      </c>
      <c r="I1469" s="12" t="s">
        <v>712</v>
      </c>
      <c r="J1469" s="6" t="s">
        <v>608</v>
      </c>
      <c r="K1469" s="6">
        <f t="shared" si="70"/>
        <v>7</v>
      </c>
      <c r="L1469" s="6" t="str">
        <f t="shared" si="68"/>
        <v>JULIO</v>
      </c>
    </row>
    <row r="1470" spans="1:12" x14ac:dyDescent="0.25">
      <c r="A1470" s="5">
        <f t="shared" si="69"/>
        <v>2025</v>
      </c>
      <c r="B1470" s="18" t="s">
        <v>1080</v>
      </c>
      <c r="C1470" s="18" t="s">
        <v>595</v>
      </c>
      <c r="D1470" s="12">
        <v>6147</v>
      </c>
      <c r="E1470" s="17" t="s">
        <v>432</v>
      </c>
      <c r="F1470" s="12" t="s">
        <v>433</v>
      </c>
      <c r="G1470" s="14">
        <v>1</v>
      </c>
      <c r="H1470" s="24">
        <v>55000</v>
      </c>
      <c r="I1470" s="12" t="s">
        <v>712</v>
      </c>
      <c r="J1470" s="6" t="s">
        <v>608</v>
      </c>
      <c r="K1470" s="6">
        <f t="shared" si="70"/>
        <v>7</v>
      </c>
      <c r="L1470" s="6" t="str">
        <f t="shared" si="68"/>
        <v>JULIO</v>
      </c>
    </row>
    <row r="1471" spans="1:12" x14ac:dyDescent="0.25">
      <c r="A1471" s="5">
        <f t="shared" ref="A1471:A1517" si="71">+YEAR(B1471)</f>
        <v>2026</v>
      </c>
      <c r="B1471" s="18" t="s">
        <v>1426</v>
      </c>
      <c r="C1471" s="18" t="s">
        <v>595</v>
      </c>
      <c r="D1471" s="12">
        <v>6434</v>
      </c>
      <c r="E1471" s="17" t="s">
        <v>600</v>
      </c>
      <c r="F1471" s="12" t="s">
        <v>604</v>
      </c>
      <c r="G1471" s="14">
        <v>4</v>
      </c>
      <c r="H1471" s="24">
        <v>304464</v>
      </c>
      <c r="I1471" s="12" t="s">
        <v>634</v>
      </c>
      <c r="J1471" s="6" t="s">
        <v>614</v>
      </c>
      <c r="K1471" s="6">
        <f t="shared" ref="K1471:K1517" si="72">+MONTH(B1471)</f>
        <v>1</v>
      </c>
      <c r="L1471" s="6" t="str">
        <f t="shared" si="68"/>
        <v>ENERO</v>
      </c>
    </row>
    <row r="1472" spans="1:12" x14ac:dyDescent="0.25">
      <c r="A1472" s="5">
        <f t="shared" si="71"/>
        <v>2026</v>
      </c>
      <c r="B1472" s="18" t="s">
        <v>1426</v>
      </c>
      <c r="C1472" s="18" t="s">
        <v>595</v>
      </c>
      <c r="D1472" s="12">
        <v>6434</v>
      </c>
      <c r="E1472" s="17" t="s">
        <v>586</v>
      </c>
      <c r="F1472" s="12" t="s">
        <v>587</v>
      </c>
      <c r="G1472" s="14">
        <v>2</v>
      </c>
      <c r="H1472" s="24">
        <v>152232</v>
      </c>
      <c r="I1472" s="12" t="s">
        <v>634</v>
      </c>
      <c r="J1472" s="6" t="s">
        <v>614</v>
      </c>
      <c r="K1472" s="6">
        <f t="shared" si="72"/>
        <v>1</v>
      </c>
      <c r="L1472" s="6" t="str">
        <f t="shared" si="68"/>
        <v>ENERO</v>
      </c>
    </row>
    <row r="1473" spans="1:12" x14ac:dyDescent="0.25">
      <c r="A1473" s="5">
        <f t="shared" si="71"/>
        <v>2026</v>
      </c>
      <c r="B1473" s="18" t="s">
        <v>1457</v>
      </c>
      <c r="C1473" s="18" t="s">
        <v>595</v>
      </c>
      <c r="D1473" s="12">
        <v>6438</v>
      </c>
      <c r="E1473" s="17" t="s">
        <v>521</v>
      </c>
      <c r="F1473" s="12" t="s">
        <v>522</v>
      </c>
      <c r="G1473" s="14">
        <v>4</v>
      </c>
      <c r="H1473" s="24">
        <v>164000</v>
      </c>
      <c r="I1473" s="12" t="s">
        <v>712</v>
      </c>
      <c r="J1473" s="6" t="s">
        <v>608</v>
      </c>
      <c r="K1473" s="6">
        <f t="shared" si="72"/>
        <v>1</v>
      </c>
      <c r="L1473" s="6" t="str">
        <f t="shared" si="68"/>
        <v>ENERO</v>
      </c>
    </row>
    <row r="1474" spans="1:12" x14ac:dyDescent="0.25">
      <c r="A1474" s="5">
        <f t="shared" si="71"/>
        <v>2026</v>
      </c>
      <c r="B1474" s="18" t="s">
        <v>1457</v>
      </c>
      <c r="C1474" s="18" t="s">
        <v>595</v>
      </c>
      <c r="D1474" s="12">
        <v>6438</v>
      </c>
      <c r="E1474" s="17" t="s">
        <v>715</v>
      </c>
      <c r="F1474" s="12" t="s">
        <v>721</v>
      </c>
      <c r="G1474" s="14">
        <v>1</v>
      </c>
      <c r="H1474" s="24">
        <v>384000</v>
      </c>
      <c r="I1474" s="12" t="s">
        <v>712</v>
      </c>
      <c r="J1474" s="6" t="s">
        <v>608</v>
      </c>
      <c r="K1474" s="6">
        <f t="shared" si="72"/>
        <v>1</v>
      </c>
      <c r="L1474" s="6" t="str">
        <f t="shared" si="68"/>
        <v>ENERO</v>
      </c>
    </row>
    <row r="1475" spans="1:12" x14ac:dyDescent="0.25">
      <c r="A1475" s="5">
        <f t="shared" si="71"/>
        <v>2026</v>
      </c>
      <c r="B1475" s="18" t="s">
        <v>1457</v>
      </c>
      <c r="C1475" s="18" t="s">
        <v>595</v>
      </c>
      <c r="D1475" s="12">
        <v>6438</v>
      </c>
      <c r="E1475" s="17" t="s">
        <v>517</v>
      </c>
      <c r="F1475" s="12" t="s">
        <v>518</v>
      </c>
      <c r="G1475" s="14">
        <v>1</v>
      </c>
      <c r="H1475" s="24">
        <v>407000</v>
      </c>
      <c r="I1475" s="12" t="s">
        <v>712</v>
      </c>
      <c r="J1475" s="6" t="s">
        <v>608</v>
      </c>
      <c r="K1475" s="6">
        <f t="shared" si="72"/>
        <v>1</v>
      </c>
      <c r="L1475" s="6" t="str">
        <f t="shared" ref="L1475:L1538" si="73">VLOOKUP(K1475,N:O,2,0)</f>
        <v>ENERO</v>
      </c>
    </row>
    <row r="1476" spans="1:12" x14ac:dyDescent="0.25">
      <c r="A1476" s="5">
        <f t="shared" si="71"/>
        <v>2026</v>
      </c>
      <c r="B1476" s="18" t="s">
        <v>1457</v>
      </c>
      <c r="C1476" s="18" t="s">
        <v>595</v>
      </c>
      <c r="D1476" s="12">
        <v>6438</v>
      </c>
      <c r="E1476" s="17">
        <v>7400750005</v>
      </c>
      <c r="F1476" s="12" t="s">
        <v>1039</v>
      </c>
      <c r="G1476" s="14">
        <v>1</v>
      </c>
      <c r="H1476" s="24">
        <v>95000</v>
      </c>
      <c r="I1476" s="12" t="s">
        <v>712</v>
      </c>
      <c r="J1476" s="6" t="s">
        <v>608</v>
      </c>
      <c r="K1476" s="6">
        <f t="shared" si="72"/>
        <v>1</v>
      </c>
      <c r="L1476" s="6" t="str">
        <f t="shared" si="73"/>
        <v>ENERO</v>
      </c>
    </row>
    <row r="1477" spans="1:12" x14ac:dyDescent="0.25">
      <c r="A1477" s="5">
        <f t="shared" si="71"/>
        <v>2026</v>
      </c>
      <c r="B1477" s="18" t="s">
        <v>1457</v>
      </c>
      <c r="C1477" s="18" t="s">
        <v>595</v>
      </c>
      <c r="D1477" s="12">
        <v>6438</v>
      </c>
      <c r="E1477" s="17" t="s">
        <v>423</v>
      </c>
      <c r="F1477" s="12" t="s">
        <v>424</v>
      </c>
      <c r="G1477" s="14">
        <v>2</v>
      </c>
      <c r="H1477" s="24">
        <v>164000</v>
      </c>
      <c r="I1477" s="12" t="s">
        <v>712</v>
      </c>
      <c r="J1477" s="6" t="s">
        <v>608</v>
      </c>
      <c r="K1477" s="6">
        <f t="shared" si="72"/>
        <v>1</v>
      </c>
      <c r="L1477" s="6" t="str">
        <f t="shared" si="73"/>
        <v>ENERO</v>
      </c>
    </row>
    <row r="1478" spans="1:12" x14ac:dyDescent="0.25">
      <c r="A1478" s="5">
        <f t="shared" si="71"/>
        <v>2026</v>
      </c>
      <c r="B1478" s="18" t="s">
        <v>1457</v>
      </c>
      <c r="C1478" s="18" t="s">
        <v>595</v>
      </c>
      <c r="D1478" s="12">
        <v>6438</v>
      </c>
      <c r="E1478" s="17" t="s">
        <v>484</v>
      </c>
      <c r="F1478" s="12" t="s">
        <v>485</v>
      </c>
      <c r="G1478" s="14">
        <v>1</v>
      </c>
      <c r="H1478" s="24">
        <v>30000</v>
      </c>
      <c r="I1478" s="12" t="s">
        <v>712</v>
      </c>
      <c r="J1478" s="6" t="s">
        <v>608</v>
      </c>
      <c r="K1478" s="6">
        <f t="shared" si="72"/>
        <v>1</v>
      </c>
      <c r="L1478" s="6" t="str">
        <f t="shared" si="73"/>
        <v>ENERO</v>
      </c>
    </row>
    <row r="1479" spans="1:12" x14ac:dyDescent="0.25">
      <c r="A1479" s="5">
        <f t="shared" si="71"/>
        <v>2026</v>
      </c>
      <c r="B1479" s="18" t="s">
        <v>1457</v>
      </c>
      <c r="C1479" s="18" t="s">
        <v>595</v>
      </c>
      <c r="D1479" s="12">
        <v>6438</v>
      </c>
      <c r="E1479" s="17" t="s">
        <v>1251</v>
      </c>
      <c r="F1479" s="12" t="s">
        <v>1252</v>
      </c>
      <c r="G1479" s="14">
        <v>1</v>
      </c>
      <c r="H1479" s="24">
        <v>350000</v>
      </c>
      <c r="I1479" s="12" t="s">
        <v>712</v>
      </c>
      <c r="J1479" s="6" t="s">
        <v>608</v>
      </c>
      <c r="K1479" s="6">
        <f t="shared" si="72"/>
        <v>1</v>
      </c>
      <c r="L1479" s="6" t="str">
        <f t="shared" si="73"/>
        <v>ENERO</v>
      </c>
    </row>
    <row r="1480" spans="1:12" x14ac:dyDescent="0.25">
      <c r="A1480" s="5">
        <f t="shared" si="71"/>
        <v>2026</v>
      </c>
      <c r="B1480" s="18" t="s">
        <v>1457</v>
      </c>
      <c r="C1480" s="18" t="s">
        <v>595</v>
      </c>
      <c r="D1480" s="12">
        <v>6438</v>
      </c>
      <c r="E1480" s="17" t="s">
        <v>427</v>
      </c>
      <c r="F1480" s="12" t="s">
        <v>428</v>
      </c>
      <c r="G1480" s="14">
        <v>1</v>
      </c>
      <c r="H1480" s="24">
        <v>56000</v>
      </c>
      <c r="I1480" s="12" t="s">
        <v>712</v>
      </c>
      <c r="J1480" s="6" t="s">
        <v>608</v>
      </c>
      <c r="K1480" s="6">
        <f t="shared" si="72"/>
        <v>1</v>
      </c>
      <c r="L1480" s="6" t="str">
        <f t="shared" si="73"/>
        <v>ENERO</v>
      </c>
    </row>
    <row r="1481" spans="1:12" x14ac:dyDescent="0.25">
      <c r="A1481" s="5">
        <f t="shared" si="71"/>
        <v>2026</v>
      </c>
      <c r="B1481" s="18" t="s">
        <v>1457</v>
      </c>
      <c r="C1481" s="18" t="s">
        <v>595</v>
      </c>
      <c r="D1481" s="12">
        <v>6438</v>
      </c>
      <c r="E1481" s="17">
        <v>995550</v>
      </c>
      <c r="F1481" s="12" t="s">
        <v>629</v>
      </c>
      <c r="G1481" s="14">
        <v>1</v>
      </c>
      <c r="H1481" s="24">
        <v>708000</v>
      </c>
      <c r="I1481" s="12" t="s">
        <v>712</v>
      </c>
      <c r="J1481" s="6" t="s">
        <v>608</v>
      </c>
      <c r="K1481" s="6">
        <f t="shared" si="72"/>
        <v>1</v>
      </c>
      <c r="L1481" s="6" t="str">
        <f t="shared" si="73"/>
        <v>ENERO</v>
      </c>
    </row>
    <row r="1482" spans="1:12" x14ac:dyDescent="0.25">
      <c r="A1482" s="5">
        <f t="shared" si="71"/>
        <v>2026</v>
      </c>
      <c r="B1482" s="18" t="s">
        <v>1457</v>
      </c>
      <c r="C1482" s="18" t="s">
        <v>595</v>
      </c>
      <c r="D1482" s="12">
        <v>6438</v>
      </c>
      <c r="E1482" s="17">
        <v>994346</v>
      </c>
      <c r="F1482" s="12" t="s">
        <v>408</v>
      </c>
      <c r="G1482" s="14">
        <v>1</v>
      </c>
      <c r="H1482" s="24">
        <v>475000</v>
      </c>
      <c r="I1482" s="12" t="s">
        <v>712</v>
      </c>
      <c r="J1482" s="6" t="s">
        <v>608</v>
      </c>
      <c r="K1482" s="6">
        <f t="shared" si="72"/>
        <v>1</v>
      </c>
      <c r="L1482" s="6" t="str">
        <f t="shared" si="73"/>
        <v>ENERO</v>
      </c>
    </row>
    <row r="1483" spans="1:12" x14ac:dyDescent="0.25">
      <c r="A1483" s="5">
        <f t="shared" si="71"/>
        <v>2026</v>
      </c>
      <c r="B1483" s="18" t="s">
        <v>1457</v>
      </c>
      <c r="C1483" s="18" t="s">
        <v>595</v>
      </c>
      <c r="D1483" s="12">
        <v>6438</v>
      </c>
      <c r="E1483" s="17">
        <v>994305</v>
      </c>
      <c r="F1483" s="12" t="s">
        <v>172</v>
      </c>
      <c r="G1483" s="14">
        <v>1</v>
      </c>
      <c r="H1483" s="24">
        <v>1720000</v>
      </c>
      <c r="I1483" s="12" t="s">
        <v>712</v>
      </c>
      <c r="J1483" s="6" t="s">
        <v>608</v>
      </c>
      <c r="K1483" s="6">
        <f t="shared" si="72"/>
        <v>1</v>
      </c>
      <c r="L1483" s="6" t="str">
        <f t="shared" si="73"/>
        <v>ENERO</v>
      </c>
    </row>
    <row r="1484" spans="1:12" x14ac:dyDescent="0.25">
      <c r="A1484" s="5">
        <f t="shared" si="71"/>
        <v>2026</v>
      </c>
      <c r="B1484" s="18" t="s">
        <v>1457</v>
      </c>
      <c r="C1484" s="18" t="s">
        <v>595</v>
      </c>
      <c r="D1484" s="12">
        <v>6438</v>
      </c>
      <c r="E1484" s="17" t="s">
        <v>392</v>
      </c>
      <c r="F1484" s="12" t="s">
        <v>393</v>
      </c>
      <c r="G1484" s="14">
        <v>1</v>
      </c>
      <c r="H1484" s="24">
        <v>61000</v>
      </c>
      <c r="I1484" s="12" t="s">
        <v>712</v>
      </c>
      <c r="J1484" s="6" t="s">
        <v>608</v>
      </c>
      <c r="K1484" s="6">
        <f t="shared" si="72"/>
        <v>1</v>
      </c>
      <c r="L1484" s="6" t="str">
        <f t="shared" si="73"/>
        <v>ENERO</v>
      </c>
    </row>
    <row r="1485" spans="1:12" x14ac:dyDescent="0.25">
      <c r="A1485" s="5">
        <f t="shared" si="71"/>
        <v>2026</v>
      </c>
      <c r="B1485" s="18" t="s">
        <v>1457</v>
      </c>
      <c r="C1485" s="18" t="s">
        <v>595</v>
      </c>
      <c r="D1485" s="12">
        <v>6438</v>
      </c>
      <c r="E1485" s="17">
        <v>8017</v>
      </c>
      <c r="F1485" s="12" t="s">
        <v>391</v>
      </c>
      <c r="G1485" s="14">
        <v>1</v>
      </c>
      <c r="H1485" s="24">
        <v>18000</v>
      </c>
      <c r="I1485" s="12" t="s">
        <v>712</v>
      </c>
      <c r="J1485" s="6" t="s">
        <v>608</v>
      </c>
      <c r="K1485" s="6">
        <f t="shared" si="72"/>
        <v>1</v>
      </c>
      <c r="L1485" s="6" t="str">
        <f t="shared" si="73"/>
        <v>ENERO</v>
      </c>
    </row>
    <row r="1486" spans="1:12" x14ac:dyDescent="0.25">
      <c r="A1486" s="5">
        <f t="shared" si="71"/>
        <v>2026</v>
      </c>
      <c r="B1486" s="18" t="s">
        <v>1457</v>
      </c>
      <c r="C1486" s="18" t="s">
        <v>595</v>
      </c>
      <c r="D1486" s="12">
        <v>6438</v>
      </c>
      <c r="E1486" s="17" t="s">
        <v>476</v>
      </c>
      <c r="F1486" s="12" t="s">
        <v>477</v>
      </c>
      <c r="G1486" s="14">
        <v>1</v>
      </c>
      <c r="H1486" s="24">
        <v>483000</v>
      </c>
      <c r="I1486" s="12" t="s">
        <v>712</v>
      </c>
      <c r="J1486" s="6" t="s">
        <v>608</v>
      </c>
      <c r="K1486" s="6">
        <f t="shared" si="72"/>
        <v>1</v>
      </c>
      <c r="L1486" s="6" t="str">
        <f t="shared" si="73"/>
        <v>ENERO</v>
      </c>
    </row>
    <row r="1487" spans="1:12" x14ac:dyDescent="0.25">
      <c r="A1487" s="5">
        <f t="shared" si="71"/>
        <v>2026</v>
      </c>
      <c r="B1487" s="18" t="s">
        <v>1457</v>
      </c>
      <c r="C1487" s="18" t="s">
        <v>595</v>
      </c>
      <c r="D1487" s="12">
        <v>6438</v>
      </c>
      <c r="E1487" s="17">
        <v>9373</v>
      </c>
      <c r="F1487" s="12" t="s">
        <v>128</v>
      </c>
      <c r="G1487" s="14">
        <v>1</v>
      </c>
      <c r="H1487" s="24">
        <v>460000</v>
      </c>
      <c r="I1487" s="12" t="s">
        <v>712</v>
      </c>
      <c r="J1487" s="6" t="s">
        <v>608</v>
      </c>
      <c r="K1487" s="6">
        <f t="shared" si="72"/>
        <v>1</v>
      </c>
      <c r="L1487" s="6" t="str">
        <f t="shared" si="73"/>
        <v>ENERO</v>
      </c>
    </row>
    <row r="1488" spans="1:12" x14ac:dyDescent="0.25">
      <c r="A1488" s="5">
        <f t="shared" si="71"/>
        <v>2026</v>
      </c>
      <c r="B1488" s="18" t="s">
        <v>1457</v>
      </c>
      <c r="C1488" s="18" t="s">
        <v>595</v>
      </c>
      <c r="D1488" s="12">
        <v>6438</v>
      </c>
      <c r="E1488" s="17" t="s">
        <v>1300</v>
      </c>
      <c r="F1488" s="12" t="s">
        <v>1301</v>
      </c>
      <c r="G1488" s="14">
        <v>1</v>
      </c>
      <c r="H1488" s="24">
        <v>98000</v>
      </c>
      <c r="I1488" s="12" t="s">
        <v>712</v>
      </c>
      <c r="J1488" s="6" t="s">
        <v>608</v>
      </c>
      <c r="K1488" s="6">
        <f t="shared" si="72"/>
        <v>1</v>
      </c>
      <c r="L1488" s="6" t="str">
        <f t="shared" si="73"/>
        <v>ENERO</v>
      </c>
    </row>
    <row r="1489" spans="1:12" x14ac:dyDescent="0.25">
      <c r="A1489" s="5">
        <f t="shared" si="71"/>
        <v>2026</v>
      </c>
      <c r="B1489" s="18" t="s">
        <v>1457</v>
      </c>
      <c r="C1489" s="18" t="s">
        <v>595</v>
      </c>
      <c r="D1489" s="12">
        <v>6438</v>
      </c>
      <c r="E1489" s="17" t="s">
        <v>389</v>
      </c>
      <c r="F1489" s="12" t="s">
        <v>390</v>
      </c>
      <c r="G1489" s="14">
        <v>1</v>
      </c>
      <c r="H1489" s="24">
        <v>30000</v>
      </c>
      <c r="I1489" s="12" t="s">
        <v>712</v>
      </c>
      <c r="J1489" s="6" t="s">
        <v>608</v>
      </c>
      <c r="K1489" s="6">
        <f t="shared" si="72"/>
        <v>1</v>
      </c>
      <c r="L1489" s="6" t="str">
        <f t="shared" si="73"/>
        <v>ENERO</v>
      </c>
    </row>
    <row r="1490" spans="1:12" x14ac:dyDescent="0.25">
      <c r="A1490" s="5">
        <f t="shared" si="71"/>
        <v>2026</v>
      </c>
      <c r="B1490" s="18" t="s">
        <v>1457</v>
      </c>
      <c r="C1490" s="18" t="s">
        <v>595</v>
      </c>
      <c r="D1490" s="12">
        <v>6438</v>
      </c>
      <c r="E1490" s="17" t="s">
        <v>319</v>
      </c>
      <c r="F1490" s="12" t="s">
        <v>320</v>
      </c>
      <c r="G1490" s="14">
        <v>1</v>
      </c>
      <c r="H1490" s="24">
        <v>530000</v>
      </c>
      <c r="I1490" s="12" t="s">
        <v>712</v>
      </c>
      <c r="J1490" s="6" t="s">
        <v>608</v>
      </c>
      <c r="K1490" s="6">
        <f t="shared" si="72"/>
        <v>1</v>
      </c>
      <c r="L1490" s="6" t="str">
        <f t="shared" si="73"/>
        <v>ENERO</v>
      </c>
    </row>
    <row r="1491" spans="1:12" x14ac:dyDescent="0.25">
      <c r="A1491" s="5">
        <f t="shared" si="71"/>
        <v>2026</v>
      </c>
      <c r="B1491" s="18" t="s">
        <v>1457</v>
      </c>
      <c r="C1491" s="18" t="s">
        <v>595</v>
      </c>
      <c r="D1491" s="12">
        <v>6438</v>
      </c>
      <c r="E1491" s="17" t="s">
        <v>156</v>
      </c>
      <c r="F1491" s="12" t="s">
        <v>157</v>
      </c>
      <c r="G1491" s="14">
        <v>1</v>
      </c>
      <c r="H1491" s="24">
        <v>460000</v>
      </c>
      <c r="I1491" s="12" t="s">
        <v>712</v>
      </c>
      <c r="J1491" s="6" t="s">
        <v>608</v>
      </c>
      <c r="K1491" s="6">
        <f t="shared" si="72"/>
        <v>1</v>
      </c>
      <c r="L1491" s="6" t="str">
        <f t="shared" si="73"/>
        <v>ENERO</v>
      </c>
    </row>
    <row r="1492" spans="1:12" x14ac:dyDescent="0.25">
      <c r="A1492" s="5">
        <f t="shared" si="71"/>
        <v>2026</v>
      </c>
      <c r="B1492" s="18" t="s">
        <v>1457</v>
      </c>
      <c r="C1492" s="18" t="s">
        <v>595</v>
      </c>
      <c r="D1492" s="12">
        <v>6438</v>
      </c>
      <c r="E1492" s="17" t="s">
        <v>984</v>
      </c>
      <c r="F1492" s="12" t="s">
        <v>985</v>
      </c>
      <c r="G1492" s="14">
        <v>1</v>
      </c>
      <c r="H1492" s="24">
        <v>98000</v>
      </c>
      <c r="I1492" s="12" t="s">
        <v>712</v>
      </c>
      <c r="J1492" s="6" t="s">
        <v>608</v>
      </c>
      <c r="K1492" s="6">
        <f t="shared" si="72"/>
        <v>1</v>
      </c>
      <c r="L1492" s="6" t="str">
        <f t="shared" si="73"/>
        <v>ENERO</v>
      </c>
    </row>
    <row r="1493" spans="1:12" x14ac:dyDescent="0.25">
      <c r="A1493" s="5">
        <f t="shared" si="71"/>
        <v>2026</v>
      </c>
      <c r="B1493" s="18" t="s">
        <v>1457</v>
      </c>
      <c r="C1493" s="18" t="s">
        <v>595</v>
      </c>
      <c r="D1493" s="12">
        <v>6438</v>
      </c>
      <c r="E1493" s="17" t="s">
        <v>649</v>
      </c>
      <c r="F1493" s="12" t="s">
        <v>491</v>
      </c>
      <c r="G1493" s="14">
        <v>2</v>
      </c>
      <c r="H1493" s="24">
        <v>34000</v>
      </c>
      <c r="I1493" s="12" t="s">
        <v>712</v>
      </c>
      <c r="J1493" s="6" t="s">
        <v>608</v>
      </c>
      <c r="K1493" s="6">
        <f t="shared" si="72"/>
        <v>1</v>
      </c>
      <c r="L1493" s="6" t="str">
        <f t="shared" si="73"/>
        <v>ENERO</v>
      </c>
    </row>
    <row r="1494" spans="1:12" x14ac:dyDescent="0.25">
      <c r="A1494" s="5">
        <f t="shared" si="71"/>
        <v>2026</v>
      </c>
      <c r="B1494" s="18" t="s">
        <v>1457</v>
      </c>
      <c r="C1494" s="18" t="s">
        <v>595</v>
      </c>
      <c r="D1494" s="12">
        <v>6438</v>
      </c>
      <c r="E1494" s="17" t="s">
        <v>245</v>
      </c>
      <c r="F1494" s="12" t="s">
        <v>246</v>
      </c>
      <c r="G1494" s="14">
        <v>16</v>
      </c>
      <c r="H1494" s="24">
        <v>88000</v>
      </c>
      <c r="I1494" s="12" t="s">
        <v>712</v>
      </c>
      <c r="J1494" s="6" t="s">
        <v>608</v>
      </c>
      <c r="K1494" s="6">
        <f t="shared" si="72"/>
        <v>1</v>
      </c>
      <c r="L1494" s="6" t="str">
        <f t="shared" si="73"/>
        <v>ENERO</v>
      </c>
    </row>
    <row r="1495" spans="1:12" x14ac:dyDescent="0.25">
      <c r="A1495" s="5">
        <f t="shared" si="71"/>
        <v>2026</v>
      </c>
      <c r="B1495" s="18" t="s">
        <v>1457</v>
      </c>
      <c r="C1495" s="18" t="s">
        <v>595</v>
      </c>
      <c r="D1495" s="12">
        <v>6438</v>
      </c>
      <c r="E1495" s="17" t="s">
        <v>359</v>
      </c>
      <c r="F1495" s="12" t="s">
        <v>360</v>
      </c>
      <c r="G1495" s="14">
        <v>1</v>
      </c>
      <c r="H1495" s="24">
        <v>64000</v>
      </c>
      <c r="I1495" s="12" t="s">
        <v>712</v>
      </c>
      <c r="J1495" s="6" t="s">
        <v>608</v>
      </c>
      <c r="K1495" s="6">
        <f t="shared" si="72"/>
        <v>1</v>
      </c>
      <c r="L1495" s="6" t="str">
        <f t="shared" si="73"/>
        <v>ENERO</v>
      </c>
    </row>
    <row r="1496" spans="1:12" x14ac:dyDescent="0.25">
      <c r="A1496" s="5">
        <f t="shared" si="71"/>
        <v>2026</v>
      </c>
      <c r="B1496" s="18" t="s">
        <v>1457</v>
      </c>
      <c r="C1496" s="18" t="s">
        <v>595</v>
      </c>
      <c r="D1496" s="12">
        <v>6438</v>
      </c>
      <c r="E1496" s="17" t="s">
        <v>363</v>
      </c>
      <c r="F1496" s="12" t="s">
        <v>364</v>
      </c>
      <c r="G1496" s="14">
        <v>1</v>
      </c>
      <c r="H1496" s="24">
        <v>66000</v>
      </c>
      <c r="I1496" s="12" t="s">
        <v>712</v>
      </c>
      <c r="J1496" s="6" t="s">
        <v>608</v>
      </c>
      <c r="K1496" s="6">
        <f t="shared" si="72"/>
        <v>1</v>
      </c>
      <c r="L1496" s="6" t="str">
        <f t="shared" si="73"/>
        <v>ENERO</v>
      </c>
    </row>
    <row r="1497" spans="1:12" x14ac:dyDescent="0.25">
      <c r="A1497" s="5">
        <f t="shared" si="71"/>
        <v>2026</v>
      </c>
      <c r="B1497" s="18" t="s">
        <v>1457</v>
      </c>
      <c r="C1497" s="18" t="s">
        <v>595</v>
      </c>
      <c r="D1497" s="12">
        <v>6439</v>
      </c>
      <c r="E1497" s="17" t="s">
        <v>982</v>
      </c>
      <c r="F1497" s="12" t="s">
        <v>983</v>
      </c>
      <c r="G1497" s="14">
        <v>2</v>
      </c>
      <c r="H1497" s="24">
        <v>762000</v>
      </c>
      <c r="I1497" s="12" t="s">
        <v>712</v>
      </c>
      <c r="J1497" s="6" t="s">
        <v>608</v>
      </c>
      <c r="K1497" s="6">
        <f t="shared" si="72"/>
        <v>1</v>
      </c>
      <c r="L1497" s="6" t="str">
        <f t="shared" si="73"/>
        <v>ENERO</v>
      </c>
    </row>
    <row r="1498" spans="1:12" x14ac:dyDescent="0.25">
      <c r="A1498" s="5">
        <f t="shared" si="71"/>
        <v>2026</v>
      </c>
      <c r="B1498" s="18" t="s">
        <v>1457</v>
      </c>
      <c r="C1498" s="18" t="s">
        <v>595</v>
      </c>
      <c r="D1498" s="12">
        <v>6439</v>
      </c>
      <c r="E1498" s="17">
        <v>55525</v>
      </c>
      <c r="F1498" s="12" t="s">
        <v>471</v>
      </c>
      <c r="G1498" s="14">
        <v>1</v>
      </c>
      <c r="H1498" s="24">
        <v>62000</v>
      </c>
      <c r="I1498" s="12" t="s">
        <v>712</v>
      </c>
      <c r="J1498" s="6" t="s">
        <v>608</v>
      </c>
      <c r="K1498" s="6">
        <f t="shared" si="72"/>
        <v>1</v>
      </c>
      <c r="L1498" s="6" t="str">
        <f t="shared" si="73"/>
        <v>ENERO</v>
      </c>
    </row>
    <row r="1499" spans="1:12" x14ac:dyDescent="0.25">
      <c r="A1499" s="5">
        <f t="shared" si="71"/>
        <v>2026</v>
      </c>
      <c r="B1499" s="18" t="s">
        <v>1458</v>
      </c>
      <c r="C1499" s="18" t="s">
        <v>595</v>
      </c>
      <c r="D1499" s="12">
        <v>6440</v>
      </c>
      <c r="E1499" s="17">
        <v>210724</v>
      </c>
      <c r="F1499" s="12" t="s">
        <v>450</v>
      </c>
      <c r="G1499" s="14">
        <v>1</v>
      </c>
      <c r="H1499" s="24">
        <v>132000</v>
      </c>
      <c r="I1499" s="12" t="s">
        <v>712</v>
      </c>
      <c r="J1499" s="6" t="s">
        <v>608</v>
      </c>
      <c r="K1499" s="6">
        <f t="shared" si="72"/>
        <v>1</v>
      </c>
      <c r="L1499" s="6" t="str">
        <f t="shared" si="73"/>
        <v>ENERO</v>
      </c>
    </row>
    <row r="1500" spans="1:12" x14ac:dyDescent="0.25">
      <c r="A1500" s="5">
        <f t="shared" si="71"/>
        <v>2026</v>
      </c>
      <c r="B1500" s="18" t="s">
        <v>1458</v>
      </c>
      <c r="C1500" s="18" t="s">
        <v>595</v>
      </c>
      <c r="D1500" s="12">
        <v>6440</v>
      </c>
      <c r="E1500" s="17" t="s">
        <v>622</v>
      </c>
      <c r="F1500" s="12" t="s">
        <v>624</v>
      </c>
      <c r="G1500" s="14">
        <v>1</v>
      </c>
      <c r="H1500" s="24">
        <v>391000</v>
      </c>
      <c r="I1500" s="12" t="s">
        <v>712</v>
      </c>
      <c r="J1500" s="6" t="s">
        <v>608</v>
      </c>
      <c r="K1500" s="6">
        <f t="shared" si="72"/>
        <v>1</v>
      </c>
      <c r="L1500" s="6" t="str">
        <f t="shared" si="73"/>
        <v>ENERO</v>
      </c>
    </row>
    <row r="1501" spans="1:12" x14ac:dyDescent="0.25">
      <c r="A1501" s="5">
        <f t="shared" si="71"/>
        <v>2026</v>
      </c>
      <c r="B1501" s="18" t="s">
        <v>1458</v>
      </c>
      <c r="C1501" s="18" t="s">
        <v>595</v>
      </c>
      <c r="D1501" s="12">
        <v>6440</v>
      </c>
      <c r="E1501" s="17" t="s">
        <v>645</v>
      </c>
      <c r="F1501" s="12" t="s">
        <v>646</v>
      </c>
      <c r="G1501" s="14">
        <v>1</v>
      </c>
      <c r="H1501" s="24">
        <v>263000</v>
      </c>
      <c r="I1501" s="12" t="s">
        <v>712</v>
      </c>
      <c r="J1501" s="6" t="s">
        <v>608</v>
      </c>
      <c r="K1501" s="6">
        <f t="shared" si="72"/>
        <v>1</v>
      </c>
      <c r="L1501" s="6" t="str">
        <f t="shared" si="73"/>
        <v>ENERO</v>
      </c>
    </row>
    <row r="1502" spans="1:12" x14ac:dyDescent="0.25">
      <c r="A1502" s="5">
        <f t="shared" si="71"/>
        <v>2026</v>
      </c>
      <c r="B1502" s="18" t="s">
        <v>1458</v>
      </c>
      <c r="C1502" s="18" t="s">
        <v>595</v>
      </c>
      <c r="D1502" s="12">
        <v>6440</v>
      </c>
      <c r="E1502" s="17" t="s">
        <v>539</v>
      </c>
      <c r="F1502" s="12" t="s">
        <v>540</v>
      </c>
      <c r="G1502" s="14">
        <v>1</v>
      </c>
      <c r="H1502" s="24">
        <v>160000</v>
      </c>
      <c r="I1502" s="12" t="s">
        <v>712</v>
      </c>
      <c r="J1502" s="6" t="s">
        <v>608</v>
      </c>
      <c r="K1502" s="6">
        <f t="shared" si="72"/>
        <v>1</v>
      </c>
      <c r="L1502" s="6" t="str">
        <f t="shared" si="73"/>
        <v>ENERO</v>
      </c>
    </row>
    <row r="1503" spans="1:12" x14ac:dyDescent="0.25">
      <c r="A1503" s="5">
        <f t="shared" si="71"/>
        <v>2026</v>
      </c>
      <c r="B1503" s="18" t="s">
        <v>1458</v>
      </c>
      <c r="C1503" s="18" t="s">
        <v>595</v>
      </c>
      <c r="D1503" s="12">
        <v>6440</v>
      </c>
      <c r="E1503" s="17">
        <v>210737</v>
      </c>
      <c r="F1503" s="12" t="s">
        <v>506</v>
      </c>
      <c r="G1503" s="14">
        <v>1</v>
      </c>
      <c r="H1503" s="24">
        <v>128000</v>
      </c>
      <c r="I1503" s="12" t="s">
        <v>712</v>
      </c>
      <c r="J1503" s="6" t="s">
        <v>608</v>
      </c>
      <c r="K1503" s="6">
        <f t="shared" si="72"/>
        <v>1</v>
      </c>
      <c r="L1503" s="6" t="str">
        <f t="shared" si="73"/>
        <v>ENERO</v>
      </c>
    </row>
    <row r="1504" spans="1:12" x14ac:dyDescent="0.25">
      <c r="A1504" s="5">
        <f t="shared" si="71"/>
        <v>2026</v>
      </c>
      <c r="B1504" s="18" t="s">
        <v>1458</v>
      </c>
      <c r="C1504" s="18" t="s">
        <v>595</v>
      </c>
      <c r="D1504" s="12">
        <v>6440</v>
      </c>
      <c r="E1504" s="17">
        <v>210736</v>
      </c>
      <c r="F1504" s="12" t="s">
        <v>504</v>
      </c>
      <c r="G1504" s="14">
        <v>1</v>
      </c>
      <c r="H1504" s="24">
        <v>155000</v>
      </c>
      <c r="I1504" s="12" t="s">
        <v>712</v>
      </c>
      <c r="J1504" s="6" t="s">
        <v>608</v>
      </c>
      <c r="K1504" s="6">
        <f t="shared" si="72"/>
        <v>1</v>
      </c>
      <c r="L1504" s="6" t="str">
        <f t="shared" si="73"/>
        <v>ENERO</v>
      </c>
    </row>
    <row r="1505" spans="1:12" x14ac:dyDescent="0.25">
      <c r="A1505" s="5">
        <f t="shared" si="71"/>
        <v>2026</v>
      </c>
      <c r="B1505" s="18" t="s">
        <v>1458</v>
      </c>
      <c r="C1505" s="18" t="s">
        <v>595</v>
      </c>
      <c r="D1505" s="12">
        <v>6440</v>
      </c>
      <c r="E1505" s="17" t="s">
        <v>215</v>
      </c>
      <c r="F1505" s="12" t="s">
        <v>216</v>
      </c>
      <c r="G1505" s="14">
        <v>1</v>
      </c>
      <c r="H1505" s="24">
        <v>167000</v>
      </c>
      <c r="I1505" s="12" t="s">
        <v>712</v>
      </c>
      <c r="J1505" s="6" t="s">
        <v>608</v>
      </c>
      <c r="K1505" s="6">
        <f t="shared" si="72"/>
        <v>1</v>
      </c>
      <c r="L1505" s="6" t="str">
        <f t="shared" si="73"/>
        <v>ENERO</v>
      </c>
    </row>
    <row r="1506" spans="1:12" x14ac:dyDescent="0.25">
      <c r="A1506" s="5">
        <f t="shared" si="71"/>
        <v>2026</v>
      </c>
      <c r="B1506" s="18" t="s">
        <v>1458</v>
      </c>
      <c r="C1506" s="18" t="s">
        <v>595</v>
      </c>
      <c r="D1506" s="12">
        <v>6440</v>
      </c>
      <c r="E1506" s="17">
        <v>121302</v>
      </c>
      <c r="F1506" s="12" t="s">
        <v>530</v>
      </c>
      <c r="G1506" s="14">
        <v>1</v>
      </c>
      <c r="H1506" s="24">
        <v>335000</v>
      </c>
      <c r="I1506" s="12" t="s">
        <v>712</v>
      </c>
      <c r="J1506" s="6" t="s">
        <v>608</v>
      </c>
      <c r="K1506" s="6">
        <f t="shared" si="72"/>
        <v>1</v>
      </c>
      <c r="L1506" s="6" t="str">
        <f t="shared" si="73"/>
        <v>ENERO</v>
      </c>
    </row>
    <row r="1507" spans="1:12" x14ac:dyDescent="0.25">
      <c r="A1507" s="5">
        <f t="shared" si="71"/>
        <v>2026</v>
      </c>
      <c r="B1507" s="18" t="s">
        <v>1458</v>
      </c>
      <c r="C1507" s="18" t="s">
        <v>595</v>
      </c>
      <c r="D1507" s="12">
        <v>6440</v>
      </c>
      <c r="E1507" s="17">
        <v>79034</v>
      </c>
      <c r="F1507" s="12" t="s">
        <v>529</v>
      </c>
      <c r="G1507" s="14">
        <v>1</v>
      </c>
      <c r="H1507" s="24">
        <v>92000</v>
      </c>
      <c r="I1507" s="12" t="s">
        <v>712</v>
      </c>
      <c r="J1507" s="6" t="s">
        <v>608</v>
      </c>
      <c r="K1507" s="6">
        <f t="shared" si="72"/>
        <v>1</v>
      </c>
      <c r="L1507" s="6" t="str">
        <f t="shared" si="73"/>
        <v>ENERO</v>
      </c>
    </row>
    <row r="1508" spans="1:12" x14ac:dyDescent="0.25">
      <c r="A1508" s="5">
        <f t="shared" si="71"/>
        <v>2026</v>
      </c>
      <c r="B1508" s="18" t="s">
        <v>1458</v>
      </c>
      <c r="C1508" s="18" t="s">
        <v>595</v>
      </c>
      <c r="D1508" s="12">
        <v>6440</v>
      </c>
      <c r="E1508" s="17">
        <v>126180</v>
      </c>
      <c r="F1508" s="12" t="s">
        <v>505</v>
      </c>
      <c r="G1508" s="14">
        <v>1</v>
      </c>
      <c r="H1508" s="24">
        <v>17000</v>
      </c>
      <c r="I1508" s="12" t="s">
        <v>712</v>
      </c>
      <c r="J1508" s="6" t="s">
        <v>608</v>
      </c>
      <c r="K1508" s="6">
        <f t="shared" si="72"/>
        <v>1</v>
      </c>
      <c r="L1508" s="6" t="str">
        <f t="shared" si="73"/>
        <v>ENERO</v>
      </c>
    </row>
    <row r="1509" spans="1:12" x14ac:dyDescent="0.25">
      <c r="A1509" s="5">
        <f t="shared" si="71"/>
        <v>2026</v>
      </c>
      <c r="B1509" s="18" t="s">
        <v>1458</v>
      </c>
      <c r="C1509" s="18" t="s">
        <v>595</v>
      </c>
      <c r="D1509" s="12">
        <v>6440</v>
      </c>
      <c r="E1509" s="17" t="s">
        <v>245</v>
      </c>
      <c r="F1509" s="12" t="s">
        <v>246</v>
      </c>
      <c r="G1509" s="14">
        <v>5</v>
      </c>
      <c r="H1509" s="24">
        <v>27500</v>
      </c>
      <c r="I1509" s="12" t="s">
        <v>712</v>
      </c>
      <c r="J1509" s="6" t="s">
        <v>608</v>
      </c>
      <c r="K1509" s="6">
        <f t="shared" si="72"/>
        <v>1</v>
      </c>
      <c r="L1509" s="6" t="str">
        <f t="shared" si="73"/>
        <v>ENERO</v>
      </c>
    </row>
    <row r="1510" spans="1:12" x14ac:dyDescent="0.25">
      <c r="A1510" s="5">
        <f t="shared" si="71"/>
        <v>2026</v>
      </c>
      <c r="B1510" s="18" t="s">
        <v>1458</v>
      </c>
      <c r="C1510" s="18" t="s">
        <v>595</v>
      </c>
      <c r="D1510" s="12">
        <v>6440</v>
      </c>
      <c r="E1510" s="17" t="s">
        <v>357</v>
      </c>
      <c r="F1510" s="12" t="s">
        <v>358</v>
      </c>
      <c r="G1510" s="14">
        <v>2</v>
      </c>
      <c r="H1510" s="24">
        <v>198000</v>
      </c>
      <c r="I1510" s="12" t="s">
        <v>712</v>
      </c>
      <c r="J1510" s="6" t="s">
        <v>608</v>
      </c>
      <c r="K1510" s="6">
        <f t="shared" si="72"/>
        <v>1</v>
      </c>
      <c r="L1510" s="6" t="str">
        <f t="shared" si="73"/>
        <v>ENERO</v>
      </c>
    </row>
    <row r="1511" spans="1:12" x14ac:dyDescent="0.25">
      <c r="A1511" s="5">
        <f t="shared" si="71"/>
        <v>2026</v>
      </c>
      <c r="B1511" s="18" t="s">
        <v>1458</v>
      </c>
      <c r="C1511" s="18" t="s">
        <v>595</v>
      </c>
      <c r="D1511" s="12">
        <v>6440</v>
      </c>
      <c r="E1511" s="17" t="s">
        <v>161</v>
      </c>
      <c r="F1511" s="12" t="s">
        <v>162</v>
      </c>
      <c r="G1511" s="14">
        <v>1</v>
      </c>
      <c r="H1511" s="24">
        <v>184000</v>
      </c>
      <c r="I1511" s="12" t="s">
        <v>712</v>
      </c>
      <c r="J1511" s="6" t="s">
        <v>608</v>
      </c>
      <c r="K1511" s="6">
        <f t="shared" si="72"/>
        <v>1</v>
      </c>
      <c r="L1511" s="6" t="str">
        <f t="shared" si="73"/>
        <v>ENERO</v>
      </c>
    </row>
    <row r="1512" spans="1:12" x14ac:dyDescent="0.25">
      <c r="A1512" s="5">
        <f t="shared" si="71"/>
        <v>2026</v>
      </c>
      <c r="B1512" s="18" t="s">
        <v>1458</v>
      </c>
      <c r="C1512" s="18" t="s">
        <v>595</v>
      </c>
      <c r="D1512" s="12">
        <v>6440</v>
      </c>
      <c r="E1512" s="17" t="s">
        <v>136</v>
      </c>
      <c r="F1512" s="12" t="s">
        <v>137</v>
      </c>
      <c r="G1512" s="14">
        <v>1</v>
      </c>
      <c r="H1512" s="24">
        <v>36000</v>
      </c>
      <c r="I1512" s="12" t="s">
        <v>712</v>
      </c>
      <c r="J1512" s="6" t="s">
        <v>608</v>
      </c>
      <c r="K1512" s="6">
        <f t="shared" si="72"/>
        <v>1</v>
      </c>
      <c r="L1512" s="6" t="str">
        <f t="shared" si="73"/>
        <v>ENERO</v>
      </c>
    </row>
    <row r="1513" spans="1:12" x14ac:dyDescent="0.25">
      <c r="A1513" s="5">
        <f t="shared" si="71"/>
        <v>2026</v>
      </c>
      <c r="B1513" s="18" t="s">
        <v>1458</v>
      </c>
      <c r="C1513" s="18" t="s">
        <v>595</v>
      </c>
      <c r="D1513" s="12">
        <v>6440</v>
      </c>
      <c r="E1513" s="17">
        <v>118</v>
      </c>
      <c r="F1513" s="12" t="s">
        <v>920</v>
      </c>
      <c r="G1513" s="14">
        <v>1</v>
      </c>
      <c r="H1513" s="24">
        <v>31000</v>
      </c>
      <c r="I1513" s="12" t="s">
        <v>712</v>
      </c>
      <c r="J1513" s="6" t="s">
        <v>608</v>
      </c>
      <c r="K1513" s="6">
        <f t="shared" si="72"/>
        <v>1</v>
      </c>
      <c r="L1513" s="6" t="str">
        <f t="shared" si="73"/>
        <v>ENERO</v>
      </c>
    </row>
    <row r="1514" spans="1:12" x14ac:dyDescent="0.25">
      <c r="A1514" s="5">
        <f t="shared" si="71"/>
        <v>2026</v>
      </c>
      <c r="B1514" s="18" t="s">
        <v>1458</v>
      </c>
      <c r="C1514" s="18" t="s">
        <v>595</v>
      </c>
      <c r="D1514" s="12">
        <v>6440</v>
      </c>
      <c r="E1514" s="17" t="s">
        <v>209</v>
      </c>
      <c r="F1514" s="12" t="s">
        <v>210</v>
      </c>
      <c r="G1514" s="14">
        <v>1</v>
      </c>
      <c r="H1514" s="24">
        <v>55010</v>
      </c>
      <c r="I1514" s="12" t="s">
        <v>712</v>
      </c>
      <c r="J1514" s="6" t="s">
        <v>608</v>
      </c>
      <c r="K1514" s="6">
        <f t="shared" si="72"/>
        <v>1</v>
      </c>
      <c r="L1514" s="6" t="str">
        <f t="shared" si="73"/>
        <v>ENERO</v>
      </c>
    </row>
    <row r="1515" spans="1:12" x14ac:dyDescent="0.25">
      <c r="A1515" s="5">
        <f t="shared" si="71"/>
        <v>2026</v>
      </c>
      <c r="B1515" s="18" t="s">
        <v>1458</v>
      </c>
      <c r="C1515" s="18" t="s">
        <v>595</v>
      </c>
      <c r="D1515" s="12">
        <v>6440</v>
      </c>
      <c r="E1515" s="17" t="s">
        <v>253</v>
      </c>
      <c r="F1515" s="12" t="s">
        <v>254</v>
      </c>
      <c r="G1515" s="14">
        <v>6</v>
      </c>
      <c r="H1515" s="24">
        <v>144000</v>
      </c>
      <c r="I1515" s="12" t="s">
        <v>712</v>
      </c>
      <c r="J1515" s="6" t="s">
        <v>608</v>
      </c>
      <c r="K1515" s="6">
        <f t="shared" si="72"/>
        <v>1</v>
      </c>
      <c r="L1515" s="6" t="str">
        <f t="shared" si="73"/>
        <v>ENERO</v>
      </c>
    </row>
    <row r="1516" spans="1:12" x14ac:dyDescent="0.25">
      <c r="A1516" s="5">
        <f t="shared" si="71"/>
        <v>2026</v>
      </c>
      <c r="B1516" s="18" t="s">
        <v>1458</v>
      </c>
      <c r="C1516" s="18" t="s">
        <v>595</v>
      </c>
      <c r="D1516" s="12">
        <v>6440</v>
      </c>
      <c r="E1516" s="17" t="s">
        <v>897</v>
      </c>
      <c r="F1516" s="12" t="s">
        <v>898</v>
      </c>
      <c r="G1516" s="14">
        <v>1</v>
      </c>
      <c r="H1516" s="24">
        <v>287000</v>
      </c>
      <c r="I1516" s="12" t="s">
        <v>712</v>
      </c>
      <c r="J1516" s="6" t="s">
        <v>608</v>
      </c>
      <c r="K1516" s="6">
        <f t="shared" si="72"/>
        <v>1</v>
      </c>
      <c r="L1516" s="6" t="str">
        <f t="shared" si="73"/>
        <v>ENERO</v>
      </c>
    </row>
    <row r="1517" spans="1:12" x14ac:dyDescent="0.25">
      <c r="A1517" s="5">
        <f t="shared" si="71"/>
        <v>2026</v>
      </c>
      <c r="B1517" s="18" t="s">
        <v>1458</v>
      </c>
      <c r="C1517" s="18" t="s">
        <v>595</v>
      </c>
      <c r="D1517" s="12">
        <v>6440</v>
      </c>
      <c r="E1517" s="17" t="s">
        <v>274</v>
      </c>
      <c r="F1517" s="12" t="s">
        <v>275</v>
      </c>
      <c r="G1517" s="14">
        <v>2</v>
      </c>
      <c r="H1517" s="24">
        <v>124000</v>
      </c>
      <c r="I1517" s="12" t="s">
        <v>712</v>
      </c>
      <c r="J1517" s="6" t="s">
        <v>608</v>
      </c>
      <c r="K1517" s="6">
        <f t="shared" si="72"/>
        <v>1</v>
      </c>
      <c r="L1517" s="6" t="str">
        <f t="shared" si="73"/>
        <v>ENERO</v>
      </c>
    </row>
    <row r="1518" spans="1:12" x14ac:dyDescent="0.25">
      <c r="A1518" s="5">
        <f t="shared" ref="A1518:A1581" si="74">+YEAR(B1518)</f>
        <v>2026</v>
      </c>
      <c r="B1518" s="18" t="s">
        <v>1458</v>
      </c>
      <c r="C1518" s="18" t="s">
        <v>595</v>
      </c>
      <c r="D1518" s="12">
        <v>6440</v>
      </c>
      <c r="E1518" s="17">
        <v>56929000</v>
      </c>
      <c r="F1518" s="12" t="s">
        <v>461</v>
      </c>
      <c r="G1518" s="14">
        <v>4</v>
      </c>
      <c r="H1518" s="24">
        <v>164000</v>
      </c>
      <c r="I1518" s="12" t="s">
        <v>712</v>
      </c>
      <c r="J1518" s="6" t="s">
        <v>608</v>
      </c>
      <c r="K1518" s="6">
        <f t="shared" ref="K1518:K1581" si="75">+MONTH(B1518)</f>
        <v>1</v>
      </c>
      <c r="L1518" s="6" t="str">
        <f t="shared" si="73"/>
        <v>ENERO</v>
      </c>
    </row>
    <row r="1519" spans="1:12" x14ac:dyDescent="0.25">
      <c r="A1519" s="5">
        <f t="shared" si="74"/>
        <v>2026</v>
      </c>
      <c r="B1519" s="18" t="s">
        <v>1458</v>
      </c>
      <c r="C1519" s="18" t="s">
        <v>595</v>
      </c>
      <c r="D1519" s="12">
        <v>6440</v>
      </c>
      <c r="E1519" s="17" t="s">
        <v>951</v>
      </c>
      <c r="F1519" s="12" t="s">
        <v>952</v>
      </c>
      <c r="G1519" s="14">
        <v>2</v>
      </c>
      <c r="H1519" s="24">
        <v>1098000</v>
      </c>
      <c r="I1519" s="12" t="s">
        <v>712</v>
      </c>
      <c r="J1519" s="6" t="s">
        <v>608</v>
      </c>
      <c r="K1519" s="6">
        <f t="shared" si="75"/>
        <v>1</v>
      </c>
      <c r="L1519" s="6" t="str">
        <f t="shared" si="73"/>
        <v>ENERO</v>
      </c>
    </row>
    <row r="1520" spans="1:12" x14ac:dyDescent="0.25">
      <c r="A1520" s="5">
        <f t="shared" si="74"/>
        <v>2026</v>
      </c>
      <c r="B1520" s="18" t="s">
        <v>1458</v>
      </c>
      <c r="C1520" s="18" t="s">
        <v>595</v>
      </c>
      <c r="D1520" s="12">
        <v>6440</v>
      </c>
      <c r="E1520" s="17">
        <v>70745</v>
      </c>
      <c r="F1520" s="12" t="s">
        <v>1272</v>
      </c>
      <c r="G1520" s="14">
        <v>1</v>
      </c>
      <c r="H1520" s="24">
        <v>170000</v>
      </c>
      <c r="I1520" s="12" t="s">
        <v>712</v>
      </c>
      <c r="J1520" s="6" t="s">
        <v>608</v>
      </c>
      <c r="K1520" s="6">
        <f t="shared" si="75"/>
        <v>1</v>
      </c>
      <c r="L1520" s="6" t="str">
        <f t="shared" si="73"/>
        <v>ENERO</v>
      </c>
    </row>
    <row r="1521" spans="1:12" x14ac:dyDescent="0.25">
      <c r="A1521" s="5">
        <f t="shared" si="74"/>
        <v>2026</v>
      </c>
      <c r="B1521" s="18" t="s">
        <v>1458</v>
      </c>
      <c r="C1521" s="18" t="s">
        <v>595</v>
      </c>
      <c r="D1521" s="12">
        <v>6440</v>
      </c>
      <c r="E1521" s="17" t="s">
        <v>327</v>
      </c>
      <c r="F1521" s="12" t="s">
        <v>328</v>
      </c>
      <c r="G1521" s="14">
        <v>2</v>
      </c>
      <c r="H1521" s="24">
        <v>822000</v>
      </c>
      <c r="I1521" s="12" t="s">
        <v>712</v>
      </c>
      <c r="J1521" s="6" t="s">
        <v>608</v>
      </c>
      <c r="K1521" s="6">
        <f t="shared" si="75"/>
        <v>1</v>
      </c>
      <c r="L1521" s="6" t="str">
        <f t="shared" si="73"/>
        <v>ENERO</v>
      </c>
    </row>
    <row r="1522" spans="1:12" x14ac:dyDescent="0.25">
      <c r="A1522" s="5">
        <f t="shared" si="74"/>
        <v>2026</v>
      </c>
      <c r="B1522" s="18" t="s">
        <v>1458</v>
      </c>
      <c r="C1522" s="18" t="s">
        <v>595</v>
      </c>
      <c r="D1522" s="12">
        <v>6440</v>
      </c>
      <c r="E1522" s="17" t="s">
        <v>508</v>
      </c>
      <c r="F1522" s="12" t="s">
        <v>509</v>
      </c>
      <c r="G1522" s="14">
        <v>1</v>
      </c>
      <c r="H1522" s="24">
        <v>483000</v>
      </c>
      <c r="I1522" s="12" t="s">
        <v>712</v>
      </c>
      <c r="J1522" s="6" t="s">
        <v>608</v>
      </c>
      <c r="K1522" s="6">
        <f t="shared" si="75"/>
        <v>1</v>
      </c>
      <c r="L1522" s="6" t="str">
        <f t="shared" si="73"/>
        <v>ENERO</v>
      </c>
    </row>
    <row r="1523" spans="1:12" x14ac:dyDescent="0.25">
      <c r="A1523" s="5">
        <f t="shared" si="74"/>
        <v>2026</v>
      </c>
      <c r="B1523" s="18" t="s">
        <v>1458</v>
      </c>
      <c r="C1523" s="18" t="s">
        <v>595</v>
      </c>
      <c r="D1523" s="12">
        <v>6440</v>
      </c>
      <c r="E1523" s="17">
        <v>86781</v>
      </c>
      <c r="F1523" s="12" t="s">
        <v>323</v>
      </c>
      <c r="G1523" s="14">
        <v>8</v>
      </c>
      <c r="H1523" s="24">
        <v>144000</v>
      </c>
      <c r="I1523" s="12" t="s">
        <v>712</v>
      </c>
      <c r="J1523" s="6" t="s">
        <v>608</v>
      </c>
      <c r="K1523" s="6">
        <f t="shared" si="75"/>
        <v>1</v>
      </c>
      <c r="L1523" s="6" t="str">
        <f t="shared" si="73"/>
        <v>ENERO</v>
      </c>
    </row>
    <row r="1524" spans="1:12" x14ac:dyDescent="0.25">
      <c r="A1524" s="5">
        <f t="shared" si="74"/>
        <v>2026</v>
      </c>
      <c r="B1524" s="18" t="s">
        <v>1458</v>
      </c>
      <c r="C1524" s="18" t="s">
        <v>595</v>
      </c>
      <c r="D1524" s="12">
        <v>6440</v>
      </c>
      <c r="E1524" s="17">
        <v>27274</v>
      </c>
      <c r="F1524" s="12" t="s">
        <v>507</v>
      </c>
      <c r="G1524" s="14">
        <v>4</v>
      </c>
      <c r="H1524" s="24">
        <v>100000</v>
      </c>
      <c r="I1524" s="12" t="s">
        <v>712</v>
      </c>
      <c r="J1524" s="6" t="s">
        <v>608</v>
      </c>
      <c r="K1524" s="6">
        <f t="shared" si="75"/>
        <v>1</v>
      </c>
      <c r="L1524" s="6" t="str">
        <f t="shared" si="73"/>
        <v>ENERO</v>
      </c>
    </row>
    <row r="1525" spans="1:12" x14ac:dyDescent="0.25">
      <c r="A1525" s="5">
        <f t="shared" si="74"/>
        <v>2026</v>
      </c>
      <c r="B1525" s="18" t="s">
        <v>1458</v>
      </c>
      <c r="C1525" s="18" t="s">
        <v>595</v>
      </c>
      <c r="D1525" s="12">
        <v>6440</v>
      </c>
      <c r="E1525" s="17" t="s">
        <v>480</v>
      </c>
      <c r="F1525" s="12" t="s">
        <v>481</v>
      </c>
      <c r="G1525" s="14">
        <v>3</v>
      </c>
      <c r="H1525" s="24">
        <v>735000</v>
      </c>
      <c r="I1525" s="12" t="s">
        <v>712</v>
      </c>
      <c r="J1525" s="6" t="s">
        <v>608</v>
      </c>
      <c r="K1525" s="6">
        <f t="shared" si="75"/>
        <v>1</v>
      </c>
      <c r="L1525" s="6" t="str">
        <f t="shared" si="73"/>
        <v>ENERO</v>
      </c>
    </row>
    <row r="1526" spans="1:12" x14ac:dyDescent="0.25">
      <c r="A1526" s="5">
        <f t="shared" si="74"/>
        <v>2026</v>
      </c>
      <c r="B1526" s="18" t="s">
        <v>1458</v>
      </c>
      <c r="C1526" s="18" t="s">
        <v>595</v>
      </c>
      <c r="D1526" s="12">
        <v>6440</v>
      </c>
      <c r="E1526" s="17" t="s">
        <v>953</v>
      </c>
      <c r="F1526" s="12" t="s">
        <v>954</v>
      </c>
      <c r="G1526" s="14">
        <v>2</v>
      </c>
      <c r="H1526" s="24">
        <v>462000</v>
      </c>
      <c r="I1526" s="12" t="s">
        <v>712</v>
      </c>
      <c r="J1526" s="6" t="s">
        <v>608</v>
      </c>
      <c r="K1526" s="6">
        <f t="shared" si="75"/>
        <v>1</v>
      </c>
      <c r="L1526" s="6" t="str">
        <f t="shared" si="73"/>
        <v>ENERO</v>
      </c>
    </row>
    <row r="1527" spans="1:12" x14ac:dyDescent="0.25">
      <c r="A1527" s="5">
        <f t="shared" si="74"/>
        <v>2026</v>
      </c>
      <c r="B1527" s="18" t="s">
        <v>1426</v>
      </c>
      <c r="C1527" s="18" t="s">
        <v>595</v>
      </c>
      <c r="D1527" s="12">
        <v>6433</v>
      </c>
      <c r="E1527" s="17" t="s">
        <v>889</v>
      </c>
      <c r="F1527" s="12" t="s">
        <v>891</v>
      </c>
      <c r="G1527" s="14">
        <v>10</v>
      </c>
      <c r="H1527" s="24">
        <v>290000</v>
      </c>
      <c r="I1527" s="12" t="s">
        <v>712</v>
      </c>
      <c r="J1527" s="6" t="s">
        <v>608</v>
      </c>
      <c r="K1527" s="6">
        <f t="shared" si="75"/>
        <v>1</v>
      </c>
      <c r="L1527" s="6" t="str">
        <f t="shared" si="73"/>
        <v>ENERO</v>
      </c>
    </row>
    <row r="1528" spans="1:12" x14ac:dyDescent="0.25">
      <c r="A1528" s="5">
        <f t="shared" si="74"/>
        <v>2026</v>
      </c>
      <c r="B1528" s="18" t="s">
        <v>1426</v>
      </c>
      <c r="C1528" s="18" t="s">
        <v>595</v>
      </c>
      <c r="D1528" s="12">
        <v>6433</v>
      </c>
      <c r="E1528" s="17" t="s">
        <v>204</v>
      </c>
      <c r="F1528" s="12" t="s">
        <v>205</v>
      </c>
      <c r="G1528" s="14">
        <v>3</v>
      </c>
      <c r="H1528" s="24">
        <v>141000</v>
      </c>
      <c r="I1528" s="12" t="s">
        <v>712</v>
      </c>
      <c r="J1528" s="6" t="s">
        <v>608</v>
      </c>
      <c r="K1528" s="6">
        <f t="shared" si="75"/>
        <v>1</v>
      </c>
      <c r="L1528" s="6" t="str">
        <f t="shared" si="73"/>
        <v>ENERO</v>
      </c>
    </row>
    <row r="1529" spans="1:12" x14ac:dyDescent="0.25">
      <c r="A1529" s="5">
        <f t="shared" si="74"/>
        <v>2026</v>
      </c>
      <c r="B1529" s="18" t="s">
        <v>1426</v>
      </c>
      <c r="C1529" s="18" t="s">
        <v>595</v>
      </c>
      <c r="D1529" s="12">
        <v>6433</v>
      </c>
      <c r="E1529" s="17" t="s">
        <v>740</v>
      </c>
      <c r="F1529" s="12" t="s">
        <v>741</v>
      </c>
      <c r="G1529" s="14">
        <v>2</v>
      </c>
      <c r="H1529" s="24">
        <v>434000</v>
      </c>
      <c r="I1529" s="12" t="s">
        <v>712</v>
      </c>
      <c r="J1529" s="6" t="s">
        <v>608</v>
      </c>
      <c r="K1529" s="6">
        <f t="shared" si="75"/>
        <v>1</v>
      </c>
      <c r="L1529" s="6" t="str">
        <f t="shared" si="73"/>
        <v>ENERO</v>
      </c>
    </row>
    <row r="1530" spans="1:12" x14ac:dyDescent="0.25">
      <c r="A1530" s="5">
        <f t="shared" si="74"/>
        <v>2026</v>
      </c>
      <c r="B1530" s="18" t="s">
        <v>1426</v>
      </c>
      <c r="C1530" s="18" t="s">
        <v>595</v>
      </c>
      <c r="D1530" s="12">
        <v>6433</v>
      </c>
      <c r="E1530" s="17" t="s">
        <v>438</v>
      </c>
      <c r="F1530" s="12" t="s">
        <v>439</v>
      </c>
      <c r="G1530" s="14">
        <v>2</v>
      </c>
      <c r="H1530" s="24">
        <v>2676000</v>
      </c>
      <c r="I1530" s="12" t="s">
        <v>712</v>
      </c>
      <c r="J1530" s="6" t="s">
        <v>608</v>
      </c>
      <c r="K1530" s="6">
        <f t="shared" si="75"/>
        <v>1</v>
      </c>
      <c r="L1530" s="6" t="str">
        <f t="shared" si="73"/>
        <v>ENERO</v>
      </c>
    </row>
    <row r="1531" spans="1:12" x14ac:dyDescent="0.25">
      <c r="A1531" s="5">
        <f t="shared" si="74"/>
        <v>2026</v>
      </c>
      <c r="B1531" s="18" t="s">
        <v>1426</v>
      </c>
      <c r="C1531" s="18" t="s">
        <v>595</v>
      </c>
      <c r="D1531" s="12">
        <v>6433</v>
      </c>
      <c r="E1531" s="17">
        <v>17313</v>
      </c>
      <c r="F1531" s="12" t="s">
        <v>1273</v>
      </c>
      <c r="G1531" s="14">
        <v>2</v>
      </c>
      <c r="H1531" s="24">
        <v>104348</v>
      </c>
      <c r="I1531" s="12" t="s">
        <v>712</v>
      </c>
      <c r="J1531" s="6" t="s">
        <v>608</v>
      </c>
      <c r="K1531" s="6">
        <f t="shared" si="75"/>
        <v>1</v>
      </c>
      <c r="L1531" s="6" t="str">
        <f t="shared" si="73"/>
        <v>ENERO</v>
      </c>
    </row>
    <row r="1532" spans="1:12" x14ac:dyDescent="0.25">
      <c r="A1532" s="5">
        <f t="shared" si="74"/>
        <v>2026</v>
      </c>
      <c r="B1532" s="18" t="s">
        <v>1426</v>
      </c>
      <c r="C1532" s="18" t="s">
        <v>595</v>
      </c>
      <c r="D1532" s="12">
        <v>6433</v>
      </c>
      <c r="E1532" s="17" t="s">
        <v>467</v>
      </c>
      <c r="F1532" s="12" t="s">
        <v>468</v>
      </c>
      <c r="G1532" s="14">
        <v>1</v>
      </c>
      <c r="H1532" s="24">
        <v>732000</v>
      </c>
      <c r="I1532" s="12" t="s">
        <v>712</v>
      </c>
      <c r="J1532" s="6" t="s">
        <v>608</v>
      </c>
      <c r="K1532" s="6">
        <f t="shared" si="75"/>
        <v>1</v>
      </c>
      <c r="L1532" s="6" t="str">
        <f t="shared" si="73"/>
        <v>ENERO</v>
      </c>
    </row>
    <row r="1533" spans="1:12" x14ac:dyDescent="0.25">
      <c r="A1533" s="5">
        <f t="shared" si="74"/>
        <v>2026</v>
      </c>
      <c r="B1533" s="18" t="s">
        <v>1426</v>
      </c>
      <c r="C1533" s="18" t="s">
        <v>595</v>
      </c>
      <c r="D1533" s="12">
        <v>6433</v>
      </c>
      <c r="E1533" s="17">
        <v>118</v>
      </c>
      <c r="F1533" s="12" t="s">
        <v>920</v>
      </c>
      <c r="G1533" s="14">
        <v>1</v>
      </c>
      <c r="H1533" s="24">
        <v>31000</v>
      </c>
      <c r="I1533" s="12" t="s">
        <v>712</v>
      </c>
      <c r="J1533" s="6" t="s">
        <v>608</v>
      </c>
      <c r="K1533" s="6">
        <f t="shared" si="75"/>
        <v>1</v>
      </c>
      <c r="L1533" s="6" t="str">
        <f t="shared" si="73"/>
        <v>ENERO</v>
      </c>
    </row>
    <row r="1534" spans="1:12" x14ac:dyDescent="0.25">
      <c r="A1534" s="5">
        <f t="shared" si="74"/>
        <v>2026</v>
      </c>
      <c r="B1534" s="18" t="s">
        <v>1426</v>
      </c>
      <c r="C1534" s="18" t="s">
        <v>595</v>
      </c>
      <c r="D1534" s="12">
        <v>6433</v>
      </c>
      <c r="E1534" s="17" t="s">
        <v>899</v>
      </c>
      <c r="F1534" s="12" t="s">
        <v>900</v>
      </c>
      <c r="G1534" s="14">
        <v>1</v>
      </c>
      <c r="H1534" s="24">
        <v>44000</v>
      </c>
      <c r="I1534" s="12" t="s">
        <v>712</v>
      </c>
      <c r="J1534" s="6" t="s">
        <v>608</v>
      </c>
      <c r="K1534" s="6">
        <f t="shared" si="75"/>
        <v>1</v>
      </c>
      <c r="L1534" s="6" t="str">
        <f t="shared" si="73"/>
        <v>ENERO</v>
      </c>
    </row>
    <row r="1535" spans="1:12" x14ac:dyDescent="0.25">
      <c r="A1535" s="5">
        <f t="shared" si="74"/>
        <v>2026</v>
      </c>
      <c r="B1535" s="18" t="s">
        <v>1426</v>
      </c>
      <c r="C1535" s="18" t="s">
        <v>595</v>
      </c>
      <c r="D1535" s="12">
        <v>6433</v>
      </c>
      <c r="E1535" s="17" t="s">
        <v>484</v>
      </c>
      <c r="F1535" s="12" t="s">
        <v>485</v>
      </c>
      <c r="G1535" s="14">
        <v>5</v>
      </c>
      <c r="H1535" s="24">
        <v>150000</v>
      </c>
      <c r="I1535" s="12" t="s">
        <v>712</v>
      </c>
      <c r="J1535" s="6" t="s">
        <v>608</v>
      </c>
      <c r="K1535" s="6">
        <f t="shared" si="75"/>
        <v>1</v>
      </c>
      <c r="L1535" s="6" t="str">
        <f t="shared" si="73"/>
        <v>ENERO</v>
      </c>
    </row>
    <row r="1536" spans="1:12" x14ac:dyDescent="0.25">
      <c r="A1536" s="5">
        <f t="shared" si="74"/>
        <v>2026</v>
      </c>
      <c r="B1536" s="18" t="s">
        <v>1426</v>
      </c>
      <c r="C1536" s="18" t="s">
        <v>595</v>
      </c>
      <c r="D1536" s="12">
        <v>6433</v>
      </c>
      <c r="E1536" s="17" t="s">
        <v>1251</v>
      </c>
      <c r="F1536" s="12" t="s">
        <v>1252</v>
      </c>
      <c r="G1536" s="14">
        <v>2</v>
      </c>
      <c r="H1536" s="24">
        <v>700000</v>
      </c>
      <c r="I1536" s="12" t="s">
        <v>712</v>
      </c>
      <c r="J1536" s="6" t="s">
        <v>608</v>
      </c>
      <c r="K1536" s="6">
        <f t="shared" si="75"/>
        <v>1</v>
      </c>
      <c r="L1536" s="6" t="str">
        <f t="shared" si="73"/>
        <v>ENERO</v>
      </c>
    </row>
    <row r="1537" spans="1:12" x14ac:dyDescent="0.25">
      <c r="A1537" s="5">
        <f t="shared" si="74"/>
        <v>2026</v>
      </c>
      <c r="B1537" s="18" t="s">
        <v>1426</v>
      </c>
      <c r="C1537" s="18" t="s">
        <v>595</v>
      </c>
      <c r="D1537" s="12">
        <v>6433</v>
      </c>
      <c r="E1537" s="17" t="s">
        <v>647</v>
      </c>
      <c r="F1537" s="12" t="s">
        <v>268</v>
      </c>
      <c r="G1537" s="14">
        <v>1</v>
      </c>
      <c r="H1537" s="24">
        <v>451000</v>
      </c>
      <c r="I1537" s="12" t="s">
        <v>712</v>
      </c>
      <c r="J1537" s="6" t="s">
        <v>608</v>
      </c>
      <c r="K1537" s="6">
        <f t="shared" si="75"/>
        <v>1</v>
      </c>
      <c r="L1537" s="6" t="str">
        <f t="shared" si="73"/>
        <v>ENERO</v>
      </c>
    </row>
    <row r="1538" spans="1:12" x14ac:dyDescent="0.25">
      <c r="A1538" s="5">
        <f t="shared" si="74"/>
        <v>2026</v>
      </c>
      <c r="B1538" s="18" t="s">
        <v>1426</v>
      </c>
      <c r="C1538" s="18" t="s">
        <v>595</v>
      </c>
      <c r="D1538" s="12">
        <v>6433</v>
      </c>
      <c r="E1538" s="17" t="s">
        <v>476</v>
      </c>
      <c r="F1538" s="12" t="s">
        <v>477</v>
      </c>
      <c r="G1538" s="14">
        <v>1</v>
      </c>
      <c r="H1538" s="24">
        <v>483000</v>
      </c>
      <c r="I1538" s="12" t="s">
        <v>712</v>
      </c>
      <c r="J1538" s="6" t="s">
        <v>608</v>
      </c>
      <c r="K1538" s="6">
        <f t="shared" si="75"/>
        <v>1</v>
      </c>
      <c r="L1538" s="6" t="str">
        <f t="shared" si="73"/>
        <v>ENERO</v>
      </c>
    </row>
    <row r="1539" spans="1:12" x14ac:dyDescent="0.25">
      <c r="A1539" s="5">
        <f t="shared" si="74"/>
        <v>2026</v>
      </c>
      <c r="B1539" s="18" t="s">
        <v>1426</v>
      </c>
      <c r="C1539" s="18" t="s">
        <v>595</v>
      </c>
      <c r="D1539" s="12">
        <v>6433</v>
      </c>
      <c r="E1539" s="17" t="s">
        <v>116</v>
      </c>
      <c r="F1539" s="12" t="s">
        <v>117</v>
      </c>
      <c r="G1539" s="14">
        <v>1</v>
      </c>
      <c r="H1539" s="24">
        <v>722000</v>
      </c>
      <c r="I1539" s="12" t="s">
        <v>712</v>
      </c>
      <c r="J1539" s="6" t="s">
        <v>608</v>
      </c>
      <c r="K1539" s="6">
        <f t="shared" si="75"/>
        <v>1</v>
      </c>
      <c r="L1539" s="6" t="str">
        <f t="shared" ref="L1539:L1602" si="76">VLOOKUP(K1539,N:O,2,0)</f>
        <v>ENERO</v>
      </c>
    </row>
    <row r="1540" spans="1:12" x14ac:dyDescent="0.25">
      <c r="A1540" s="5">
        <f t="shared" si="74"/>
        <v>2026</v>
      </c>
      <c r="B1540" s="18" t="s">
        <v>1426</v>
      </c>
      <c r="C1540" s="18" t="s">
        <v>595</v>
      </c>
      <c r="D1540" s="12">
        <v>6433</v>
      </c>
      <c r="E1540" s="17" t="s">
        <v>126</v>
      </c>
      <c r="F1540" s="12" t="s">
        <v>127</v>
      </c>
      <c r="G1540" s="14">
        <v>4</v>
      </c>
      <c r="H1540" s="24">
        <v>2640000</v>
      </c>
      <c r="I1540" s="12" t="s">
        <v>712</v>
      </c>
      <c r="J1540" s="6" t="s">
        <v>608</v>
      </c>
      <c r="K1540" s="6">
        <f t="shared" si="75"/>
        <v>1</v>
      </c>
      <c r="L1540" s="6" t="str">
        <f t="shared" si="76"/>
        <v>ENERO</v>
      </c>
    </row>
    <row r="1541" spans="1:12" x14ac:dyDescent="0.25">
      <c r="A1541" s="5">
        <f t="shared" si="74"/>
        <v>2026</v>
      </c>
      <c r="B1541" s="18" t="s">
        <v>1426</v>
      </c>
      <c r="C1541" s="18" t="s">
        <v>595</v>
      </c>
      <c r="D1541" s="12">
        <v>6433</v>
      </c>
      <c r="E1541" s="17" t="s">
        <v>383</v>
      </c>
      <c r="F1541" s="12" t="s">
        <v>384</v>
      </c>
      <c r="G1541" s="14">
        <v>1</v>
      </c>
      <c r="H1541" s="24">
        <v>34000</v>
      </c>
      <c r="I1541" s="12" t="s">
        <v>712</v>
      </c>
      <c r="J1541" s="6" t="s">
        <v>608</v>
      </c>
      <c r="K1541" s="6">
        <f t="shared" si="75"/>
        <v>1</v>
      </c>
      <c r="L1541" s="6" t="str">
        <f t="shared" si="76"/>
        <v>ENERO</v>
      </c>
    </row>
    <row r="1542" spans="1:12" x14ac:dyDescent="0.25">
      <c r="A1542" s="5">
        <f t="shared" si="74"/>
        <v>2026</v>
      </c>
      <c r="B1542" s="18" t="s">
        <v>1426</v>
      </c>
      <c r="C1542" s="18" t="s">
        <v>595</v>
      </c>
      <c r="D1542" s="12">
        <v>6433</v>
      </c>
      <c r="E1542" s="17" t="s">
        <v>445</v>
      </c>
      <c r="F1542" s="12" t="s">
        <v>446</v>
      </c>
      <c r="G1542" s="14">
        <v>2</v>
      </c>
      <c r="H1542" s="24">
        <v>30000</v>
      </c>
      <c r="I1542" s="12" t="s">
        <v>712</v>
      </c>
      <c r="J1542" s="6" t="s">
        <v>608</v>
      </c>
      <c r="K1542" s="6">
        <f t="shared" si="75"/>
        <v>1</v>
      </c>
      <c r="L1542" s="6" t="str">
        <f t="shared" si="76"/>
        <v>ENERO</v>
      </c>
    </row>
    <row r="1543" spans="1:12" x14ac:dyDescent="0.25">
      <c r="A1543" s="5">
        <f t="shared" si="74"/>
        <v>2026</v>
      </c>
      <c r="B1543" s="18" t="s">
        <v>1426</v>
      </c>
      <c r="C1543" s="18" t="s">
        <v>595</v>
      </c>
      <c r="D1543" s="12">
        <v>6433</v>
      </c>
      <c r="E1543" s="17">
        <v>127760</v>
      </c>
      <c r="F1543" s="12" t="s">
        <v>382</v>
      </c>
      <c r="G1543" s="14">
        <v>2</v>
      </c>
      <c r="H1543" s="24">
        <v>194000</v>
      </c>
      <c r="I1543" s="12" t="s">
        <v>712</v>
      </c>
      <c r="J1543" s="6" t="s">
        <v>608</v>
      </c>
      <c r="K1543" s="6">
        <f t="shared" si="75"/>
        <v>1</v>
      </c>
      <c r="L1543" s="6" t="str">
        <f t="shared" si="76"/>
        <v>ENERO</v>
      </c>
    </row>
    <row r="1544" spans="1:12" x14ac:dyDescent="0.25">
      <c r="A1544" s="5">
        <f t="shared" si="74"/>
        <v>2026</v>
      </c>
      <c r="B1544" s="18" t="s">
        <v>1426</v>
      </c>
      <c r="C1544" s="18" t="s">
        <v>595</v>
      </c>
      <c r="D1544" s="12">
        <v>6433</v>
      </c>
      <c r="E1544" s="17">
        <v>85003</v>
      </c>
      <c r="F1544" s="12" t="s">
        <v>449</v>
      </c>
      <c r="G1544" s="14">
        <v>2</v>
      </c>
      <c r="H1544" s="24">
        <v>42000</v>
      </c>
      <c r="I1544" s="12" t="s">
        <v>712</v>
      </c>
      <c r="J1544" s="6" t="s">
        <v>608</v>
      </c>
      <c r="K1544" s="6">
        <f t="shared" si="75"/>
        <v>1</v>
      </c>
      <c r="L1544" s="6" t="str">
        <f t="shared" si="76"/>
        <v>ENERO</v>
      </c>
    </row>
    <row r="1545" spans="1:12" x14ac:dyDescent="0.25">
      <c r="A1545" s="5">
        <f t="shared" si="74"/>
        <v>2026</v>
      </c>
      <c r="B1545" s="18" t="s">
        <v>1426</v>
      </c>
      <c r="C1545" s="18" t="s">
        <v>595</v>
      </c>
      <c r="D1545" s="12">
        <v>6433</v>
      </c>
      <c r="E1545" s="17">
        <v>55509</v>
      </c>
      <c r="F1545" s="12" t="s">
        <v>431</v>
      </c>
      <c r="G1545" s="14">
        <v>2</v>
      </c>
      <c r="H1545" s="24">
        <v>98000</v>
      </c>
      <c r="I1545" s="12" t="s">
        <v>712</v>
      </c>
      <c r="J1545" s="6" t="s">
        <v>608</v>
      </c>
      <c r="K1545" s="6">
        <f t="shared" si="75"/>
        <v>1</v>
      </c>
      <c r="L1545" s="6" t="str">
        <f t="shared" si="76"/>
        <v>ENERO</v>
      </c>
    </row>
    <row r="1546" spans="1:12" x14ac:dyDescent="0.25">
      <c r="A1546" s="5">
        <f t="shared" si="74"/>
        <v>2026</v>
      </c>
      <c r="B1546" s="18" t="s">
        <v>1426</v>
      </c>
      <c r="C1546" s="18" t="s">
        <v>595</v>
      </c>
      <c r="D1546" s="12">
        <v>6433</v>
      </c>
      <c r="E1546" s="17" t="s">
        <v>220</v>
      </c>
      <c r="F1546" s="12" t="s">
        <v>221</v>
      </c>
      <c r="G1546" s="14">
        <v>1</v>
      </c>
      <c r="H1546" s="24">
        <v>460000</v>
      </c>
      <c r="I1546" s="12" t="s">
        <v>712</v>
      </c>
      <c r="J1546" s="6" t="s">
        <v>608</v>
      </c>
      <c r="K1546" s="6">
        <f t="shared" si="75"/>
        <v>1</v>
      </c>
      <c r="L1546" s="6" t="str">
        <f t="shared" si="76"/>
        <v>ENERO</v>
      </c>
    </row>
    <row r="1547" spans="1:12" x14ac:dyDescent="0.25">
      <c r="A1547" s="5">
        <f t="shared" si="74"/>
        <v>2026</v>
      </c>
      <c r="B1547" s="18" t="s">
        <v>1426</v>
      </c>
      <c r="C1547" s="18" t="s">
        <v>595</v>
      </c>
      <c r="D1547" s="12">
        <v>6433</v>
      </c>
      <c r="E1547" s="17" t="s">
        <v>262</v>
      </c>
      <c r="F1547" s="12" t="s">
        <v>263</v>
      </c>
      <c r="G1547" s="14">
        <v>1</v>
      </c>
      <c r="H1547" s="24">
        <v>128000</v>
      </c>
      <c r="I1547" s="12" t="s">
        <v>712</v>
      </c>
      <c r="J1547" s="6" t="s">
        <v>608</v>
      </c>
      <c r="K1547" s="6">
        <f t="shared" si="75"/>
        <v>1</v>
      </c>
      <c r="L1547" s="6" t="str">
        <f t="shared" si="76"/>
        <v>ENERO</v>
      </c>
    </row>
    <row r="1548" spans="1:12" x14ac:dyDescent="0.25">
      <c r="A1548" s="5">
        <f t="shared" si="74"/>
        <v>2026</v>
      </c>
      <c r="B1548" s="18" t="s">
        <v>1426</v>
      </c>
      <c r="C1548" s="18" t="s">
        <v>595</v>
      </c>
      <c r="D1548" s="12">
        <v>6433</v>
      </c>
      <c r="E1548" s="17">
        <v>4302321</v>
      </c>
      <c r="F1548" s="12" t="s">
        <v>444</v>
      </c>
      <c r="G1548" s="14">
        <v>1</v>
      </c>
      <c r="H1548" s="24">
        <v>65000</v>
      </c>
      <c r="I1548" s="12" t="s">
        <v>712</v>
      </c>
      <c r="J1548" s="6" t="s">
        <v>608</v>
      </c>
      <c r="K1548" s="6">
        <f t="shared" si="75"/>
        <v>1</v>
      </c>
      <c r="L1548" s="6" t="str">
        <f t="shared" si="76"/>
        <v>ENERO</v>
      </c>
    </row>
    <row r="1549" spans="1:12" x14ac:dyDescent="0.25">
      <c r="A1549" s="5">
        <f t="shared" si="74"/>
        <v>2026</v>
      </c>
      <c r="B1549" s="18" t="s">
        <v>1426</v>
      </c>
      <c r="C1549" s="18" t="s">
        <v>595</v>
      </c>
      <c r="D1549" s="12">
        <v>6433</v>
      </c>
      <c r="E1549" s="17" t="s">
        <v>340</v>
      </c>
      <c r="F1549" s="12" t="s">
        <v>341</v>
      </c>
      <c r="G1549" s="14">
        <v>1</v>
      </c>
      <c r="H1549" s="24">
        <v>33000</v>
      </c>
      <c r="I1549" s="12" t="s">
        <v>712</v>
      </c>
      <c r="J1549" s="6" t="s">
        <v>608</v>
      </c>
      <c r="K1549" s="6">
        <f t="shared" si="75"/>
        <v>1</v>
      </c>
      <c r="L1549" s="6" t="str">
        <f t="shared" si="76"/>
        <v>ENERO</v>
      </c>
    </row>
    <row r="1550" spans="1:12" x14ac:dyDescent="0.25">
      <c r="A1550" s="5">
        <f t="shared" si="74"/>
        <v>2026</v>
      </c>
      <c r="B1550" s="18" t="s">
        <v>1426</v>
      </c>
      <c r="C1550" s="18" t="s">
        <v>595</v>
      </c>
      <c r="D1550" s="12">
        <v>6433</v>
      </c>
      <c r="E1550" s="17" t="s">
        <v>297</v>
      </c>
      <c r="F1550" s="12" t="s">
        <v>298</v>
      </c>
      <c r="G1550" s="14">
        <v>1</v>
      </c>
      <c r="H1550" s="24">
        <v>156000</v>
      </c>
      <c r="I1550" s="12" t="s">
        <v>712</v>
      </c>
      <c r="J1550" s="6" t="s">
        <v>608</v>
      </c>
      <c r="K1550" s="6">
        <f t="shared" si="75"/>
        <v>1</v>
      </c>
      <c r="L1550" s="6" t="str">
        <f t="shared" si="76"/>
        <v>ENERO</v>
      </c>
    </row>
    <row r="1551" spans="1:12" x14ac:dyDescent="0.25">
      <c r="A1551" s="5">
        <f t="shared" si="74"/>
        <v>2026</v>
      </c>
      <c r="B1551" s="18" t="s">
        <v>1426</v>
      </c>
      <c r="C1551" s="18" t="s">
        <v>595</v>
      </c>
      <c r="D1551" s="12">
        <v>6433</v>
      </c>
      <c r="E1551" s="17">
        <v>210737</v>
      </c>
      <c r="F1551" s="12" t="s">
        <v>506</v>
      </c>
      <c r="G1551" s="14">
        <v>1</v>
      </c>
      <c r="H1551" s="24">
        <v>128000</v>
      </c>
      <c r="I1551" s="12" t="s">
        <v>712</v>
      </c>
      <c r="J1551" s="6" t="s">
        <v>608</v>
      </c>
      <c r="K1551" s="6">
        <f t="shared" si="75"/>
        <v>1</v>
      </c>
      <c r="L1551" s="6" t="str">
        <f t="shared" si="76"/>
        <v>ENERO</v>
      </c>
    </row>
    <row r="1552" spans="1:12" x14ac:dyDescent="0.25">
      <c r="A1552" s="5">
        <f t="shared" si="74"/>
        <v>2026</v>
      </c>
      <c r="B1552" s="18" t="s">
        <v>1426</v>
      </c>
      <c r="C1552" s="18" t="s">
        <v>595</v>
      </c>
      <c r="D1552" s="12">
        <v>6433</v>
      </c>
      <c r="E1552" s="17">
        <v>210736</v>
      </c>
      <c r="F1552" s="12" t="s">
        <v>504</v>
      </c>
      <c r="G1552" s="14">
        <v>1</v>
      </c>
      <c r="H1552" s="24">
        <v>155000</v>
      </c>
      <c r="I1552" s="12" t="s">
        <v>712</v>
      </c>
      <c r="J1552" s="6" t="s">
        <v>608</v>
      </c>
      <c r="K1552" s="6">
        <f t="shared" si="75"/>
        <v>1</v>
      </c>
      <c r="L1552" s="6" t="str">
        <f t="shared" si="76"/>
        <v>ENERO</v>
      </c>
    </row>
    <row r="1553" spans="1:12" x14ac:dyDescent="0.25">
      <c r="A1553" s="5">
        <f t="shared" si="74"/>
        <v>2026</v>
      </c>
      <c r="B1553" s="18" t="s">
        <v>1426</v>
      </c>
      <c r="C1553" s="18" t="s">
        <v>595</v>
      </c>
      <c r="D1553" s="12">
        <v>6433</v>
      </c>
      <c r="E1553" s="17" t="s">
        <v>245</v>
      </c>
      <c r="F1553" s="12" t="s">
        <v>246</v>
      </c>
      <c r="G1553" s="14">
        <v>8</v>
      </c>
      <c r="H1553" s="24">
        <v>44000</v>
      </c>
      <c r="I1553" s="12" t="s">
        <v>712</v>
      </c>
      <c r="J1553" s="6" t="s">
        <v>608</v>
      </c>
      <c r="K1553" s="6">
        <f t="shared" si="75"/>
        <v>1</v>
      </c>
      <c r="L1553" s="6" t="str">
        <f t="shared" si="76"/>
        <v>ENERO</v>
      </c>
    </row>
    <row r="1554" spans="1:12" x14ac:dyDescent="0.25">
      <c r="A1554" s="5">
        <f t="shared" si="74"/>
        <v>2026</v>
      </c>
      <c r="B1554" s="18" t="s">
        <v>1426</v>
      </c>
      <c r="C1554" s="18" t="s">
        <v>595</v>
      </c>
      <c r="D1554" s="12">
        <v>6433</v>
      </c>
      <c r="E1554" s="17" t="s">
        <v>161</v>
      </c>
      <c r="F1554" s="12" t="s">
        <v>162</v>
      </c>
      <c r="G1554" s="14">
        <v>1</v>
      </c>
      <c r="H1554" s="24">
        <v>184000</v>
      </c>
      <c r="I1554" s="12" t="s">
        <v>712</v>
      </c>
      <c r="J1554" s="6" t="s">
        <v>608</v>
      </c>
      <c r="K1554" s="6">
        <f t="shared" si="75"/>
        <v>1</v>
      </c>
      <c r="L1554" s="6" t="str">
        <f t="shared" si="76"/>
        <v>ENERO</v>
      </c>
    </row>
    <row r="1555" spans="1:12" x14ac:dyDescent="0.25">
      <c r="A1555" s="5">
        <f t="shared" si="74"/>
        <v>2026</v>
      </c>
      <c r="B1555" s="18" t="s">
        <v>1426</v>
      </c>
      <c r="C1555" s="18" t="s">
        <v>595</v>
      </c>
      <c r="D1555" s="12">
        <v>6433</v>
      </c>
      <c r="E1555" s="17" t="s">
        <v>359</v>
      </c>
      <c r="F1555" s="12" t="s">
        <v>360</v>
      </c>
      <c r="G1555" s="14">
        <v>1</v>
      </c>
      <c r="H1555" s="24">
        <v>64000</v>
      </c>
      <c r="I1555" s="12" t="s">
        <v>712</v>
      </c>
      <c r="J1555" s="6" t="s">
        <v>608</v>
      </c>
      <c r="K1555" s="6">
        <f t="shared" si="75"/>
        <v>1</v>
      </c>
      <c r="L1555" s="6" t="str">
        <f t="shared" si="76"/>
        <v>ENERO</v>
      </c>
    </row>
    <row r="1556" spans="1:12" x14ac:dyDescent="0.25">
      <c r="A1556" s="5">
        <f t="shared" si="74"/>
        <v>2026</v>
      </c>
      <c r="B1556" s="18" t="s">
        <v>1427</v>
      </c>
      <c r="C1556" s="18" t="s">
        <v>595</v>
      </c>
      <c r="D1556" s="12">
        <v>6432</v>
      </c>
      <c r="E1556" s="17" t="s">
        <v>43</v>
      </c>
      <c r="F1556" s="12" t="s">
        <v>44</v>
      </c>
      <c r="G1556" s="14">
        <v>2</v>
      </c>
      <c r="H1556" s="24">
        <v>520000</v>
      </c>
      <c r="I1556" s="12" t="s">
        <v>712</v>
      </c>
      <c r="J1556" s="6" t="s">
        <v>608</v>
      </c>
      <c r="K1556" s="6">
        <f t="shared" si="75"/>
        <v>1</v>
      </c>
      <c r="L1556" s="6" t="str">
        <f t="shared" si="76"/>
        <v>ENERO</v>
      </c>
    </row>
    <row r="1557" spans="1:12" x14ac:dyDescent="0.25">
      <c r="A1557" s="5">
        <f t="shared" si="74"/>
        <v>2026</v>
      </c>
      <c r="B1557" s="18" t="s">
        <v>1427</v>
      </c>
      <c r="C1557" s="18" t="s">
        <v>595</v>
      </c>
      <c r="D1557" s="12">
        <v>6430</v>
      </c>
      <c r="E1557" s="17" t="s">
        <v>350</v>
      </c>
      <c r="F1557" s="12" t="s">
        <v>351</v>
      </c>
      <c r="G1557" s="14">
        <v>1</v>
      </c>
      <c r="H1557" s="24">
        <v>650000</v>
      </c>
      <c r="I1557" s="12" t="s">
        <v>712</v>
      </c>
      <c r="J1557" s="6" t="s">
        <v>608</v>
      </c>
      <c r="K1557" s="6">
        <f t="shared" si="75"/>
        <v>1</v>
      </c>
      <c r="L1557" s="6" t="str">
        <f t="shared" si="76"/>
        <v>ENERO</v>
      </c>
    </row>
    <row r="1558" spans="1:12" x14ac:dyDescent="0.25">
      <c r="A1558" s="5">
        <f t="shared" si="74"/>
        <v>2026</v>
      </c>
      <c r="B1558" s="18" t="s">
        <v>1427</v>
      </c>
      <c r="C1558" s="18" t="s">
        <v>595</v>
      </c>
      <c r="D1558" s="12">
        <v>6430</v>
      </c>
      <c r="E1558" s="17" t="s">
        <v>423</v>
      </c>
      <c r="F1558" s="12" t="s">
        <v>424</v>
      </c>
      <c r="G1558" s="14">
        <v>2</v>
      </c>
      <c r="H1558" s="24">
        <v>164000</v>
      </c>
      <c r="I1558" s="12" t="s">
        <v>712</v>
      </c>
      <c r="J1558" s="6" t="s">
        <v>608</v>
      </c>
      <c r="K1558" s="6">
        <f t="shared" si="75"/>
        <v>1</v>
      </c>
      <c r="L1558" s="6" t="str">
        <f t="shared" si="76"/>
        <v>ENERO</v>
      </c>
    </row>
    <row r="1559" spans="1:12" x14ac:dyDescent="0.25">
      <c r="A1559" s="5">
        <f t="shared" si="74"/>
        <v>2026</v>
      </c>
      <c r="B1559" s="18" t="s">
        <v>1427</v>
      </c>
      <c r="C1559" s="18" t="s">
        <v>595</v>
      </c>
      <c r="D1559" s="12">
        <v>6430</v>
      </c>
      <c r="E1559" s="17" t="s">
        <v>484</v>
      </c>
      <c r="F1559" s="12" t="s">
        <v>485</v>
      </c>
      <c r="G1559" s="14">
        <v>1</v>
      </c>
      <c r="H1559" s="24">
        <v>30000</v>
      </c>
      <c r="I1559" s="12" t="s">
        <v>712</v>
      </c>
      <c r="J1559" s="6" t="s">
        <v>608</v>
      </c>
      <c r="K1559" s="6">
        <f t="shared" si="75"/>
        <v>1</v>
      </c>
      <c r="L1559" s="6" t="str">
        <f t="shared" si="76"/>
        <v>ENERO</v>
      </c>
    </row>
    <row r="1560" spans="1:12" x14ac:dyDescent="0.25">
      <c r="A1560" s="5">
        <f t="shared" si="74"/>
        <v>2026</v>
      </c>
      <c r="B1560" s="18" t="s">
        <v>1427</v>
      </c>
      <c r="C1560" s="18" t="s">
        <v>595</v>
      </c>
      <c r="D1560" s="12">
        <v>6430</v>
      </c>
      <c r="E1560" s="17" t="s">
        <v>371</v>
      </c>
      <c r="F1560" s="12" t="s">
        <v>372</v>
      </c>
      <c r="G1560" s="14">
        <v>1</v>
      </c>
      <c r="H1560" s="24">
        <v>188000</v>
      </c>
      <c r="I1560" s="12" t="s">
        <v>712</v>
      </c>
      <c r="J1560" s="6" t="s">
        <v>608</v>
      </c>
      <c r="K1560" s="6">
        <f t="shared" si="75"/>
        <v>1</v>
      </c>
      <c r="L1560" s="6" t="str">
        <f t="shared" si="76"/>
        <v>ENERO</v>
      </c>
    </row>
    <row r="1561" spans="1:12" x14ac:dyDescent="0.25">
      <c r="A1561" s="5">
        <f t="shared" si="74"/>
        <v>2026</v>
      </c>
      <c r="B1561" s="18" t="s">
        <v>1427</v>
      </c>
      <c r="C1561" s="18" t="s">
        <v>595</v>
      </c>
      <c r="D1561" s="12">
        <v>6430</v>
      </c>
      <c r="E1561" s="17" t="s">
        <v>1302</v>
      </c>
      <c r="F1561" s="12" t="s">
        <v>1303</v>
      </c>
      <c r="G1561" s="14">
        <v>1</v>
      </c>
      <c r="H1561" s="24">
        <v>5300</v>
      </c>
      <c r="I1561" s="12" t="s">
        <v>712</v>
      </c>
      <c r="J1561" s="6" t="s">
        <v>608</v>
      </c>
      <c r="K1561" s="6">
        <f t="shared" si="75"/>
        <v>1</v>
      </c>
      <c r="L1561" s="6" t="str">
        <f t="shared" si="76"/>
        <v>ENERO</v>
      </c>
    </row>
    <row r="1562" spans="1:12" x14ac:dyDescent="0.25">
      <c r="A1562" s="5">
        <f t="shared" si="74"/>
        <v>2026</v>
      </c>
      <c r="B1562" s="18" t="s">
        <v>1427</v>
      </c>
      <c r="C1562" s="18" t="s">
        <v>595</v>
      </c>
      <c r="D1562" s="12">
        <v>6430</v>
      </c>
      <c r="E1562" s="17">
        <v>8774</v>
      </c>
      <c r="F1562" s="12" t="s">
        <v>720</v>
      </c>
      <c r="G1562" s="14">
        <v>1</v>
      </c>
      <c r="H1562" s="24">
        <v>730000</v>
      </c>
      <c r="I1562" s="12" t="s">
        <v>712</v>
      </c>
      <c r="J1562" s="6" t="s">
        <v>608</v>
      </c>
      <c r="K1562" s="6">
        <f t="shared" si="75"/>
        <v>1</v>
      </c>
      <c r="L1562" s="6" t="str">
        <f t="shared" si="76"/>
        <v>ENERO</v>
      </c>
    </row>
    <row r="1563" spans="1:12" x14ac:dyDescent="0.25">
      <c r="A1563" s="5">
        <f t="shared" si="74"/>
        <v>2026</v>
      </c>
      <c r="B1563" s="18" t="s">
        <v>1427</v>
      </c>
      <c r="C1563" s="18" t="s">
        <v>595</v>
      </c>
      <c r="D1563" s="12">
        <v>6430</v>
      </c>
      <c r="E1563" s="17" t="s">
        <v>241</v>
      </c>
      <c r="F1563" s="12" t="s">
        <v>242</v>
      </c>
      <c r="G1563" s="14">
        <v>1</v>
      </c>
      <c r="H1563" s="24">
        <v>475000</v>
      </c>
      <c r="I1563" s="12" t="s">
        <v>712</v>
      </c>
      <c r="J1563" s="6" t="s">
        <v>608</v>
      </c>
      <c r="K1563" s="6">
        <f t="shared" si="75"/>
        <v>1</v>
      </c>
      <c r="L1563" s="6" t="str">
        <f t="shared" si="76"/>
        <v>ENERO</v>
      </c>
    </row>
    <row r="1564" spans="1:12" x14ac:dyDescent="0.25">
      <c r="A1564" s="5">
        <f t="shared" si="74"/>
        <v>2026</v>
      </c>
      <c r="B1564" s="18" t="s">
        <v>1427</v>
      </c>
      <c r="C1564" s="18" t="s">
        <v>595</v>
      </c>
      <c r="D1564" s="12">
        <v>6430</v>
      </c>
      <c r="E1564" s="17">
        <v>9373</v>
      </c>
      <c r="F1564" s="12" t="s">
        <v>128</v>
      </c>
      <c r="G1564" s="14">
        <v>1</v>
      </c>
      <c r="H1564" s="24">
        <v>460000</v>
      </c>
      <c r="I1564" s="12" t="s">
        <v>712</v>
      </c>
      <c r="J1564" s="6" t="s">
        <v>608</v>
      </c>
      <c r="K1564" s="6">
        <f t="shared" si="75"/>
        <v>1</v>
      </c>
      <c r="L1564" s="6" t="str">
        <f t="shared" si="76"/>
        <v>ENERO</v>
      </c>
    </row>
    <row r="1565" spans="1:12" x14ac:dyDescent="0.25">
      <c r="A1565" s="5">
        <f t="shared" si="74"/>
        <v>2026</v>
      </c>
      <c r="B1565" s="18" t="s">
        <v>1427</v>
      </c>
      <c r="C1565" s="18" t="s">
        <v>595</v>
      </c>
      <c r="D1565" s="12">
        <v>6430</v>
      </c>
      <c r="E1565" s="17" t="s">
        <v>482</v>
      </c>
      <c r="F1565" s="12" t="s">
        <v>483</v>
      </c>
      <c r="G1565" s="14">
        <v>2</v>
      </c>
      <c r="H1565" s="24">
        <v>890000</v>
      </c>
      <c r="I1565" s="12" t="s">
        <v>712</v>
      </c>
      <c r="J1565" s="6" t="s">
        <v>608</v>
      </c>
      <c r="K1565" s="6">
        <f t="shared" si="75"/>
        <v>1</v>
      </c>
      <c r="L1565" s="6" t="str">
        <f t="shared" si="76"/>
        <v>ENERO</v>
      </c>
    </row>
    <row r="1566" spans="1:12" x14ac:dyDescent="0.25">
      <c r="A1566" s="5">
        <f t="shared" si="74"/>
        <v>2026</v>
      </c>
      <c r="B1566" s="18" t="s">
        <v>1427</v>
      </c>
      <c r="C1566" s="18" t="s">
        <v>595</v>
      </c>
      <c r="D1566" s="12">
        <v>6430</v>
      </c>
      <c r="E1566" s="17" t="s">
        <v>274</v>
      </c>
      <c r="F1566" s="12" t="s">
        <v>275</v>
      </c>
      <c r="G1566" s="14">
        <v>1</v>
      </c>
      <c r="H1566" s="24">
        <v>62000</v>
      </c>
      <c r="I1566" s="12" t="s">
        <v>712</v>
      </c>
      <c r="J1566" s="6" t="s">
        <v>608</v>
      </c>
      <c r="K1566" s="6">
        <f t="shared" si="75"/>
        <v>1</v>
      </c>
      <c r="L1566" s="6" t="str">
        <f t="shared" si="76"/>
        <v>ENERO</v>
      </c>
    </row>
    <row r="1567" spans="1:12" x14ac:dyDescent="0.25">
      <c r="A1567" s="5">
        <f t="shared" si="74"/>
        <v>2026</v>
      </c>
      <c r="B1567" s="18" t="s">
        <v>1427</v>
      </c>
      <c r="C1567" s="18" t="s">
        <v>595</v>
      </c>
      <c r="D1567" s="12">
        <v>6430</v>
      </c>
      <c r="E1567" s="17" t="s">
        <v>465</v>
      </c>
      <c r="F1567" s="12" t="s">
        <v>466</v>
      </c>
      <c r="G1567" s="14">
        <v>1</v>
      </c>
      <c r="H1567" s="24">
        <v>65000</v>
      </c>
      <c r="I1567" s="12" t="s">
        <v>712</v>
      </c>
      <c r="J1567" s="6" t="s">
        <v>608</v>
      </c>
      <c r="K1567" s="6">
        <f t="shared" si="75"/>
        <v>1</v>
      </c>
      <c r="L1567" s="6" t="str">
        <f t="shared" si="76"/>
        <v>ENERO</v>
      </c>
    </row>
    <row r="1568" spans="1:12" x14ac:dyDescent="0.25">
      <c r="A1568" s="5">
        <f t="shared" si="74"/>
        <v>2026</v>
      </c>
      <c r="B1568" s="18" t="s">
        <v>1427</v>
      </c>
      <c r="C1568" s="18" t="s">
        <v>595</v>
      </c>
      <c r="D1568" s="12">
        <v>6430</v>
      </c>
      <c r="E1568" s="17">
        <v>57</v>
      </c>
      <c r="F1568" s="12" t="s">
        <v>581</v>
      </c>
      <c r="G1568" s="14">
        <v>1</v>
      </c>
      <c r="H1568" s="24">
        <v>45000</v>
      </c>
      <c r="I1568" s="12" t="s">
        <v>712</v>
      </c>
      <c r="J1568" s="6" t="s">
        <v>608</v>
      </c>
      <c r="K1568" s="6">
        <f t="shared" si="75"/>
        <v>1</v>
      </c>
      <c r="L1568" s="6" t="str">
        <f t="shared" si="76"/>
        <v>ENERO</v>
      </c>
    </row>
    <row r="1569" spans="1:12" x14ac:dyDescent="0.25">
      <c r="A1569" s="5">
        <f t="shared" si="74"/>
        <v>2026</v>
      </c>
      <c r="B1569" s="18" t="s">
        <v>1427</v>
      </c>
      <c r="C1569" s="18" t="s">
        <v>595</v>
      </c>
      <c r="D1569" s="12">
        <v>6430</v>
      </c>
      <c r="E1569" s="17">
        <v>85003</v>
      </c>
      <c r="F1569" s="12" t="s">
        <v>449</v>
      </c>
      <c r="G1569" s="14">
        <v>6</v>
      </c>
      <c r="H1569" s="24">
        <v>126000</v>
      </c>
      <c r="I1569" s="12" t="s">
        <v>712</v>
      </c>
      <c r="J1569" s="6" t="s">
        <v>608</v>
      </c>
      <c r="K1569" s="6">
        <f t="shared" si="75"/>
        <v>1</v>
      </c>
      <c r="L1569" s="6" t="str">
        <f t="shared" si="76"/>
        <v>ENERO</v>
      </c>
    </row>
    <row r="1570" spans="1:12" x14ac:dyDescent="0.25">
      <c r="A1570" s="5">
        <f t="shared" si="74"/>
        <v>2026</v>
      </c>
      <c r="B1570" s="18" t="s">
        <v>1427</v>
      </c>
      <c r="C1570" s="18" t="s">
        <v>595</v>
      </c>
      <c r="D1570" s="12">
        <v>6430</v>
      </c>
      <c r="E1570" s="17">
        <v>23559</v>
      </c>
      <c r="F1570" s="12" t="s">
        <v>129</v>
      </c>
      <c r="G1570" s="14">
        <v>1</v>
      </c>
      <c r="H1570" s="24">
        <v>5000</v>
      </c>
      <c r="I1570" s="12" t="s">
        <v>712</v>
      </c>
      <c r="J1570" s="6" t="s">
        <v>608</v>
      </c>
      <c r="K1570" s="6">
        <f t="shared" si="75"/>
        <v>1</v>
      </c>
      <c r="L1570" s="6" t="str">
        <f t="shared" si="76"/>
        <v>ENERO</v>
      </c>
    </row>
    <row r="1571" spans="1:12" x14ac:dyDescent="0.25">
      <c r="A1571" s="5">
        <f t="shared" si="74"/>
        <v>2026</v>
      </c>
      <c r="B1571" s="18" t="s">
        <v>1427</v>
      </c>
      <c r="C1571" s="18" t="s">
        <v>595</v>
      </c>
      <c r="D1571" s="12">
        <v>6430</v>
      </c>
      <c r="E1571" s="17" t="s">
        <v>415</v>
      </c>
      <c r="F1571" s="12" t="s">
        <v>416</v>
      </c>
      <c r="G1571" s="14">
        <v>1</v>
      </c>
      <c r="H1571" s="24">
        <v>422000</v>
      </c>
      <c r="I1571" s="12" t="s">
        <v>712</v>
      </c>
      <c r="J1571" s="6" t="s">
        <v>608</v>
      </c>
      <c r="K1571" s="6">
        <f t="shared" si="75"/>
        <v>1</v>
      </c>
      <c r="L1571" s="6" t="str">
        <f t="shared" si="76"/>
        <v>ENERO</v>
      </c>
    </row>
    <row r="1572" spans="1:12" x14ac:dyDescent="0.25">
      <c r="A1572" s="5">
        <f t="shared" si="74"/>
        <v>2026</v>
      </c>
      <c r="B1572" s="18" t="s">
        <v>1427</v>
      </c>
      <c r="C1572" s="18" t="s">
        <v>595</v>
      </c>
      <c r="D1572" s="12">
        <v>6430</v>
      </c>
      <c r="E1572" s="17" t="s">
        <v>342</v>
      </c>
      <c r="F1572" s="12" t="s">
        <v>343</v>
      </c>
      <c r="G1572" s="14">
        <v>1</v>
      </c>
      <c r="H1572" s="24">
        <v>240000</v>
      </c>
      <c r="I1572" s="12" t="s">
        <v>712</v>
      </c>
      <c r="J1572" s="6" t="s">
        <v>608</v>
      </c>
      <c r="K1572" s="6">
        <f t="shared" si="75"/>
        <v>1</v>
      </c>
      <c r="L1572" s="6" t="str">
        <f t="shared" si="76"/>
        <v>ENERO</v>
      </c>
    </row>
    <row r="1573" spans="1:12" x14ac:dyDescent="0.25">
      <c r="A1573" s="5">
        <f t="shared" si="74"/>
        <v>2026</v>
      </c>
      <c r="B1573" s="18" t="s">
        <v>1427</v>
      </c>
      <c r="C1573" s="18" t="s">
        <v>595</v>
      </c>
      <c r="D1573" s="12">
        <v>6430</v>
      </c>
      <c r="E1573" s="17" t="s">
        <v>181</v>
      </c>
      <c r="F1573" s="12" t="s">
        <v>182</v>
      </c>
      <c r="G1573" s="14">
        <v>1</v>
      </c>
      <c r="H1573" s="24">
        <v>103000</v>
      </c>
      <c r="I1573" s="12" t="s">
        <v>712</v>
      </c>
      <c r="J1573" s="6" t="s">
        <v>608</v>
      </c>
      <c r="K1573" s="6">
        <f t="shared" si="75"/>
        <v>1</v>
      </c>
      <c r="L1573" s="6" t="str">
        <f t="shared" si="76"/>
        <v>ENERO</v>
      </c>
    </row>
    <row r="1574" spans="1:12" x14ac:dyDescent="0.25">
      <c r="A1574" s="5">
        <f t="shared" si="74"/>
        <v>2026</v>
      </c>
      <c r="B1574" s="18" t="s">
        <v>1427</v>
      </c>
      <c r="C1574" s="18" t="s">
        <v>595</v>
      </c>
      <c r="D1574" s="12">
        <v>6430</v>
      </c>
      <c r="E1574" s="17">
        <v>55509</v>
      </c>
      <c r="F1574" s="12" t="s">
        <v>431</v>
      </c>
      <c r="G1574" s="14">
        <v>3</v>
      </c>
      <c r="H1574" s="24">
        <v>147000</v>
      </c>
      <c r="I1574" s="12" t="s">
        <v>712</v>
      </c>
      <c r="J1574" s="6" t="s">
        <v>608</v>
      </c>
      <c r="K1574" s="6">
        <f t="shared" si="75"/>
        <v>1</v>
      </c>
      <c r="L1574" s="6" t="str">
        <f t="shared" si="76"/>
        <v>ENERO</v>
      </c>
    </row>
    <row r="1575" spans="1:12" x14ac:dyDescent="0.25">
      <c r="A1575" s="5">
        <f t="shared" si="74"/>
        <v>2026</v>
      </c>
      <c r="B1575" s="18" t="s">
        <v>1427</v>
      </c>
      <c r="C1575" s="18" t="s">
        <v>595</v>
      </c>
      <c r="D1575" s="12">
        <v>6430</v>
      </c>
      <c r="E1575" s="17" t="s">
        <v>352</v>
      </c>
      <c r="F1575" s="12" t="s">
        <v>353</v>
      </c>
      <c r="G1575" s="14">
        <v>1</v>
      </c>
      <c r="H1575" s="24">
        <v>56000</v>
      </c>
      <c r="I1575" s="12" t="s">
        <v>712</v>
      </c>
      <c r="J1575" s="6" t="s">
        <v>608</v>
      </c>
      <c r="K1575" s="6">
        <f t="shared" si="75"/>
        <v>1</v>
      </c>
      <c r="L1575" s="6" t="str">
        <f t="shared" si="76"/>
        <v>ENERO</v>
      </c>
    </row>
    <row r="1576" spans="1:12" x14ac:dyDescent="0.25">
      <c r="A1576" s="5">
        <f t="shared" si="74"/>
        <v>2026</v>
      </c>
      <c r="B1576" s="18" t="s">
        <v>1427</v>
      </c>
      <c r="C1576" s="18" t="s">
        <v>595</v>
      </c>
      <c r="D1576" s="12">
        <v>6430</v>
      </c>
      <c r="E1576" s="17" t="s">
        <v>293</v>
      </c>
      <c r="F1576" s="12" t="s">
        <v>294</v>
      </c>
      <c r="G1576" s="14">
        <v>1</v>
      </c>
      <c r="H1576" s="24">
        <v>421000</v>
      </c>
      <c r="I1576" s="12" t="s">
        <v>712</v>
      </c>
      <c r="J1576" s="6" t="s">
        <v>608</v>
      </c>
      <c r="K1576" s="6">
        <f t="shared" si="75"/>
        <v>1</v>
      </c>
      <c r="L1576" s="6" t="str">
        <f t="shared" si="76"/>
        <v>ENERO</v>
      </c>
    </row>
    <row r="1577" spans="1:12" x14ac:dyDescent="0.25">
      <c r="A1577" s="5">
        <f t="shared" si="74"/>
        <v>2026</v>
      </c>
      <c r="B1577" s="18" t="s">
        <v>1427</v>
      </c>
      <c r="C1577" s="18" t="s">
        <v>595</v>
      </c>
      <c r="D1577" s="12">
        <v>6430</v>
      </c>
      <c r="E1577" s="17" t="s">
        <v>309</v>
      </c>
      <c r="F1577" s="12" t="s">
        <v>310</v>
      </c>
      <c r="G1577" s="14">
        <v>1</v>
      </c>
      <c r="H1577" s="24">
        <v>2100000</v>
      </c>
      <c r="I1577" s="12" t="s">
        <v>712</v>
      </c>
      <c r="J1577" s="6" t="s">
        <v>608</v>
      </c>
      <c r="K1577" s="6">
        <f t="shared" si="75"/>
        <v>1</v>
      </c>
      <c r="L1577" s="6" t="str">
        <f t="shared" si="76"/>
        <v>ENERO</v>
      </c>
    </row>
    <row r="1578" spans="1:12" x14ac:dyDescent="0.25">
      <c r="A1578" s="5">
        <f t="shared" si="74"/>
        <v>2026</v>
      </c>
      <c r="B1578" s="18" t="s">
        <v>1427</v>
      </c>
      <c r="C1578" s="18" t="s">
        <v>595</v>
      </c>
      <c r="D1578" s="12">
        <v>6430</v>
      </c>
      <c r="E1578" s="17">
        <v>4303336</v>
      </c>
      <c r="F1578" s="12" t="s">
        <v>261</v>
      </c>
      <c r="G1578" s="14">
        <v>2</v>
      </c>
      <c r="H1578" s="24">
        <v>14000</v>
      </c>
      <c r="I1578" s="12" t="s">
        <v>712</v>
      </c>
      <c r="J1578" s="6" t="s">
        <v>608</v>
      </c>
      <c r="K1578" s="6">
        <f t="shared" si="75"/>
        <v>1</v>
      </c>
      <c r="L1578" s="6" t="str">
        <f t="shared" si="76"/>
        <v>ENERO</v>
      </c>
    </row>
    <row r="1579" spans="1:12" x14ac:dyDescent="0.25">
      <c r="A1579" s="5">
        <f t="shared" si="74"/>
        <v>2026</v>
      </c>
      <c r="B1579" s="18" t="s">
        <v>1427</v>
      </c>
      <c r="C1579" s="18" t="s">
        <v>595</v>
      </c>
      <c r="D1579" s="12">
        <v>6430</v>
      </c>
      <c r="E1579" s="17" t="s">
        <v>220</v>
      </c>
      <c r="F1579" s="12" t="s">
        <v>221</v>
      </c>
      <c r="G1579" s="14">
        <v>1</v>
      </c>
      <c r="H1579" s="24">
        <v>460000</v>
      </c>
      <c r="I1579" s="12" t="s">
        <v>712</v>
      </c>
      <c r="J1579" s="6" t="s">
        <v>608</v>
      </c>
      <c r="K1579" s="6">
        <f t="shared" si="75"/>
        <v>1</v>
      </c>
      <c r="L1579" s="6" t="str">
        <f t="shared" si="76"/>
        <v>ENERO</v>
      </c>
    </row>
    <row r="1580" spans="1:12" x14ac:dyDescent="0.25">
      <c r="A1580" s="5">
        <f t="shared" si="74"/>
        <v>2026</v>
      </c>
      <c r="B1580" s="18" t="s">
        <v>1427</v>
      </c>
      <c r="C1580" s="18" t="s">
        <v>595</v>
      </c>
      <c r="D1580" s="12">
        <v>6430</v>
      </c>
      <c r="E1580" s="17">
        <v>4303603</v>
      </c>
      <c r="F1580" s="12" t="s">
        <v>335</v>
      </c>
      <c r="G1580" s="14">
        <v>2</v>
      </c>
      <c r="H1580" s="24">
        <v>80000</v>
      </c>
      <c r="I1580" s="12" t="s">
        <v>712</v>
      </c>
      <c r="J1580" s="6" t="s">
        <v>608</v>
      </c>
      <c r="K1580" s="6">
        <f t="shared" si="75"/>
        <v>1</v>
      </c>
      <c r="L1580" s="6" t="str">
        <f t="shared" si="76"/>
        <v>ENERO</v>
      </c>
    </row>
    <row r="1581" spans="1:12" x14ac:dyDescent="0.25">
      <c r="A1581" s="5">
        <f t="shared" si="74"/>
        <v>2026</v>
      </c>
      <c r="B1581" s="18" t="s">
        <v>1427</v>
      </c>
      <c r="C1581" s="18" t="s">
        <v>595</v>
      </c>
      <c r="D1581" s="12">
        <v>6430</v>
      </c>
      <c r="E1581" s="17">
        <v>4302398</v>
      </c>
      <c r="F1581" s="12" t="s">
        <v>412</v>
      </c>
      <c r="G1581" s="14">
        <v>4</v>
      </c>
      <c r="H1581" s="24">
        <v>124000</v>
      </c>
      <c r="I1581" s="12" t="s">
        <v>712</v>
      </c>
      <c r="J1581" s="6" t="s">
        <v>608</v>
      </c>
      <c r="K1581" s="6">
        <f t="shared" si="75"/>
        <v>1</v>
      </c>
      <c r="L1581" s="6" t="str">
        <f t="shared" si="76"/>
        <v>ENERO</v>
      </c>
    </row>
    <row r="1582" spans="1:12" x14ac:dyDescent="0.25">
      <c r="A1582" s="5">
        <f t="shared" ref="A1582:A1630" si="77">+YEAR(B1582)</f>
        <v>2026</v>
      </c>
      <c r="B1582" s="18" t="s">
        <v>1427</v>
      </c>
      <c r="C1582" s="18" t="s">
        <v>595</v>
      </c>
      <c r="D1582" s="12">
        <v>6430</v>
      </c>
      <c r="E1582" s="17" t="s">
        <v>305</v>
      </c>
      <c r="F1582" s="12" t="s">
        <v>306</v>
      </c>
      <c r="G1582" s="14">
        <v>1</v>
      </c>
      <c r="H1582" s="24">
        <v>348000</v>
      </c>
      <c r="I1582" s="12" t="s">
        <v>712</v>
      </c>
      <c r="J1582" s="6" t="s">
        <v>608</v>
      </c>
      <c r="K1582" s="6">
        <f t="shared" ref="K1582:K1630" si="78">+MONTH(B1582)</f>
        <v>1</v>
      </c>
      <c r="L1582" s="6" t="str">
        <f t="shared" si="76"/>
        <v>ENERO</v>
      </c>
    </row>
    <row r="1583" spans="1:12" x14ac:dyDescent="0.25">
      <c r="A1583" s="5">
        <f t="shared" si="77"/>
        <v>2026</v>
      </c>
      <c r="B1583" s="18" t="s">
        <v>1427</v>
      </c>
      <c r="C1583" s="18" t="s">
        <v>595</v>
      </c>
      <c r="D1583" s="12">
        <v>6430</v>
      </c>
      <c r="E1583" s="17" t="s">
        <v>401</v>
      </c>
      <c r="F1583" s="12" t="s">
        <v>402</v>
      </c>
      <c r="G1583" s="14">
        <v>1</v>
      </c>
      <c r="H1583" s="24">
        <v>380000</v>
      </c>
      <c r="I1583" s="12" t="s">
        <v>712</v>
      </c>
      <c r="J1583" s="6" t="s">
        <v>608</v>
      </c>
      <c r="K1583" s="6">
        <f t="shared" si="78"/>
        <v>1</v>
      </c>
      <c r="L1583" s="6" t="str">
        <f t="shared" si="76"/>
        <v>ENERO</v>
      </c>
    </row>
    <row r="1584" spans="1:12" x14ac:dyDescent="0.25">
      <c r="A1584" s="5">
        <f t="shared" si="77"/>
        <v>2026</v>
      </c>
      <c r="B1584" s="18" t="s">
        <v>1427</v>
      </c>
      <c r="C1584" s="18" t="s">
        <v>595</v>
      </c>
      <c r="D1584" s="12">
        <v>6430</v>
      </c>
      <c r="E1584" s="17" t="s">
        <v>413</v>
      </c>
      <c r="F1584" s="12" t="s">
        <v>414</v>
      </c>
      <c r="G1584" s="14">
        <v>1</v>
      </c>
      <c r="H1584" s="24">
        <v>85000</v>
      </c>
      <c r="I1584" s="12" t="s">
        <v>712</v>
      </c>
      <c r="J1584" s="6" t="s">
        <v>608</v>
      </c>
      <c r="K1584" s="6">
        <f t="shared" si="78"/>
        <v>1</v>
      </c>
      <c r="L1584" s="6" t="str">
        <f t="shared" si="76"/>
        <v>ENERO</v>
      </c>
    </row>
    <row r="1585" spans="1:12" x14ac:dyDescent="0.25">
      <c r="A1585" s="5">
        <f t="shared" si="77"/>
        <v>2026</v>
      </c>
      <c r="B1585" s="18" t="s">
        <v>1427</v>
      </c>
      <c r="C1585" s="18" t="s">
        <v>595</v>
      </c>
      <c r="D1585" s="12">
        <v>6430</v>
      </c>
      <c r="E1585" s="17">
        <v>4304615</v>
      </c>
      <c r="F1585" s="12" t="s">
        <v>354</v>
      </c>
      <c r="G1585" s="14">
        <v>1</v>
      </c>
      <c r="H1585" s="24">
        <v>14500</v>
      </c>
      <c r="I1585" s="12" t="s">
        <v>712</v>
      </c>
      <c r="J1585" s="6" t="s">
        <v>608</v>
      </c>
      <c r="K1585" s="6">
        <f t="shared" si="78"/>
        <v>1</v>
      </c>
      <c r="L1585" s="6" t="str">
        <f t="shared" si="76"/>
        <v>ENERO</v>
      </c>
    </row>
    <row r="1586" spans="1:12" x14ac:dyDescent="0.25">
      <c r="A1586" s="5">
        <f t="shared" si="77"/>
        <v>2026</v>
      </c>
      <c r="B1586" s="18" t="s">
        <v>1427</v>
      </c>
      <c r="C1586" s="18" t="s">
        <v>595</v>
      </c>
      <c r="D1586" s="12">
        <v>6430</v>
      </c>
      <c r="E1586" s="17" t="s">
        <v>262</v>
      </c>
      <c r="F1586" s="12" t="s">
        <v>263</v>
      </c>
      <c r="G1586" s="14">
        <v>1</v>
      </c>
      <c r="H1586" s="24">
        <v>128000</v>
      </c>
      <c r="I1586" s="12" t="s">
        <v>712</v>
      </c>
      <c r="J1586" s="6" t="s">
        <v>608</v>
      </c>
      <c r="K1586" s="6">
        <f t="shared" si="78"/>
        <v>1</v>
      </c>
      <c r="L1586" s="6" t="str">
        <f t="shared" si="76"/>
        <v>ENERO</v>
      </c>
    </row>
    <row r="1587" spans="1:12" x14ac:dyDescent="0.25">
      <c r="A1587" s="5">
        <f t="shared" si="77"/>
        <v>2026</v>
      </c>
      <c r="B1587" s="18" t="s">
        <v>1427</v>
      </c>
      <c r="C1587" s="18" t="s">
        <v>595</v>
      </c>
      <c r="D1587" s="12">
        <v>6430</v>
      </c>
      <c r="E1587" s="17">
        <v>4302321</v>
      </c>
      <c r="F1587" s="12" t="s">
        <v>444</v>
      </c>
      <c r="G1587" s="14">
        <v>1</v>
      </c>
      <c r="H1587" s="24">
        <v>65000</v>
      </c>
      <c r="I1587" s="12" t="s">
        <v>712</v>
      </c>
      <c r="J1587" s="6" t="s">
        <v>608</v>
      </c>
      <c r="K1587" s="6">
        <f t="shared" si="78"/>
        <v>1</v>
      </c>
      <c r="L1587" s="6" t="str">
        <f t="shared" si="76"/>
        <v>ENERO</v>
      </c>
    </row>
    <row r="1588" spans="1:12" x14ac:dyDescent="0.25">
      <c r="A1588" s="5">
        <f t="shared" si="77"/>
        <v>2026</v>
      </c>
      <c r="B1588" s="18" t="s">
        <v>1427</v>
      </c>
      <c r="C1588" s="18" t="s">
        <v>595</v>
      </c>
      <c r="D1588" s="12">
        <v>6430</v>
      </c>
      <c r="E1588" s="17" t="s">
        <v>311</v>
      </c>
      <c r="F1588" s="12" t="s">
        <v>312</v>
      </c>
      <c r="G1588" s="14">
        <v>1</v>
      </c>
      <c r="H1588" s="24">
        <v>215000</v>
      </c>
      <c r="I1588" s="12" t="s">
        <v>712</v>
      </c>
      <c r="J1588" s="6" t="s">
        <v>608</v>
      </c>
      <c r="K1588" s="6">
        <f t="shared" si="78"/>
        <v>1</v>
      </c>
      <c r="L1588" s="6" t="str">
        <f t="shared" si="76"/>
        <v>ENERO</v>
      </c>
    </row>
    <row r="1589" spans="1:12" x14ac:dyDescent="0.25">
      <c r="A1589" s="5">
        <f t="shared" si="77"/>
        <v>2026</v>
      </c>
      <c r="B1589" s="18" t="s">
        <v>1427</v>
      </c>
      <c r="C1589" s="18" t="s">
        <v>595</v>
      </c>
      <c r="D1589" s="12">
        <v>6430</v>
      </c>
      <c r="E1589" s="17">
        <v>14750</v>
      </c>
      <c r="F1589" s="12" t="s">
        <v>462</v>
      </c>
      <c r="G1589" s="14">
        <v>1</v>
      </c>
      <c r="H1589" s="24">
        <v>3000</v>
      </c>
      <c r="I1589" s="12" t="s">
        <v>712</v>
      </c>
      <c r="J1589" s="6" t="s">
        <v>608</v>
      </c>
      <c r="K1589" s="6">
        <f t="shared" si="78"/>
        <v>1</v>
      </c>
      <c r="L1589" s="6" t="str">
        <f t="shared" si="76"/>
        <v>ENERO</v>
      </c>
    </row>
    <row r="1590" spans="1:12" x14ac:dyDescent="0.25">
      <c r="A1590" s="5">
        <f t="shared" si="77"/>
        <v>2026</v>
      </c>
      <c r="B1590" s="18" t="s">
        <v>1427</v>
      </c>
      <c r="C1590" s="18" t="s">
        <v>595</v>
      </c>
      <c r="D1590" s="12">
        <v>6430</v>
      </c>
      <c r="E1590" s="17" t="s">
        <v>51</v>
      </c>
      <c r="F1590" s="12" t="s">
        <v>52</v>
      </c>
      <c r="G1590" s="14">
        <v>1</v>
      </c>
      <c r="H1590" s="24">
        <v>7000</v>
      </c>
      <c r="I1590" s="12" t="s">
        <v>712</v>
      </c>
      <c r="J1590" s="6" t="s">
        <v>608</v>
      </c>
      <c r="K1590" s="6">
        <f t="shared" si="78"/>
        <v>1</v>
      </c>
      <c r="L1590" s="6" t="str">
        <f t="shared" si="76"/>
        <v>ENERO</v>
      </c>
    </row>
    <row r="1591" spans="1:12" x14ac:dyDescent="0.25">
      <c r="A1591" s="5">
        <f t="shared" si="77"/>
        <v>2026</v>
      </c>
      <c r="B1591" s="18" t="s">
        <v>1427</v>
      </c>
      <c r="C1591" s="18" t="s">
        <v>595</v>
      </c>
      <c r="D1591" s="12">
        <v>6430</v>
      </c>
      <c r="E1591" s="17">
        <v>78931</v>
      </c>
      <c r="F1591" s="12" t="s">
        <v>379</v>
      </c>
      <c r="G1591" s="14">
        <v>2</v>
      </c>
      <c r="H1591" s="24">
        <v>5000</v>
      </c>
      <c r="I1591" s="12" t="s">
        <v>712</v>
      </c>
      <c r="J1591" s="6" t="s">
        <v>608</v>
      </c>
      <c r="K1591" s="6">
        <f t="shared" si="78"/>
        <v>1</v>
      </c>
      <c r="L1591" s="6" t="str">
        <f t="shared" si="76"/>
        <v>ENERO</v>
      </c>
    </row>
    <row r="1592" spans="1:12" x14ac:dyDescent="0.25">
      <c r="A1592" s="5">
        <f t="shared" si="77"/>
        <v>2026</v>
      </c>
      <c r="B1592" s="18" t="s">
        <v>1427</v>
      </c>
      <c r="C1592" s="18" t="s">
        <v>595</v>
      </c>
      <c r="D1592" s="12">
        <v>6430</v>
      </c>
      <c r="E1592" s="17" t="s">
        <v>359</v>
      </c>
      <c r="F1592" s="12" t="s">
        <v>360</v>
      </c>
      <c r="G1592" s="14">
        <v>5</v>
      </c>
      <c r="H1592" s="24">
        <v>320000</v>
      </c>
      <c r="I1592" s="12" t="s">
        <v>712</v>
      </c>
      <c r="J1592" s="6" t="s">
        <v>608</v>
      </c>
      <c r="K1592" s="6">
        <f t="shared" si="78"/>
        <v>1</v>
      </c>
      <c r="L1592" s="6" t="str">
        <f t="shared" si="76"/>
        <v>ENERO</v>
      </c>
    </row>
    <row r="1593" spans="1:12" x14ac:dyDescent="0.25">
      <c r="A1593" s="5">
        <f t="shared" si="77"/>
        <v>2026</v>
      </c>
      <c r="B1593" s="18" t="s">
        <v>1427</v>
      </c>
      <c r="C1593" s="18" t="s">
        <v>595</v>
      </c>
      <c r="D1593" s="12">
        <v>6430</v>
      </c>
      <c r="E1593" s="17" t="s">
        <v>363</v>
      </c>
      <c r="F1593" s="12" t="s">
        <v>364</v>
      </c>
      <c r="G1593" s="14">
        <v>1</v>
      </c>
      <c r="H1593" s="24">
        <v>66000</v>
      </c>
      <c r="I1593" s="12" t="s">
        <v>712</v>
      </c>
      <c r="J1593" s="6" t="s">
        <v>608</v>
      </c>
      <c r="K1593" s="6">
        <f t="shared" si="78"/>
        <v>1</v>
      </c>
      <c r="L1593" s="6" t="str">
        <f t="shared" si="76"/>
        <v>ENERO</v>
      </c>
    </row>
    <row r="1594" spans="1:12" x14ac:dyDescent="0.25">
      <c r="A1594" s="5">
        <f t="shared" si="77"/>
        <v>2026</v>
      </c>
      <c r="B1594" s="18" t="s">
        <v>1429</v>
      </c>
      <c r="C1594" s="18" t="s">
        <v>595</v>
      </c>
      <c r="D1594" s="12">
        <v>6428</v>
      </c>
      <c r="E1594" s="17" t="s">
        <v>161</v>
      </c>
      <c r="F1594" s="12" t="s">
        <v>162</v>
      </c>
      <c r="G1594" s="14">
        <v>3</v>
      </c>
      <c r="H1594" s="24">
        <v>552000</v>
      </c>
      <c r="I1594" s="12" t="s">
        <v>712</v>
      </c>
      <c r="J1594" s="6" t="s">
        <v>608</v>
      </c>
      <c r="K1594" s="6">
        <f t="shared" si="78"/>
        <v>1</v>
      </c>
      <c r="L1594" s="6" t="str">
        <f t="shared" si="76"/>
        <v>ENERO</v>
      </c>
    </row>
    <row r="1595" spans="1:12" x14ac:dyDescent="0.25">
      <c r="A1595" s="5">
        <f t="shared" si="77"/>
        <v>2026</v>
      </c>
      <c r="B1595" s="18" t="s">
        <v>1429</v>
      </c>
      <c r="C1595" s="18" t="s">
        <v>595</v>
      </c>
      <c r="D1595" s="12">
        <v>6428</v>
      </c>
      <c r="E1595" s="17" t="s">
        <v>500</v>
      </c>
      <c r="F1595" s="12" t="s">
        <v>501</v>
      </c>
      <c r="G1595" s="14">
        <v>1</v>
      </c>
      <c r="H1595" s="24">
        <v>90000</v>
      </c>
      <c r="I1595" s="12" t="s">
        <v>712</v>
      </c>
      <c r="J1595" s="6" t="s">
        <v>608</v>
      </c>
      <c r="K1595" s="6">
        <f t="shared" si="78"/>
        <v>1</v>
      </c>
      <c r="L1595" s="6" t="str">
        <f t="shared" si="76"/>
        <v>ENERO</v>
      </c>
    </row>
    <row r="1596" spans="1:12" x14ac:dyDescent="0.25">
      <c r="A1596" s="5">
        <f t="shared" si="77"/>
        <v>2026</v>
      </c>
      <c r="B1596" s="18" t="s">
        <v>1429</v>
      </c>
      <c r="C1596" s="18" t="s">
        <v>595</v>
      </c>
      <c r="D1596" s="12">
        <v>6428</v>
      </c>
      <c r="E1596" s="17" t="s">
        <v>204</v>
      </c>
      <c r="F1596" s="12" t="s">
        <v>205</v>
      </c>
      <c r="G1596" s="14">
        <v>2</v>
      </c>
      <c r="H1596" s="24">
        <v>94000</v>
      </c>
      <c r="I1596" s="12" t="s">
        <v>712</v>
      </c>
      <c r="J1596" s="6" t="s">
        <v>608</v>
      </c>
      <c r="K1596" s="6">
        <f t="shared" si="78"/>
        <v>1</v>
      </c>
      <c r="L1596" s="6" t="str">
        <f t="shared" si="76"/>
        <v>ENERO</v>
      </c>
    </row>
    <row r="1597" spans="1:12" x14ac:dyDescent="0.25">
      <c r="A1597" s="5">
        <f t="shared" si="77"/>
        <v>2026</v>
      </c>
      <c r="B1597" s="18" t="s">
        <v>1429</v>
      </c>
      <c r="C1597" s="18" t="s">
        <v>595</v>
      </c>
      <c r="D1597" s="12">
        <v>6428</v>
      </c>
      <c r="E1597" s="17" t="s">
        <v>521</v>
      </c>
      <c r="F1597" s="12" t="s">
        <v>522</v>
      </c>
      <c r="G1597" s="14">
        <v>4</v>
      </c>
      <c r="H1597" s="24">
        <v>164000</v>
      </c>
      <c r="I1597" s="12" t="s">
        <v>712</v>
      </c>
      <c r="J1597" s="6" t="s">
        <v>608</v>
      </c>
      <c r="K1597" s="6">
        <f t="shared" si="78"/>
        <v>1</v>
      </c>
      <c r="L1597" s="6" t="str">
        <f t="shared" si="76"/>
        <v>ENERO</v>
      </c>
    </row>
    <row r="1598" spans="1:12" x14ac:dyDescent="0.25">
      <c r="A1598" s="5">
        <f t="shared" si="77"/>
        <v>2026</v>
      </c>
      <c r="B1598" s="18" t="s">
        <v>1429</v>
      </c>
      <c r="C1598" s="18" t="s">
        <v>595</v>
      </c>
      <c r="D1598" s="12">
        <v>6428</v>
      </c>
      <c r="E1598" s="17" t="s">
        <v>249</v>
      </c>
      <c r="F1598" s="12" t="s">
        <v>250</v>
      </c>
      <c r="G1598" s="14">
        <v>2</v>
      </c>
      <c r="H1598" s="24">
        <v>310000</v>
      </c>
      <c r="I1598" s="12" t="s">
        <v>712</v>
      </c>
      <c r="J1598" s="6" t="s">
        <v>608</v>
      </c>
      <c r="K1598" s="6">
        <f t="shared" si="78"/>
        <v>1</v>
      </c>
      <c r="L1598" s="6" t="str">
        <f t="shared" si="76"/>
        <v>ENERO</v>
      </c>
    </row>
    <row r="1599" spans="1:12" x14ac:dyDescent="0.25">
      <c r="A1599" s="5">
        <f t="shared" si="77"/>
        <v>2026</v>
      </c>
      <c r="B1599" s="18" t="s">
        <v>1429</v>
      </c>
      <c r="C1599" s="18" t="s">
        <v>595</v>
      </c>
      <c r="D1599" s="12">
        <v>6428</v>
      </c>
      <c r="E1599" s="17" t="s">
        <v>325</v>
      </c>
      <c r="F1599" s="12" t="s">
        <v>326</v>
      </c>
      <c r="G1599" s="14">
        <v>1</v>
      </c>
      <c r="H1599" s="24">
        <v>227000</v>
      </c>
      <c r="I1599" s="12" t="s">
        <v>712</v>
      </c>
      <c r="J1599" s="6" t="s">
        <v>608</v>
      </c>
      <c r="K1599" s="6">
        <f t="shared" si="78"/>
        <v>1</v>
      </c>
      <c r="L1599" s="6" t="str">
        <f t="shared" si="76"/>
        <v>ENERO</v>
      </c>
    </row>
    <row r="1600" spans="1:12" x14ac:dyDescent="0.25">
      <c r="A1600" s="5">
        <f t="shared" si="77"/>
        <v>2026</v>
      </c>
      <c r="B1600" s="18" t="s">
        <v>1429</v>
      </c>
      <c r="C1600" s="18" t="s">
        <v>595</v>
      </c>
      <c r="D1600" s="12">
        <v>6428</v>
      </c>
      <c r="E1600" s="17" t="s">
        <v>21</v>
      </c>
      <c r="F1600" s="12" t="s">
        <v>22</v>
      </c>
      <c r="G1600" s="14">
        <v>1</v>
      </c>
      <c r="H1600" s="24">
        <v>110000</v>
      </c>
      <c r="I1600" s="12" t="s">
        <v>712</v>
      </c>
      <c r="J1600" s="6" t="s">
        <v>608</v>
      </c>
      <c r="K1600" s="6">
        <f t="shared" si="78"/>
        <v>1</v>
      </c>
      <c r="L1600" s="6" t="str">
        <f t="shared" si="76"/>
        <v>ENERO</v>
      </c>
    </row>
    <row r="1601" spans="1:12" x14ac:dyDescent="0.25">
      <c r="A1601" s="5">
        <f t="shared" si="77"/>
        <v>2026</v>
      </c>
      <c r="B1601" s="18" t="s">
        <v>1429</v>
      </c>
      <c r="C1601" s="18" t="s">
        <v>595</v>
      </c>
      <c r="D1601" s="12">
        <v>6428</v>
      </c>
      <c r="E1601" s="17" t="s">
        <v>494</v>
      </c>
      <c r="F1601" s="12" t="s">
        <v>495</v>
      </c>
      <c r="G1601" s="14">
        <v>1</v>
      </c>
      <c r="H1601" s="24">
        <v>45000</v>
      </c>
      <c r="I1601" s="12" t="s">
        <v>712</v>
      </c>
      <c r="J1601" s="6" t="s">
        <v>608</v>
      </c>
      <c r="K1601" s="6">
        <f t="shared" si="78"/>
        <v>1</v>
      </c>
      <c r="L1601" s="6" t="str">
        <f t="shared" si="76"/>
        <v>ENERO</v>
      </c>
    </row>
    <row r="1602" spans="1:12" x14ac:dyDescent="0.25">
      <c r="A1602" s="5">
        <f t="shared" si="77"/>
        <v>2026</v>
      </c>
      <c r="B1602" s="18" t="s">
        <v>1429</v>
      </c>
      <c r="C1602" s="18" t="s">
        <v>595</v>
      </c>
      <c r="D1602" s="12">
        <v>6428</v>
      </c>
      <c r="E1602" s="17" t="s">
        <v>423</v>
      </c>
      <c r="F1602" s="12" t="s">
        <v>424</v>
      </c>
      <c r="G1602" s="14">
        <v>4</v>
      </c>
      <c r="H1602" s="24">
        <v>328000</v>
      </c>
      <c r="I1602" s="12" t="s">
        <v>712</v>
      </c>
      <c r="J1602" s="6" t="s">
        <v>608</v>
      </c>
      <c r="K1602" s="6">
        <f t="shared" si="78"/>
        <v>1</v>
      </c>
      <c r="L1602" s="6" t="str">
        <f t="shared" si="76"/>
        <v>ENERO</v>
      </c>
    </row>
    <row r="1603" spans="1:12" x14ac:dyDescent="0.25">
      <c r="A1603" s="5">
        <f t="shared" si="77"/>
        <v>2026</v>
      </c>
      <c r="B1603" s="18" t="s">
        <v>1429</v>
      </c>
      <c r="C1603" s="18" t="s">
        <v>595</v>
      </c>
      <c r="D1603" s="12">
        <v>6428</v>
      </c>
      <c r="E1603" s="17" t="s">
        <v>544</v>
      </c>
      <c r="F1603" s="12" t="s">
        <v>545</v>
      </c>
      <c r="G1603" s="14">
        <v>5</v>
      </c>
      <c r="H1603" s="24">
        <v>510000</v>
      </c>
      <c r="I1603" s="12" t="s">
        <v>712</v>
      </c>
      <c r="J1603" s="6" t="s">
        <v>608</v>
      </c>
      <c r="K1603" s="6">
        <f t="shared" si="78"/>
        <v>1</v>
      </c>
      <c r="L1603" s="6" t="str">
        <f t="shared" ref="L1603:L1666" si="79">VLOOKUP(K1603,N:O,2,0)</f>
        <v>ENERO</v>
      </c>
    </row>
    <row r="1604" spans="1:12" x14ac:dyDescent="0.25">
      <c r="A1604" s="5">
        <f t="shared" si="77"/>
        <v>2026</v>
      </c>
      <c r="B1604" s="18" t="s">
        <v>1429</v>
      </c>
      <c r="C1604" s="18" t="s">
        <v>595</v>
      </c>
      <c r="D1604" s="12">
        <v>6428</v>
      </c>
      <c r="E1604" s="17" t="s">
        <v>484</v>
      </c>
      <c r="F1604" s="12" t="s">
        <v>485</v>
      </c>
      <c r="G1604" s="14">
        <v>5</v>
      </c>
      <c r="H1604" s="24">
        <v>150000</v>
      </c>
      <c r="I1604" s="12" t="s">
        <v>712</v>
      </c>
      <c r="J1604" s="6" t="s">
        <v>608</v>
      </c>
      <c r="K1604" s="6">
        <f t="shared" si="78"/>
        <v>1</v>
      </c>
      <c r="L1604" s="6" t="str">
        <f t="shared" si="79"/>
        <v>ENERO</v>
      </c>
    </row>
    <row r="1605" spans="1:12" x14ac:dyDescent="0.25">
      <c r="A1605" s="5">
        <f t="shared" si="77"/>
        <v>2026</v>
      </c>
      <c r="B1605" s="18" t="s">
        <v>1429</v>
      </c>
      <c r="C1605" s="18" t="s">
        <v>595</v>
      </c>
      <c r="D1605" s="12">
        <v>6428</v>
      </c>
      <c r="E1605" s="17" t="s">
        <v>375</v>
      </c>
      <c r="F1605" s="12" t="s">
        <v>376</v>
      </c>
      <c r="G1605" s="14">
        <v>1</v>
      </c>
      <c r="H1605" s="24">
        <v>22000</v>
      </c>
      <c r="I1605" s="12" t="s">
        <v>712</v>
      </c>
      <c r="J1605" s="6" t="s">
        <v>608</v>
      </c>
      <c r="K1605" s="6">
        <f t="shared" si="78"/>
        <v>1</v>
      </c>
      <c r="L1605" s="6" t="str">
        <f t="shared" si="79"/>
        <v>ENERO</v>
      </c>
    </row>
    <row r="1606" spans="1:12" x14ac:dyDescent="0.25">
      <c r="A1606" s="5">
        <f t="shared" si="77"/>
        <v>2026</v>
      </c>
      <c r="B1606" s="18" t="s">
        <v>1429</v>
      </c>
      <c r="C1606" s="18" t="s">
        <v>595</v>
      </c>
      <c r="D1606" s="12">
        <v>6428</v>
      </c>
      <c r="E1606" s="17" t="s">
        <v>934</v>
      </c>
      <c r="F1606" s="12" t="s">
        <v>935</v>
      </c>
      <c r="G1606" s="14">
        <v>3</v>
      </c>
      <c r="H1606" s="24">
        <v>159783</v>
      </c>
      <c r="I1606" s="12" t="s">
        <v>712</v>
      </c>
      <c r="J1606" s="6" t="s">
        <v>608</v>
      </c>
      <c r="K1606" s="6">
        <f t="shared" si="78"/>
        <v>1</v>
      </c>
      <c r="L1606" s="6" t="str">
        <f t="shared" si="79"/>
        <v>ENERO</v>
      </c>
    </row>
    <row r="1607" spans="1:12" x14ac:dyDescent="0.25">
      <c r="A1607" s="5">
        <f t="shared" si="77"/>
        <v>2026</v>
      </c>
      <c r="B1607" s="18" t="s">
        <v>1429</v>
      </c>
      <c r="C1607" s="18" t="s">
        <v>595</v>
      </c>
      <c r="D1607" s="12">
        <v>6428</v>
      </c>
      <c r="E1607" s="17" t="s">
        <v>936</v>
      </c>
      <c r="F1607" s="12" t="s">
        <v>937</v>
      </c>
      <c r="G1607" s="14">
        <v>2</v>
      </c>
      <c r="H1607" s="24">
        <v>155434</v>
      </c>
      <c r="I1607" s="12" t="s">
        <v>712</v>
      </c>
      <c r="J1607" s="6" t="s">
        <v>608</v>
      </c>
      <c r="K1607" s="6">
        <f t="shared" si="78"/>
        <v>1</v>
      </c>
      <c r="L1607" s="6" t="str">
        <f t="shared" si="79"/>
        <v>ENERO</v>
      </c>
    </row>
    <row r="1608" spans="1:12" x14ac:dyDescent="0.25">
      <c r="A1608" s="5">
        <f t="shared" si="77"/>
        <v>2026</v>
      </c>
      <c r="B1608" s="18" t="s">
        <v>1429</v>
      </c>
      <c r="C1608" s="18" t="s">
        <v>595</v>
      </c>
      <c r="D1608" s="12">
        <v>6428</v>
      </c>
      <c r="E1608" s="17" t="s">
        <v>427</v>
      </c>
      <c r="F1608" s="12" t="s">
        <v>428</v>
      </c>
      <c r="G1608" s="14">
        <v>1</v>
      </c>
      <c r="H1608" s="24">
        <v>56000</v>
      </c>
      <c r="I1608" s="12" t="s">
        <v>712</v>
      </c>
      <c r="J1608" s="6" t="s">
        <v>608</v>
      </c>
      <c r="K1608" s="6">
        <f t="shared" si="78"/>
        <v>1</v>
      </c>
      <c r="L1608" s="6" t="str">
        <f t="shared" si="79"/>
        <v>ENERO</v>
      </c>
    </row>
    <row r="1609" spans="1:12" x14ac:dyDescent="0.25">
      <c r="A1609" s="5">
        <f t="shared" si="77"/>
        <v>2026</v>
      </c>
      <c r="B1609" s="18" t="s">
        <v>1429</v>
      </c>
      <c r="C1609" s="18" t="s">
        <v>595</v>
      </c>
      <c r="D1609" s="12">
        <v>6428</v>
      </c>
      <c r="E1609" s="17" t="s">
        <v>170</v>
      </c>
      <c r="F1609" s="12" t="s">
        <v>171</v>
      </c>
      <c r="G1609" s="14">
        <v>1</v>
      </c>
      <c r="H1609" s="24">
        <v>1990000</v>
      </c>
      <c r="I1609" s="12" t="s">
        <v>712</v>
      </c>
      <c r="J1609" s="6" t="s">
        <v>608</v>
      </c>
      <c r="K1609" s="6">
        <f t="shared" si="78"/>
        <v>1</v>
      </c>
      <c r="L1609" s="6" t="str">
        <f t="shared" si="79"/>
        <v>ENERO</v>
      </c>
    </row>
    <row r="1610" spans="1:12" x14ac:dyDescent="0.25">
      <c r="A1610" s="5">
        <f t="shared" si="77"/>
        <v>2026</v>
      </c>
      <c r="B1610" s="18" t="s">
        <v>1429</v>
      </c>
      <c r="C1610" s="18" t="s">
        <v>595</v>
      </c>
      <c r="D1610" s="12">
        <v>6428</v>
      </c>
      <c r="E1610" s="17" t="s">
        <v>476</v>
      </c>
      <c r="F1610" s="12" t="s">
        <v>477</v>
      </c>
      <c r="G1610" s="14">
        <v>3</v>
      </c>
      <c r="H1610" s="24">
        <v>1449000</v>
      </c>
      <c r="I1610" s="12" t="s">
        <v>712</v>
      </c>
      <c r="J1610" s="6" t="s">
        <v>608</v>
      </c>
      <c r="K1610" s="6">
        <f t="shared" si="78"/>
        <v>1</v>
      </c>
      <c r="L1610" s="6" t="str">
        <f t="shared" si="79"/>
        <v>ENERO</v>
      </c>
    </row>
    <row r="1611" spans="1:12" x14ac:dyDescent="0.25">
      <c r="A1611" s="5">
        <f t="shared" si="77"/>
        <v>2026</v>
      </c>
      <c r="B1611" s="18" t="s">
        <v>1429</v>
      </c>
      <c r="C1611" s="18" t="s">
        <v>595</v>
      </c>
      <c r="D1611" s="12">
        <v>6428</v>
      </c>
      <c r="E1611" s="17" t="s">
        <v>241</v>
      </c>
      <c r="F1611" s="12" t="s">
        <v>242</v>
      </c>
      <c r="G1611" s="14">
        <v>1</v>
      </c>
      <c r="H1611" s="24">
        <v>475000</v>
      </c>
      <c r="I1611" s="12" t="s">
        <v>712</v>
      </c>
      <c r="J1611" s="6" t="s">
        <v>608</v>
      </c>
      <c r="K1611" s="6">
        <f t="shared" si="78"/>
        <v>1</v>
      </c>
      <c r="L1611" s="6" t="str">
        <f t="shared" si="79"/>
        <v>ENERO</v>
      </c>
    </row>
    <row r="1612" spans="1:12" x14ac:dyDescent="0.25">
      <c r="A1612" s="5">
        <f t="shared" si="77"/>
        <v>2026</v>
      </c>
      <c r="B1612" s="18" t="s">
        <v>1429</v>
      </c>
      <c r="C1612" s="18" t="s">
        <v>595</v>
      </c>
      <c r="D1612" s="12">
        <v>6428</v>
      </c>
      <c r="E1612" s="17" t="s">
        <v>482</v>
      </c>
      <c r="F1612" s="12" t="s">
        <v>483</v>
      </c>
      <c r="G1612" s="14">
        <v>3</v>
      </c>
      <c r="H1612" s="24">
        <v>1335000</v>
      </c>
      <c r="I1612" s="12" t="s">
        <v>712</v>
      </c>
      <c r="J1612" s="6" t="s">
        <v>608</v>
      </c>
      <c r="K1612" s="6">
        <f t="shared" si="78"/>
        <v>1</v>
      </c>
      <c r="L1612" s="6" t="str">
        <f t="shared" si="79"/>
        <v>ENERO</v>
      </c>
    </row>
    <row r="1613" spans="1:12" x14ac:dyDescent="0.25">
      <c r="A1613" s="5">
        <f t="shared" si="77"/>
        <v>2026</v>
      </c>
      <c r="B1613" s="18" t="s">
        <v>1429</v>
      </c>
      <c r="C1613" s="18" t="s">
        <v>595</v>
      </c>
      <c r="D1613" s="12">
        <v>6428</v>
      </c>
      <c r="E1613" s="17" t="s">
        <v>228</v>
      </c>
      <c r="F1613" s="12" t="s">
        <v>229</v>
      </c>
      <c r="G1613" s="14">
        <v>9</v>
      </c>
      <c r="H1613" s="24">
        <v>1080000</v>
      </c>
      <c r="I1613" s="12" t="s">
        <v>712</v>
      </c>
      <c r="J1613" s="6" t="s">
        <v>608</v>
      </c>
      <c r="K1613" s="6">
        <f t="shared" si="78"/>
        <v>1</v>
      </c>
      <c r="L1613" s="6" t="str">
        <f t="shared" si="79"/>
        <v>ENERO</v>
      </c>
    </row>
    <row r="1614" spans="1:12" x14ac:dyDescent="0.25">
      <c r="A1614" s="5">
        <f t="shared" si="77"/>
        <v>2026</v>
      </c>
      <c r="B1614" s="18" t="s">
        <v>1429</v>
      </c>
      <c r="C1614" s="18" t="s">
        <v>595</v>
      </c>
      <c r="D1614" s="12">
        <v>6428</v>
      </c>
      <c r="E1614" s="17">
        <v>55525</v>
      </c>
      <c r="F1614" s="12" t="s">
        <v>471</v>
      </c>
      <c r="G1614" s="14">
        <v>1</v>
      </c>
      <c r="H1614" s="24">
        <v>62000</v>
      </c>
      <c r="I1614" s="12" t="s">
        <v>712</v>
      </c>
      <c r="J1614" s="6" t="s">
        <v>608</v>
      </c>
      <c r="K1614" s="6">
        <f t="shared" si="78"/>
        <v>1</v>
      </c>
      <c r="L1614" s="6" t="str">
        <f t="shared" si="79"/>
        <v>ENERO</v>
      </c>
    </row>
    <row r="1615" spans="1:12" x14ac:dyDescent="0.25">
      <c r="A1615" s="5">
        <f t="shared" si="77"/>
        <v>2026</v>
      </c>
      <c r="B1615" s="18" t="s">
        <v>1429</v>
      </c>
      <c r="C1615" s="18" t="s">
        <v>595</v>
      </c>
      <c r="D1615" s="12">
        <v>6428</v>
      </c>
      <c r="E1615" s="17">
        <v>55509</v>
      </c>
      <c r="F1615" s="12" t="s">
        <v>431</v>
      </c>
      <c r="G1615" s="14">
        <v>3</v>
      </c>
      <c r="H1615" s="24">
        <v>147000</v>
      </c>
      <c r="I1615" s="12" t="s">
        <v>712</v>
      </c>
      <c r="J1615" s="6" t="s">
        <v>608</v>
      </c>
      <c r="K1615" s="6">
        <f t="shared" si="78"/>
        <v>1</v>
      </c>
      <c r="L1615" s="6" t="str">
        <f t="shared" si="79"/>
        <v>ENERO</v>
      </c>
    </row>
    <row r="1616" spans="1:12" x14ac:dyDescent="0.25">
      <c r="A1616" s="5">
        <f t="shared" si="77"/>
        <v>2026</v>
      </c>
      <c r="B1616" s="18" t="s">
        <v>1429</v>
      </c>
      <c r="C1616" s="18" t="s">
        <v>595</v>
      </c>
      <c r="D1616" s="12">
        <v>6428</v>
      </c>
      <c r="E1616" s="17">
        <v>4303124</v>
      </c>
      <c r="F1616" s="12" t="s">
        <v>25</v>
      </c>
      <c r="G1616" s="14">
        <v>2</v>
      </c>
      <c r="H1616" s="24">
        <v>40000</v>
      </c>
      <c r="I1616" s="12" t="s">
        <v>712</v>
      </c>
      <c r="J1616" s="6" t="s">
        <v>608</v>
      </c>
      <c r="K1616" s="6">
        <f t="shared" si="78"/>
        <v>1</v>
      </c>
      <c r="L1616" s="6" t="str">
        <f t="shared" si="79"/>
        <v>ENERO</v>
      </c>
    </row>
    <row r="1617" spans="1:12" x14ac:dyDescent="0.25">
      <c r="A1617" s="5">
        <f t="shared" si="77"/>
        <v>2026</v>
      </c>
      <c r="B1617" s="18" t="s">
        <v>1429</v>
      </c>
      <c r="C1617" s="18" t="s">
        <v>595</v>
      </c>
      <c r="D1617" s="12">
        <v>6428</v>
      </c>
      <c r="E1617" s="17" t="s">
        <v>124</v>
      </c>
      <c r="F1617" s="12" t="s">
        <v>125</v>
      </c>
      <c r="G1617" s="14">
        <v>4</v>
      </c>
      <c r="H1617" s="24">
        <v>76600</v>
      </c>
      <c r="I1617" s="12" t="s">
        <v>712</v>
      </c>
      <c r="J1617" s="6" t="s">
        <v>608</v>
      </c>
      <c r="K1617" s="6">
        <f t="shared" si="78"/>
        <v>1</v>
      </c>
      <c r="L1617" s="6" t="str">
        <f t="shared" si="79"/>
        <v>ENERO</v>
      </c>
    </row>
    <row r="1618" spans="1:12" x14ac:dyDescent="0.25">
      <c r="A1618" s="5">
        <f t="shared" si="77"/>
        <v>2026</v>
      </c>
      <c r="B1618" s="18" t="s">
        <v>1429</v>
      </c>
      <c r="C1618" s="18" t="s">
        <v>595</v>
      </c>
      <c r="D1618" s="12">
        <v>6428</v>
      </c>
      <c r="E1618" s="17" t="s">
        <v>122</v>
      </c>
      <c r="F1618" s="12" t="s">
        <v>123</v>
      </c>
      <c r="G1618" s="14">
        <v>8</v>
      </c>
      <c r="H1618" s="24">
        <v>50400</v>
      </c>
      <c r="I1618" s="12" t="s">
        <v>712</v>
      </c>
      <c r="J1618" s="6" t="s">
        <v>608</v>
      </c>
      <c r="K1618" s="6">
        <f t="shared" si="78"/>
        <v>1</v>
      </c>
      <c r="L1618" s="6" t="str">
        <f t="shared" si="79"/>
        <v>ENERO</v>
      </c>
    </row>
    <row r="1619" spans="1:12" x14ac:dyDescent="0.25">
      <c r="A1619" s="5">
        <f t="shared" si="77"/>
        <v>2026</v>
      </c>
      <c r="B1619" s="18" t="s">
        <v>1429</v>
      </c>
      <c r="C1619" s="18" t="s">
        <v>595</v>
      </c>
      <c r="D1619" s="12">
        <v>6428</v>
      </c>
      <c r="E1619" s="17" t="s">
        <v>397</v>
      </c>
      <c r="F1619" s="12" t="s">
        <v>398</v>
      </c>
      <c r="G1619" s="14">
        <v>1</v>
      </c>
      <c r="H1619" s="24">
        <v>1000000</v>
      </c>
      <c r="I1619" s="12" t="s">
        <v>712</v>
      </c>
      <c r="J1619" s="6" t="s">
        <v>608</v>
      </c>
      <c r="K1619" s="6">
        <f t="shared" si="78"/>
        <v>1</v>
      </c>
      <c r="L1619" s="6" t="str">
        <f t="shared" si="79"/>
        <v>ENERO</v>
      </c>
    </row>
    <row r="1620" spans="1:12" x14ac:dyDescent="0.25">
      <c r="A1620" s="5">
        <f t="shared" si="77"/>
        <v>2026</v>
      </c>
      <c r="B1620" s="18" t="s">
        <v>1429</v>
      </c>
      <c r="C1620" s="18" t="s">
        <v>595</v>
      </c>
      <c r="D1620" s="12">
        <v>6428</v>
      </c>
      <c r="E1620" s="17" t="s">
        <v>331</v>
      </c>
      <c r="F1620" s="12" t="s">
        <v>332</v>
      </c>
      <c r="G1620" s="14">
        <v>2</v>
      </c>
      <c r="H1620" s="24">
        <v>272000</v>
      </c>
      <c r="I1620" s="12" t="s">
        <v>712</v>
      </c>
      <c r="J1620" s="6" t="s">
        <v>608</v>
      </c>
      <c r="K1620" s="6">
        <f t="shared" si="78"/>
        <v>1</v>
      </c>
      <c r="L1620" s="6" t="str">
        <f t="shared" si="79"/>
        <v>ENERO</v>
      </c>
    </row>
    <row r="1621" spans="1:12" x14ac:dyDescent="0.25">
      <c r="A1621" s="5">
        <f t="shared" si="77"/>
        <v>2026</v>
      </c>
      <c r="B1621" s="18" t="s">
        <v>1429</v>
      </c>
      <c r="C1621" s="18" t="s">
        <v>595</v>
      </c>
      <c r="D1621" s="12">
        <v>6428</v>
      </c>
      <c r="E1621" s="17" t="s">
        <v>270</v>
      </c>
      <c r="F1621" s="12" t="s">
        <v>271</v>
      </c>
      <c r="G1621" s="14">
        <v>1</v>
      </c>
      <c r="H1621" s="24">
        <v>1100000</v>
      </c>
      <c r="I1621" s="12" t="s">
        <v>712</v>
      </c>
      <c r="J1621" s="6" t="s">
        <v>608</v>
      </c>
      <c r="K1621" s="6">
        <f t="shared" si="78"/>
        <v>1</v>
      </c>
      <c r="L1621" s="6" t="str">
        <f t="shared" si="79"/>
        <v>ENERO</v>
      </c>
    </row>
    <row r="1622" spans="1:12" x14ac:dyDescent="0.25">
      <c r="A1622" s="5">
        <f t="shared" si="77"/>
        <v>2026</v>
      </c>
      <c r="B1622" s="18" t="s">
        <v>1429</v>
      </c>
      <c r="C1622" s="18" t="s">
        <v>595</v>
      </c>
      <c r="D1622" s="12">
        <v>6428</v>
      </c>
      <c r="E1622" s="17" t="s">
        <v>105</v>
      </c>
      <c r="F1622" s="12" t="s">
        <v>106</v>
      </c>
      <c r="G1622" s="14">
        <v>1</v>
      </c>
      <c r="H1622" s="24">
        <v>55000</v>
      </c>
      <c r="I1622" s="12" t="s">
        <v>712</v>
      </c>
      <c r="J1622" s="6" t="s">
        <v>608</v>
      </c>
      <c r="K1622" s="6">
        <f t="shared" si="78"/>
        <v>1</v>
      </c>
      <c r="L1622" s="6" t="str">
        <f t="shared" si="79"/>
        <v>ENERO</v>
      </c>
    </row>
    <row r="1623" spans="1:12" x14ac:dyDescent="0.25">
      <c r="A1623" s="5">
        <f t="shared" si="77"/>
        <v>2026</v>
      </c>
      <c r="B1623" s="18" t="s">
        <v>1429</v>
      </c>
      <c r="C1623" s="18" t="s">
        <v>595</v>
      </c>
      <c r="D1623" s="12">
        <v>6428</v>
      </c>
      <c r="E1623" s="17" t="s">
        <v>469</v>
      </c>
      <c r="F1623" s="12" t="s">
        <v>470</v>
      </c>
      <c r="G1623" s="14">
        <v>2</v>
      </c>
      <c r="H1623" s="24">
        <v>82000</v>
      </c>
      <c r="I1623" s="12" t="s">
        <v>712</v>
      </c>
      <c r="J1623" s="6" t="s">
        <v>608</v>
      </c>
      <c r="K1623" s="6">
        <f t="shared" si="78"/>
        <v>1</v>
      </c>
      <c r="L1623" s="6" t="str">
        <f t="shared" si="79"/>
        <v>ENERO</v>
      </c>
    </row>
    <row r="1624" spans="1:12" x14ac:dyDescent="0.25">
      <c r="A1624" s="5">
        <f t="shared" si="77"/>
        <v>2026</v>
      </c>
      <c r="B1624" s="18" t="s">
        <v>1429</v>
      </c>
      <c r="C1624" s="18" t="s">
        <v>595</v>
      </c>
      <c r="D1624" s="12">
        <v>6428</v>
      </c>
      <c r="E1624" s="17" t="s">
        <v>365</v>
      </c>
      <c r="F1624" s="12" t="s">
        <v>366</v>
      </c>
      <c r="G1624" s="14">
        <v>4</v>
      </c>
      <c r="H1624" s="24">
        <v>24000</v>
      </c>
      <c r="I1624" s="12" t="s">
        <v>712</v>
      </c>
      <c r="J1624" s="6" t="s">
        <v>608</v>
      </c>
      <c r="K1624" s="6">
        <f t="shared" si="78"/>
        <v>1</v>
      </c>
      <c r="L1624" s="6" t="str">
        <f t="shared" si="79"/>
        <v>ENERO</v>
      </c>
    </row>
    <row r="1625" spans="1:12" x14ac:dyDescent="0.25">
      <c r="A1625" s="5">
        <f t="shared" si="77"/>
        <v>2026</v>
      </c>
      <c r="B1625" s="18" t="s">
        <v>1429</v>
      </c>
      <c r="C1625" s="18" t="s">
        <v>595</v>
      </c>
      <c r="D1625" s="12">
        <v>6428</v>
      </c>
      <c r="E1625" s="17" t="s">
        <v>280</v>
      </c>
      <c r="F1625" s="12" t="s">
        <v>281</v>
      </c>
      <c r="G1625" s="14">
        <v>1</v>
      </c>
      <c r="H1625" s="24">
        <v>90000</v>
      </c>
      <c r="I1625" s="12" t="s">
        <v>712</v>
      </c>
      <c r="J1625" s="6" t="s">
        <v>608</v>
      </c>
      <c r="K1625" s="6">
        <f t="shared" si="78"/>
        <v>1</v>
      </c>
      <c r="L1625" s="6" t="str">
        <f t="shared" si="79"/>
        <v>ENERO</v>
      </c>
    </row>
    <row r="1626" spans="1:12" x14ac:dyDescent="0.25">
      <c r="A1626" s="5">
        <f t="shared" si="77"/>
        <v>2026</v>
      </c>
      <c r="B1626" s="18" t="s">
        <v>1429</v>
      </c>
      <c r="C1626" s="18" t="s">
        <v>595</v>
      </c>
      <c r="D1626" s="12">
        <v>6428</v>
      </c>
      <c r="E1626" s="17">
        <v>126180</v>
      </c>
      <c r="F1626" s="12" t="s">
        <v>505</v>
      </c>
      <c r="G1626" s="14">
        <v>3</v>
      </c>
      <c r="H1626" s="24">
        <v>51000</v>
      </c>
      <c r="I1626" s="12" t="s">
        <v>712</v>
      </c>
      <c r="J1626" s="6" t="s">
        <v>608</v>
      </c>
      <c r="K1626" s="6">
        <f t="shared" si="78"/>
        <v>1</v>
      </c>
      <c r="L1626" s="6" t="str">
        <f t="shared" si="79"/>
        <v>ENERO</v>
      </c>
    </row>
    <row r="1627" spans="1:12" x14ac:dyDescent="0.25">
      <c r="A1627" s="5">
        <f t="shared" si="77"/>
        <v>2026</v>
      </c>
      <c r="B1627" s="18" t="s">
        <v>1429</v>
      </c>
      <c r="C1627" s="18" t="s">
        <v>595</v>
      </c>
      <c r="D1627" s="12">
        <v>6428</v>
      </c>
      <c r="E1627" s="17" t="s">
        <v>86</v>
      </c>
      <c r="F1627" s="12" t="s">
        <v>87</v>
      </c>
      <c r="G1627" s="14">
        <v>1</v>
      </c>
      <c r="H1627" s="24">
        <v>163000</v>
      </c>
      <c r="I1627" s="12" t="s">
        <v>712</v>
      </c>
      <c r="J1627" s="6" t="s">
        <v>608</v>
      </c>
      <c r="K1627" s="6">
        <f t="shared" si="78"/>
        <v>1</v>
      </c>
      <c r="L1627" s="6" t="str">
        <f t="shared" si="79"/>
        <v>ENERO</v>
      </c>
    </row>
    <row r="1628" spans="1:12" x14ac:dyDescent="0.25">
      <c r="A1628" s="5">
        <f t="shared" si="77"/>
        <v>2026</v>
      </c>
      <c r="B1628" s="18" t="s">
        <v>1429</v>
      </c>
      <c r="C1628" s="18" t="s">
        <v>595</v>
      </c>
      <c r="D1628" s="12">
        <v>6428</v>
      </c>
      <c r="E1628" s="17" t="s">
        <v>359</v>
      </c>
      <c r="F1628" s="12" t="s">
        <v>360</v>
      </c>
      <c r="G1628" s="14">
        <v>3</v>
      </c>
      <c r="H1628" s="24">
        <v>192000</v>
      </c>
      <c r="I1628" s="12" t="s">
        <v>712</v>
      </c>
      <c r="J1628" s="6" t="s">
        <v>608</v>
      </c>
      <c r="K1628" s="6">
        <f t="shared" si="78"/>
        <v>1</v>
      </c>
      <c r="L1628" s="6" t="str">
        <f t="shared" si="79"/>
        <v>ENERO</v>
      </c>
    </row>
    <row r="1629" spans="1:12" x14ac:dyDescent="0.25">
      <c r="A1629" s="5">
        <f t="shared" si="77"/>
        <v>2026</v>
      </c>
      <c r="B1629" s="18" t="s">
        <v>1429</v>
      </c>
      <c r="C1629" s="18" t="s">
        <v>595</v>
      </c>
      <c r="D1629" s="12">
        <v>6428</v>
      </c>
      <c r="E1629" s="17">
        <v>328349</v>
      </c>
      <c r="F1629" s="12" t="s">
        <v>107</v>
      </c>
      <c r="G1629" s="14">
        <v>1</v>
      </c>
      <c r="H1629" s="24">
        <v>890000</v>
      </c>
      <c r="I1629" s="12" t="s">
        <v>712</v>
      </c>
      <c r="J1629" s="6" t="s">
        <v>608</v>
      </c>
      <c r="K1629" s="6">
        <f t="shared" si="78"/>
        <v>1</v>
      </c>
      <c r="L1629" s="6" t="str">
        <f t="shared" si="79"/>
        <v>ENERO</v>
      </c>
    </row>
    <row r="1630" spans="1:12" x14ac:dyDescent="0.25">
      <c r="A1630" s="5">
        <f t="shared" si="77"/>
        <v>2026</v>
      </c>
      <c r="B1630" s="18" t="s">
        <v>1429</v>
      </c>
      <c r="C1630" s="18" t="s">
        <v>595</v>
      </c>
      <c r="D1630" s="12">
        <v>6429</v>
      </c>
      <c r="E1630" s="17" t="s">
        <v>272</v>
      </c>
      <c r="F1630" s="12" t="s">
        <v>273</v>
      </c>
      <c r="G1630" s="14">
        <v>2</v>
      </c>
      <c r="H1630" s="24">
        <v>590000</v>
      </c>
      <c r="I1630" s="12" t="s">
        <v>712</v>
      </c>
      <c r="J1630" s="6" t="s">
        <v>608</v>
      </c>
      <c r="K1630" s="6">
        <f t="shared" si="78"/>
        <v>1</v>
      </c>
      <c r="L1630" s="6" t="str">
        <f t="shared" si="79"/>
        <v>ENERO</v>
      </c>
    </row>
  </sheetData>
  <autoFilter ref="A2:L1630" xr:uid="{00000000-0009-0000-0000-000000000000}">
    <sortState xmlns:xlrd2="http://schemas.microsoft.com/office/spreadsheetml/2017/richdata2" ref="A3:L1630">
      <sortCondition ref="A2:A1590"/>
    </sortState>
  </autoFilter>
  <mergeCells count="1">
    <mergeCell ref="G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FDEE-3D0E-4702-A4A8-DCCBF1653614}">
  <dimension ref="A3:B543"/>
  <sheetViews>
    <sheetView workbookViewId="0">
      <selection activeCell="E17" sqref="E17"/>
    </sheetView>
  </sheetViews>
  <sheetFormatPr baseColWidth="10" defaultRowHeight="15" x14ac:dyDescent="0.25"/>
  <cols>
    <col min="1" max="1" width="31.28515625" bestFit="1" customWidth="1"/>
    <col min="2" max="2" width="25.42578125" bestFit="1" customWidth="1"/>
  </cols>
  <sheetData>
    <row r="3" spans="1:2" x14ac:dyDescent="0.25">
      <c r="A3" s="34" t="s">
        <v>1521</v>
      </c>
      <c r="B3" t="s">
        <v>1523</v>
      </c>
    </row>
    <row r="4" spans="1:2" x14ac:dyDescent="0.25">
      <c r="A4" s="16">
        <v>57</v>
      </c>
      <c r="B4" s="35">
        <v>4</v>
      </c>
    </row>
    <row r="5" spans="1:2" x14ac:dyDescent="0.25">
      <c r="A5" s="16">
        <v>58</v>
      </c>
      <c r="B5" s="35">
        <v>4</v>
      </c>
    </row>
    <row r="6" spans="1:2" x14ac:dyDescent="0.25">
      <c r="A6" s="16">
        <v>109</v>
      </c>
      <c r="B6" s="35">
        <v>2</v>
      </c>
    </row>
    <row r="7" spans="1:2" x14ac:dyDescent="0.25">
      <c r="A7" s="16">
        <v>118</v>
      </c>
      <c r="B7" s="35">
        <v>2</v>
      </c>
    </row>
    <row r="8" spans="1:2" x14ac:dyDescent="0.25">
      <c r="A8" s="16">
        <v>123</v>
      </c>
      <c r="B8" s="35">
        <v>1</v>
      </c>
    </row>
    <row r="9" spans="1:2" x14ac:dyDescent="0.25">
      <c r="A9" s="16">
        <v>128</v>
      </c>
      <c r="B9" s="35">
        <v>3</v>
      </c>
    </row>
    <row r="10" spans="1:2" x14ac:dyDescent="0.25">
      <c r="A10" s="16">
        <v>146</v>
      </c>
      <c r="B10" s="35">
        <v>16</v>
      </c>
    </row>
    <row r="11" spans="1:2" x14ac:dyDescent="0.25">
      <c r="A11" s="16">
        <v>147</v>
      </c>
      <c r="B11" s="35">
        <v>40</v>
      </c>
    </row>
    <row r="12" spans="1:2" x14ac:dyDescent="0.25">
      <c r="A12" s="16">
        <v>185</v>
      </c>
      <c r="B12" s="35">
        <v>1</v>
      </c>
    </row>
    <row r="13" spans="1:2" x14ac:dyDescent="0.25">
      <c r="A13" s="16">
        <v>186</v>
      </c>
      <c r="B13" s="35">
        <v>4</v>
      </c>
    </row>
    <row r="14" spans="1:2" x14ac:dyDescent="0.25">
      <c r="A14" s="16">
        <v>194</v>
      </c>
      <c r="B14" s="35">
        <v>10</v>
      </c>
    </row>
    <row r="15" spans="1:2" x14ac:dyDescent="0.25">
      <c r="A15" s="16">
        <v>195</v>
      </c>
      <c r="B15" s="35">
        <v>7</v>
      </c>
    </row>
    <row r="16" spans="1:2" x14ac:dyDescent="0.25">
      <c r="A16" s="16">
        <v>211</v>
      </c>
      <c r="B16" s="35">
        <v>8</v>
      </c>
    </row>
    <row r="17" spans="1:2" x14ac:dyDescent="0.25">
      <c r="A17" s="16">
        <v>212</v>
      </c>
      <c r="B17" s="35">
        <v>1</v>
      </c>
    </row>
    <row r="18" spans="1:2" x14ac:dyDescent="0.25">
      <c r="A18" s="16">
        <v>216</v>
      </c>
      <c r="B18" s="35">
        <v>2</v>
      </c>
    </row>
    <row r="19" spans="1:2" x14ac:dyDescent="0.25">
      <c r="A19" s="16">
        <v>7059</v>
      </c>
      <c r="B19" s="35">
        <v>6</v>
      </c>
    </row>
    <row r="20" spans="1:2" x14ac:dyDescent="0.25">
      <c r="A20" s="16">
        <v>7108</v>
      </c>
      <c r="B20" s="35">
        <v>7</v>
      </c>
    </row>
    <row r="21" spans="1:2" x14ac:dyDescent="0.25">
      <c r="A21" s="16">
        <v>7116</v>
      </c>
      <c r="B21" s="35">
        <v>5</v>
      </c>
    </row>
    <row r="22" spans="1:2" x14ac:dyDescent="0.25">
      <c r="A22" s="16">
        <v>8017</v>
      </c>
      <c r="B22" s="35">
        <v>8</v>
      </c>
    </row>
    <row r="23" spans="1:2" x14ac:dyDescent="0.25">
      <c r="A23" s="16">
        <v>8774</v>
      </c>
      <c r="B23" s="35">
        <v>6</v>
      </c>
    </row>
    <row r="24" spans="1:2" x14ac:dyDescent="0.25">
      <c r="A24" s="16">
        <v>9373</v>
      </c>
      <c r="B24" s="35">
        <v>10</v>
      </c>
    </row>
    <row r="25" spans="1:2" x14ac:dyDescent="0.25">
      <c r="A25" s="16">
        <v>14317</v>
      </c>
      <c r="B25" s="35">
        <v>2</v>
      </c>
    </row>
    <row r="26" spans="1:2" x14ac:dyDescent="0.25">
      <c r="A26" s="16">
        <v>14711</v>
      </c>
      <c r="B26" s="35">
        <v>4</v>
      </c>
    </row>
    <row r="27" spans="1:2" x14ac:dyDescent="0.25">
      <c r="A27" s="16">
        <v>14750</v>
      </c>
      <c r="B27" s="35">
        <v>4</v>
      </c>
    </row>
    <row r="28" spans="1:2" x14ac:dyDescent="0.25">
      <c r="A28" s="16">
        <v>15918</v>
      </c>
      <c r="B28" s="35">
        <v>3</v>
      </c>
    </row>
    <row r="29" spans="1:2" x14ac:dyDescent="0.25">
      <c r="A29" s="16">
        <v>16763</v>
      </c>
      <c r="B29" s="35">
        <v>1</v>
      </c>
    </row>
    <row r="30" spans="1:2" x14ac:dyDescent="0.25">
      <c r="A30" s="16">
        <v>16980</v>
      </c>
      <c r="B30" s="35">
        <v>4</v>
      </c>
    </row>
    <row r="31" spans="1:2" x14ac:dyDescent="0.25">
      <c r="A31" s="16">
        <v>17313</v>
      </c>
      <c r="B31" s="35">
        <v>5</v>
      </c>
    </row>
    <row r="32" spans="1:2" x14ac:dyDescent="0.25">
      <c r="A32" s="16">
        <v>18025</v>
      </c>
      <c r="B32" s="35">
        <v>12</v>
      </c>
    </row>
    <row r="33" spans="1:2" x14ac:dyDescent="0.25">
      <c r="A33" s="16">
        <v>21236</v>
      </c>
      <c r="B33" s="35">
        <v>1</v>
      </c>
    </row>
    <row r="34" spans="1:2" x14ac:dyDescent="0.25">
      <c r="A34" s="16">
        <v>21352</v>
      </c>
      <c r="B34" s="35">
        <v>2</v>
      </c>
    </row>
    <row r="35" spans="1:2" x14ac:dyDescent="0.25">
      <c r="A35" s="16">
        <v>22940</v>
      </c>
      <c r="B35" s="35">
        <v>6</v>
      </c>
    </row>
    <row r="36" spans="1:2" x14ac:dyDescent="0.25">
      <c r="A36" s="16">
        <v>23559</v>
      </c>
      <c r="B36" s="35">
        <v>12</v>
      </c>
    </row>
    <row r="37" spans="1:2" x14ac:dyDescent="0.25">
      <c r="A37" s="16">
        <v>27274</v>
      </c>
      <c r="B37" s="35">
        <v>8</v>
      </c>
    </row>
    <row r="38" spans="1:2" x14ac:dyDescent="0.25">
      <c r="A38" s="16">
        <v>30334</v>
      </c>
      <c r="B38" s="35">
        <v>4</v>
      </c>
    </row>
    <row r="39" spans="1:2" x14ac:dyDescent="0.25">
      <c r="A39" s="16">
        <v>43271</v>
      </c>
      <c r="B39" s="35">
        <v>2</v>
      </c>
    </row>
    <row r="40" spans="1:2" x14ac:dyDescent="0.25">
      <c r="A40" s="16">
        <v>51228</v>
      </c>
      <c r="B40" s="35">
        <v>1</v>
      </c>
    </row>
    <row r="41" spans="1:2" x14ac:dyDescent="0.25">
      <c r="A41" s="16">
        <v>55509</v>
      </c>
      <c r="B41" s="35">
        <v>12</v>
      </c>
    </row>
    <row r="42" spans="1:2" x14ac:dyDescent="0.25">
      <c r="A42" s="16">
        <v>55525</v>
      </c>
      <c r="B42" s="35">
        <v>4</v>
      </c>
    </row>
    <row r="43" spans="1:2" x14ac:dyDescent="0.25">
      <c r="A43" s="16">
        <v>56360</v>
      </c>
      <c r="B43" s="35">
        <v>1</v>
      </c>
    </row>
    <row r="44" spans="1:2" x14ac:dyDescent="0.25">
      <c r="A44" s="16">
        <v>70745</v>
      </c>
      <c r="B44" s="35">
        <v>1</v>
      </c>
    </row>
    <row r="45" spans="1:2" x14ac:dyDescent="0.25">
      <c r="A45" s="16">
        <v>78931</v>
      </c>
      <c r="B45" s="35">
        <v>8</v>
      </c>
    </row>
    <row r="46" spans="1:2" x14ac:dyDescent="0.25">
      <c r="A46" s="16">
        <v>79034</v>
      </c>
      <c r="B46" s="35">
        <v>2</v>
      </c>
    </row>
    <row r="47" spans="1:2" x14ac:dyDescent="0.25">
      <c r="A47" s="16">
        <v>83726</v>
      </c>
      <c r="B47" s="35">
        <v>8</v>
      </c>
    </row>
    <row r="48" spans="1:2" x14ac:dyDescent="0.25">
      <c r="A48" s="16">
        <v>84006</v>
      </c>
      <c r="B48" s="35">
        <v>1</v>
      </c>
    </row>
    <row r="49" spans="1:2" x14ac:dyDescent="0.25">
      <c r="A49" s="16">
        <v>85003</v>
      </c>
      <c r="B49" s="35">
        <v>71</v>
      </c>
    </row>
    <row r="50" spans="1:2" x14ac:dyDescent="0.25">
      <c r="A50" s="16">
        <v>85994</v>
      </c>
      <c r="B50" s="35">
        <v>2</v>
      </c>
    </row>
    <row r="51" spans="1:2" x14ac:dyDescent="0.25">
      <c r="A51" s="16">
        <v>86781</v>
      </c>
      <c r="B51" s="35">
        <v>12</v>
      </c>
    </row>
    <row r="52" spans="1:2" x14ac:dyDescent="0.25">
      <c r="A52" s="16">
        <v>108145</v>
      </c>
      <c r="B52" s="35">
        <v>8</v>
      </c>
    </row>
    <row r="53" spans="1:2" x14ac:dyDescent="0.25">
      <c r="A53" s="16">
        <v>110890</v>
      </c>
      <c r="B53" s="35">
        <v>1</v>
      </c>
    </row>
    <row r="54" spans="1:2" x14ac:dyDescent="0.25">
      <c r="A54" s="16">
        <v>119855</v>
      </c>
      <c r="B54" s="35">
        <v>1</v>
      </c>
    </row>
    <row r="55" spans="1:2" x14ac:dyDescent="0.25">
      <c r="A55" s="16">
        <v>121302</v>
      </c>
      <c r="B55" s="35">
        <v>2</v>
      </c>
    </row>
    <row r="56" spans="1:2" x14ac:dyDescent="0.25">
      <c r="A56" s="16">
        <v>126155</v>
      </c>
      <c r="B56" s="35">
        <v>4</v>
      </c>
    </row>
    <row r="57" spans="1:2" x14ac:dyDescent="0.25">
      <c r="A57" s="16">
        <v>126180</v>
      </c>
      <c r="B57" s="35">
        <v>8</v>
      </c>
    </row>
    <row r="58" spans="1:2" x14ac:dyDescent="0.25">
      <c r="A58" s="16">
        <v>127095</v>
      </c>
      <c r="B58" s="35">
        <v>1</v>
      </c>
    </row>
    <row r="59" spans="1:2" x14ac:dyDescent="0.25">
      <c r="A59" s="16">
        <v>127740</v>
      </c>
      <c r="B59" s="35">
        <v>1</v>
      </c>
    </row>
    <row r="60" spans="1:2" x14ac:dyDescent="0.25">
      <c r="A60" s="16">
        <v>127760</v>
      </c>
      <c r="B60" s="35">
        <v>11</v>
      </c>
    </row>
    <row r="61" spans="1:2" x14ac:dyDescent="0.25">
      <c r="A61" s="16">
        <v>128049</v>
      </c>
      <c r="B61" s="35">
        <v>2</v>
      </c>
    </row>
    <row r="62" spans="1:2" x14ac:dyDescent="0.25">
      <c r="A62" s="16">
        <v>131973</v>
      </c>
      <c r="B62" s="35">
        <v>2</v>
      </c>
    </row>
    <row r="63" spans="1:2" x14ac:dyDescent="0.25">
      <c r="A63" s="16">
        <v>210724</v>
      </c>
      <c r="B63" s="35">
        <v>3</v>
      </c>
    </row>
    <row r="64" spans="1:2" x14ac:dyDescent="0.25">
      <c r="A64" s="16">
        <v>210736</v>
      </c>
      <c r="B64" s="35">
        <v>9</v>
      </c>
    </row>
    <row r="65" spans="1:2" x14ac:dyDescent="0.25">
      <c r="A65" s="16">
        <v>210737</v>
      </c>
      <c r="B65" s="35">
        <v>7</v>
      </c>
    </row>
    <row r="66" spans="1:2" x14ac:dyDescent="0.25">
      <c r="A66" s="16">
        <v>231502</v>
      </c>
      <c r="B66" s="35">
        <v>1</v>
      </c>
    </row>
    <row r="67" spans="1:2" x14ac:dyDescent="0.25">
      <c r="A67" s="16">
        <v>328345</v>
      </c>
      <c r="B67" s="35">
        <v>2</v>
      </c>
    </row>
    <row r="68" spans="1:2" x14ac:dyDescent="0.25">
      <c r="A68" s="16">
        <v>328349</v>
      </c>
      <c r="B68" s="35">
        <v>4</v>
      </c>
    </row>
    <row r="69" spans="1:2" x14ac:dyDescent="0.25">
      <c r="A69" s="16">
        <v>513878</v>
      </c>
      <c r="B69" s="35">
        <v>3</v>
      </c>
    </row>
    <row r="70" spans="1:2" x14ac:dyDescent="0.25">
      <c r="A70" s="16">
        <v>993308</v>
      </c>
      <c r="B70" s="35">
        <v>2</v>
      </c>
    </row>
    <row r="71" spans="1:2" x14ac:dyDescent="0.25">
      <c r="A71" s="16">
        <v>994305</v>
      </c>
      <c r="B71" s="35">
        <v>1</v>
      </c>
    </row>
    <row r="72" spans="1:2" x14ac:dyDescent="0.25">
      <c r="A72" s="16">
        <v>994346</v>
      </c>
      <c r="B72" s="35">
        <v>9</v>
      </c>
    </row>
    <row r="73" spans="1:2" x14ac:dyDescent="0.25">
      <c r="A73" s="16">
        <v>994349</v>
      </c>
      <c r="B73" s="35">
        <v>3</v>
      </c>
    </row>
    <row r="74" spans="1:2" x14ac:dyDescent="0.25">
      <c r="A74" s="16">
        <v>994370</v>
      </c>
      <c r="B74" s="35">
        <v>1</v>
      </c>
    </row>
    <row r="75" spans="1:2" x14ac:dyDescent="0.25">
      <c r="A75" s="16">
        <v>995550</v>
      </c>
      <c r="B75" s="35">
        <v>4</v>
      </c>
    </row>
    <row r="76" spans="1:2" x14ac:dyDescent="0.25">
      <c r="A76" s="16">
        <v>2892986</v>
      </c>
      <c r="B76" s="35">
        <v>12</v>
      </c>
    </row>
    <row r="77" spans="1:2" x14ac:dyDescent="0.25">
      <c r="A77" s="16">
        <v>3315703</v>
      </c>
      <c r="B77" s="35">
        <v>2</v>
      </c>
    </row>
    <row r="78" spans="1:2" x14ac:dyDescent="0.25">
      <c r="A78" s="16">
        <v>3315737</v>
      </c>
      <c r="B78" s="35">
        <v>1</v>
      </c>
    </row>
    <row r="79" spans="1:2" x14ac:dyDescent="0.25">
      <c r="A79" s="16">
        <v>3316198</v>
      </c>
      <c r="B79" s="35">
        <v>2</v>
      </c>
    </row>
    <row r="80" spans="1:2" x14ac:dyDescent="0.25">
      <c r="A80" s="16">
        <v>3683695</v>
      </c>
      <c r="B80" s="35">
        <v>5</v>
      </c>
    </row>
    <row r="81" spans="1:2" x14ac:dyDescent="0.25">
      <c r="A81" s="16">
        <v>4024808</v>
      </c>
      <c r="B81" s="35">
        <v>3</v>
      </c>
    </row>
    <row r="82" spans="1:2" x14ac:dyDescent="0.25">
      <c r="A82" s="16">
        <v>4026684</v>
      </c>
      <c r="B82" s="35">
        <v>2</v>
      </c>
    </row>
    <row r="83" spans="1:2" x14ac:dyDescent="0.25">
      <c r="A83" s="16">
        <v>4026884</v>
      </c>
      <c r="B83" s="35">
        <v>7</v>
      </c>
    </row>
    <row r="84" spans="1:2" x14ac:dyDescent="0.25">
      <c r="A84" s="16">
        <v>4088327</v>
      </c>
      <c r="B84" s="35">
        <v>6</v>
      </c>
    </row>
    <row r="85" spans="1:2" x14ac:dyDescent="0.25">
      <c r="A85" s="16">
        <v>4089431</v>
      </c>
      <c r="B85" s="35">
        <v>3</v>
      </c>
    </row>
    <row r="86" spans="1:2" x14ac:dyDescent="0.25">
      <c r="A86" s="16">
        <v>4089478</v>
      </c>
      <c r="B86" s="35">
        <v>1</v>
      </c>
    </row>
    <row r="87" spans="1:2" x14ac:dyDescent="0.25">
      <c r="A87" s="16">
        <v>4089998</v>
      </c>
      <c r="B87" s="35">
        <v>1</v>
      </c>
    </row>
    <row r="88" spans="1:2" x14ac:dyDescent="0.25">
      <c r="A88" s="16">
        <v>4090008</v>
      </c>
      <c r="B88" s="35">
        <v>1</v>
      </c>
    </row>
    <row r="89" spans="1:2" x14ac:dyDescent="0.25">
      <c r="A89" s="16">
        <v>4300382</v>
      </c>
      <c r="B89" s="35">
        <v>14</v>
      </c>
    </row>
    <row r="90" spans="1:2" x14ac:dyDescent="0.25">
      <c r="A90" s="16">
        <v>4300902</v>
      </c>
      <c r="B90" s="35">
        <v>4</v>
      </c>
    </row>
    <row r="91" spans="1:2" x14ac:dyDescent="0.25">
      <c r="A91" s="16">
        <v>4300912</v>
      </c>
      <c r="B91" s="35">
        <v>3</v>
      </c>
    </row>
    <row r="92" spans="1:2" x14ac:dyDescent="0.25">
      <c r="A92" s="16">
        <v>4301254</v>
      </c>
      <c r="B92" s="35">
        <v>6</v>
      </c>
    </row>
    <row r="93" spans="1:2" x14ac:dyDescent="0.25">
      <c r="A93" s="16">
        <v>4301795</v>
      </c>
      <c r="B93" s="35">
        <v>4</v>
      </c>
    </row>
    <row r="94" spans="1:2" x14ac:dyDescent="0.25">
      <c r="A94" s="16">
        <v>4301842</v>
      </c>
      <c r="B94" s="35">
        <v>2</v>
      </c>
    </row>
    <row r="95" spans="1:2" x14ac:dyDescent="0.25">
      <c r="A95" s="16">
        <v>4301851</v>
      </c>
      <c r="B95" s="35">
        <v>20</v>
      </c>
    </row>
    <row r="96" spans="1:2" x14ac:dyDescent="0.25">
      <c r="A96" s="16">
        <v>4302082</v>
      </c>
      <c r="B96" s="35">
        <v>7</v>
      </c>
    </row>
    <row r="97" spans="1:2" x14ac:dyDescent="0.25">
      <c r="A97" s="16">
        <v>4302321</v>
      </c>
      <c r="B97" s="35">
        <v>6</v>
      </c>
    </row>
    <row r="98" spans="1:2" x14ac:dyDescent="0.25">
      <c r="A98" s="16">
        <v>4302398</v>
      </c>
      <c r="B98" s="35">
        <v>16</v>
      </c>
    </row>
    <row r="99" spans="1:2" x14ac:dyDescent="0.25">
      <c r="A99" s="16">
        <v>4302704</v>
      </c>
      <c r="B99" s="35">
        <v>2</v>
      </c>
    </row>
    <row r="100" spans="1:2" x14ac:dyDescent="0.25">
      <c r="A100" s="16">
        <v>4303030</v>
      </c>
      <c r="B100" s="35">
        <v>1</v>
      </c>
    </row>
    <row r="101" spans="1:2" x14ac:dyDescent="0.25">
      <c r="A101" s="16">
        <v>4303124</v>
      </c>
      <c r="B101" s="35">
        <v>6</v>
      </c>
    </row>
    <row r="102" spans="1:2" x14ac:dyDescent="0.25">
      <c r="A102" s="16">
        <v>4303336</v>
      </c>
      <c r="B102" s="35">
        <v>18</v>
      </c>
    </row>
    <row r="103" spans="1:2" x14ac:dyDescent="0.25">
      <c r="A103" s="16">
        <v>4303424</v>
      </c>
      <c r="B103" s="35">
        <v>7</v>
      </c>
    </row>
    <row r="104" spans="1:2" x14ac:dyDescent="0.25">
      <c r="A104" s="16">
        <v>4303603</v>
      </c>
      <c r="B104" s="35">
        <v>19</v>
      </c>
    </row>
    <row r="105" spans="1:2" x14ac:dyDescent="0.25">
      <c r="A105" s="16">
        <v>4304023</v>
      </c>
      <c r="B105" s="35">
        <v>7</v>
      </c>
    </row>
    <row r="106" spans="1:2" x14ac:dyDescent="0.25">
      <c r="A106" s="16">
        <v>4304602</v>
      </c>
      <c r="B106" s="35">
        <v>2</v>
      </c>
    </row>
    <row r="107" spans="1:2" x14ac:dyDescent="0.25">
      <c r="A107" s="16">
        <v>4304615</v>
      </c>
      <c r="B107" s="35">
        <v>14</v>
      </c>
    </row>
    <row r="108" spans="1:2" x14ac:dyDescent="0.25">
      <c r="A108" s="16">
        <v>4305294</v>
      </c>
      <c r="B108" s="35">
        <v>6</v>
      </c>
    </row>
    <row r="109" spans="1:2" x14ac:dyDescent="0.25">
      <c r="A109" s="16">
        <v>4308012</v>
      </c>
      <c r="B109" s="35">
        <v>1</v>
      </c>
    </row>
    <row r="110" spans="1:2" x14ac:dyDescent="0.25">
      <c r="A110" s="16">
        <v>4393176</v>
      </c>
      <c r="B110" s="35">
        <v>1</v>
      </c>
    </row>
    <row r="111" spans="1:2" x14ac:dyDescent="0.25">
      <c r="A111" s="16">
        <v>4921473</v>
      </c>
      <c r="B111" s="35">
        <v>2</v>
      </c>
    </row>
    <row r="112" spans="1:2" x14ac:dyDescent="0.25">
      <c r="A112" s="16">
        <v>4952631</v>
      </c>
      <c r="B112" s="35">
        <v>2</v>
      </c>
    </row>
    <row r="113" spans="1:2" x14ac:dyDescent="0.25">
      <c r="A113" s="16">
        <v>4955383</v>
      </c>
      <c r="B113" s="35">
        <v>4</v>
      </c>
    </row>
    <row r="114" spans="1:2" x14ac:dyDescent="0.25">
      <c r="A114" s="16">
        <v>5005037</v>
      </c>
      <c r="B114" s="35">
        <v>3</v>
      </c>
    </row>
    <row r="115" spans="1:2" x14ac:dyDescent="0.25">
      <c r="A115" s="16">
        <v>5566510</v>
      </c>
      <c r="B115" s="35">
        <v>3</v>
      </c>
    </row>
    <row r="116" spans="1:2" x14ac:dyDescent="0.25">
      <c r="A116" s="16">
        <v>23518355</v>
      </c>
      <c r="B116" s="35">
        <v>1</v>
      </c>
    </row>
    <row r="117" spans="1:2" x14ac:dyDescent="0.25">
      <c r="A117" s="16">
        <v>23519651</v>
      </c>
      <c r="B117" s="35">
        <v>3</v>
      </c>
    </row>
    <row r="118" spans="1:2" x14ac:dyDescent="0.25">
      <c r="A118" s="16">
        <v>56929000</v>
      </c>
      <c r="B118" s="35">
        <v>7</v>
      </c>
    </row>
    <row r="119" spans="1:2" x14ac:dyDescent="0.25">
      <c r="A119" s="16">
        <v>7400750005</v>
      </c>
      <c r="B119" s="35">
        <v>3</v>
      </c>
    </row>
    <row r="120" spans="1:2" x14ac:dyDescent="0.25">
      <c r="A120" s="16">
        <v>7400850005</v>
      </c>
      <c r="B120" s="35">
        <v>4</v>
      </c>
    </row>
    <row r="121" spans="1:2" x14ac:dyDescent="0.25">
      <c r="A121" s="16" t="s">
        <v>226</v>
      </c>
      <c r="B121" s="35">
        <v>297</v>
      </c>
    </row>
    <row r="122" spans="1:2" x14ac:dyDescent="0.25">
      <c r="A122" s="16" t="s">
        <v>650</v>
      </c>
      <c r="B122" s="35">
        <v>228</v>
      </c>
    </row>
    <row r="123" spans="1:2" x14ac:dyDescent="0.25">
      <c r="A123" s="16" t="s">
        <v>465</v>
      </c>
      <c r="B123" s="35">
        <v>2</v>
      </c>
    </row>
    <row r="124" spans="1:2" x14ac:dyDescent="0.25">
      <c r="A124" s="16" t="s">
        <v>60</v>
      </c>
      <c r="B124" s="35">
        <v>2</v>
      </c>
    </row>
    <row r="125" spans="1:2" x14ac:dyDescent="0.25">
      <c r="A125" s="16" t="s">
        <v>932</v>
      </c>
      <c r="B125" s="35">
        <v>12</v>
      </c>
    </row>
    <row r="126" spans="1:2" x14ac:dyDescent="0.25">
      <c r="A126" s="16" t="s">
        <v>373</v>
      </c>
      <c r="B126" s="35">
        <v>14</v>
      </c>
    </row>
    <row r="127" spans="1:2" x14ac:dyDescent="0.25">
      <c r="A127" s="16" t="s">
        <v>291</v>
      </c>
      <c r="B127" s="35">
        <v>2</v>
      </c>
    </row>
    <row r="128" spans="1:2" x14ac:dyDescent="0.25">
      <c r="A128" s="16" t="s">
        <v>1226</v>
      </c>
      <c r="B128" s="35">
        <v>1</v>
      </c>
    </row>
    <row r="129" spans="1:2" x14ac:dyDescent="0.25">
      <c r="A129" s="16" t="s">
        <v>1228</v>
      </c>
      <c r="B129" s="35">
        <v>1</v>
      </c>
    </row>
    <row r="130" spans="1:2" x14ac:dyDescent="0.25">
      <c r="A130" s="16" t="s">
        <v>196</v>
      </c>
      <c r="B130" s="35">
        <v>8</v>
      </c>
    </row>
    <row r="131" spans="1:2" x14ac:dyDescent="0.25">
      <c r="A131" s="16" t="s">
        <v>163</v>
      </c>
      <c r="B131" s="35">
        <v>10</v>
      </c>
    </row>
    <row r="132" spans="1:2" x14ac:dyDescent="0.25">
      <c r="A132" s="16" t="s">
        <v>1092</v>
      </c>
      <c r="B132" s="35">
        <v>2</v>
      </c>
    </row>
    <row r="133" spans="1:2" x14ac:dyDescent="0.25">
      <c r="A133" s="16" t="s">
        <v>936</v>
      </c>
      <c r="B133" s="35">
        <v>13</v>
      </c>
    </row>
    <row r="134" spans="1:2" x14ac:dyDescent="0.25">
      <c r="A134" s="16" t="s">
        <v>1324</v>
      </c>
      <c r="B134" s="35">
        <v>1</v>
      </c>
    </row>
    <row r="135" spans="1:2" x14ac:dyDescent="0.25">
      <c r="A135" s="16" t="s">
        <v>54</v>
      </c>
      <c r="B135" s="35">
        <v>2</v>
      </c>
    </row>
    <row r="136" spans="1:2" x14ac:dyDescent="0.25">
      <c r="A136" s="16" t="s">
        <v>716</v>
      </c>
      <c r="B136" s="35">
        <v>6</v>
      </c>
    </row>
    <row r="137" spans="1:2" x14ac:dyDescent="0.25">
      <c r="A137" s="16" t="s">
        <v>556</v>
      </c>
      <c r="B137" s="35">
        <v>4</v>
      </c>
    </row>
    <row r="138" spans="1:2" x14ac:dyDescent="0.25">
      <c r="A138" s="16" t="s">
        <v>122</v>
      </c>
      <c r="B138" s="35">
        <v>26</v>
      </c>
    </row>
    <row r="139" spans="1:2" x14ac:dyDescent="0.25">
      <c r="A139" s="16" t="s">
        <v>124</v>
      </c>
      <c r="B139" s="35">
        <v>37</v>
      </c>
    </row>
    <row r="140" spans="1:2" x14ac:dyDescent="0.25">
      <c r="A140" s="16" t="s">
        <v>1033</v>
      </c>
      <c r="B140" s="35">
        <v>3</v>
      </c>
    </row>
    <row r="141" spans="1:2" x14ac:dyDescent="0.25">
      <c r="A141" s="16" t="s">
        <v>365</v>
      </c>
      <c r="B141" s="35">
        <v>14</v>
      </c>
    </row>
    <row r="142" spans="1:2" x14ac:dyDescent="0.25">
      <c r="A142" s="16" t="s">
        <v>1032</v>
      </c>
      <c r="B142" s="35">
        <v>3</v>
      </c>
    </row>
    <row r="143" spans="1:2" x14ac:dyDescent="0.25">
      <c r="A143" s="16" t="s">
        <v>280</v>
      </c>
      <c r="B143" s="35">
        <v>4</v>
      </c>
    </row>
    <row r="144" spans="1:2" x14ac:dyDescent="0.25">
      <c r="A144" s="16" t="s">
        <v>51</v>
      </c>
      <c r="B144" s="35">
        <v>13</v>
      </c>
    </row>
    <row r="145" spans="1:2" x14ac:dyDescent="0.25">
      <c r="A145" s="16" t="s">
        <v>72</v>
      </c>
      <c r="B145" s="35">
        <v>3</v>
      </c>
    </row>
    <row r="146" spans="1:2" x14ac:dyDescent="0.25">
      <c r="A146" s="16" t="s">
        <v>409</v>
      </c>
      <c r="B146" s="35">
        <v>8</v>
      </c>
    </row>
    <row r="147" spans="1:2" x14ac:dyDescent="0.25">
      <c r="A147" s="16" t="s">
        <v>333</v>
      </c>
      <c r="B147" s="35">
        <v>18</v>
      </c>
    </row>
    <row r="148" spans="1:2" x14ac:dyDescent="0.25">
      <c r="A148" s="16" t="s">
        <v>1322</v>
      </c>
      <c r="B148" s="35">
        <v>1</v>
      </c>
    </row>
    <row r="149" spans="1:2" x14ac:dyDescent="0.25">
      <c r="A149" s="16" t="s">
        <v>1320</v>
      </c>
      <c r="B149" s="35">
        <v>1</v>
      </c>
    </row>
    <row r="150" spans="1:2" x14ac:dyDescent="0.25">
      <c r="A150" s="16" t="s">
        <v>1328</v>
      </c>
      <c r="B150" s="35">
        <v>1</v>
      </c>
    </row>
    <row r="151" spans="1:2" x14ac:dyDescent="0.25">
      <c r="A151" s="16" t="s">
        <v>1318</v>
      </c>
      <c r="B151" s="35">
        <v>1</v>
      </c>
    </row>
    <row r="152" spans="1:2" x14ac:dyDescent="0.25">
      <c r="A152" s="16" t="s">
        <v>215</v>
      </c>
      <c r="B152" s="35">
        <v>7</v>
      </c>
    </row>
    <row r="153" spans="1:2" x14ac:dyDescent="0.25">
      <c r="A153" s="16" t="s">
        <v>1054</v>
      </c>
      <c r="B153" s="35">
        <v>2</v>
      </c>
    </row>
    <row r="154" spans="1:2" x14ac:dyDescent="0.25">
      <c r="A154" s="16" t="s">
        <v>436</v>
      </c>
      <c r="B154" s="35">
        <v>4</v>
      </c>
    </row>
    <row r="155" spans="1:2" x14ac:dyDescent="0.25">
      <c r="A155" s="16" t="s">
        <v>181</v>
      </c>
      <c r="B155" s="35">
        <v>14</v>
      </c>
    </row>
    <row r="156" spans="1:2" x14ac:dyDescent="0.25">
      <c r="A156" s="16" t="s">
        <v>1074</v>
      </c>
      <c r="B156" s="35">
        <v>2</v>
      </c>
    </row>
    <row r="157" spans="1:2" x14ac:dyDescent="0.25">
      <c r="A157" s="16" t="s">
        <v>369</v>
      </c>
      <c r="B157" s="35">
        <v>4</v>
      </c>
    </row>
    <row r="158" spans="1:2" x14ac:dyDescent="0.25">
      <c r="A158" s="16" t="s">
        <v>561</v>
      </c>
      <c r="B158" s="35">
        <v>8</v>
      </c>
    </row>
    <row r="159" spans="1:2" x14ac:dyDescent="0.25">
      <c r="A159" s="16" t="s">
        <v>494</v>
      </c>
      <c r="B159" s="35">
        <v>19</v>
      </c>
    </row>
    <row r="160" spans="1:2" x14ac:dyDescent="0.25">
      <c r="A160" s="16" t="s">
        <v>299</v>
      </c>
      <c r="B160" s="35">
        <v>54</v>
      </c>
    </row>
    <row r="161" spans="1:2" x14ac:dyDescent="0.25">
      <c r="A161" s="16" t="s">
        <v>1202</v>
      </c>
      <c r="B161" s="35">
        <v>6</v>
      </c>
    </row>
    <row r="162" spans="1:2" x14ac:dyDescent="0.25">
      <c r="A162" s="16" t="s">
        <v>1204</v>
      </c>
      <c r="B162" s="35">
        <v>2</v>
      </c>
    </row>
    <row r="163" spans="1:2" x14ac:dyDescent="0.25">
      <c r="A163" s="16" t="s">
        <v>421</v>
      </c>
      <c r="B163" s="35">
        <v>5</v>
      </c>
    </row>
    <row r="164" spans="1:2" x14ac:dyDescent="0.25">
      <c r="A164" s="16" t="s">
        <v>1214</v>
      </c>
      <c r="B164" s="35">
        <v>4</v>
      </c>
    </row>
    <row r="165" spans="1:2" x14ac:dyDescent="0.25">
      <c r="A165" s="16" t="s">
        <v>116</v>
      </c>
      <c r="B165" s="35">
        <v>4</v>
      </c>
    </row>
    <row r="166" spans="1:2" x14ac:dyDescent="0.25">
      <c r="A166" s="16" t="s">
        <v>211</v>
      </c>
      <c r="B166" s="35">
        <v>2</v>
      </c>
    </row>
    <row r="167" spans="1:2" x14ac:dyDescent="0.25">
      <c r="A167" s="16" t="s">
        <v>170</v>
      </c>
      <c r="B167" s="35">
        <v>5</v>
      </c>
    </row>
    <row r="168" spans="1:2" x14ac:dyDescent="0.25">
      <c r="A168" s="16" t="s">
        <v>357</v>
      </c>
      <c r="B168" s="35">
        <v>15</v>
      </c>
    </row>
    <row r="169" spans="1:2" x14ac:dyDescent="0.25">
      <c r="A169" s="16" t="s">
        <v>535</v>
      </c>
      <c r="B169" s="35">
        <v>2</v>
      </c>
    </row>
    <row r="170" spans="1:2" x14ac:dyDescent="0.25">
      <c r="A170" s="16" t="s">
        <v>1213</v>
      </c>
      <c r="B170" s="35">
        <v>3</v>
      </c>
    </row>
    <row r="171" spans="1:2" x14ac:dyDescent="0.25">
      <c r="A171" s="16" t="s">
        <v>21</v>
      </c>
      <c r="B171" s="35">
        <v>7</v>
      </c>
    </row>
    <row r="172" spans="1:2" x14ac:dyDescent="0.25">
      <c r="A172" s="16" t="s">
        <v>45</v>
      </c>
      <c r="B172" s="35">
        <v>5</v>
      </c>
    </row>
    <row r="173" spans="1:2" x14ac:dyDescent="0.25">
      <c r="A173" s="16" t="s">
        <v>617</v>
      </c>
      <c r="B173" s="35">
        <v>1</v>
      </c>
    </row>
    <row r="174" spans="1:2" x14ac:dyDescent="0.25">
      <c r="A174" s="16" t="s">
        <v>429</v>
      </c>
      <c r="B174" s="35">
        <v>5</v>
      </c>
    </row>
    <row r="175" spans="1:2" x14ac:dyDescent="0.25">
      <c r="A175" s="16" t="s">
        <v>355</v>
      </c>
      <c r="B175" s="35">
        <v>10</v>
      </c>
    </row>
    <row r="176" spans="1:2" x14ac:dyDescent="0.25">
      <c r="A176" s="16" t="s">
        <v>417</v>
      </c>
      <c r="B176" s="35">
        <v>5</v>
      </c>
    </row>
    <row r="177" spans="1:2" x14ac:dyDescent="0.25">
      <c r="A177" s="16" t="s">
        <v>1145</v>
      </c>
      <c r="B177" s="35">
        <v>7</v>
      </c>
    </row>
    <row r="178" spans="1:2" x14ac:dyDescent="0.25">
      <c r="A178" s="16" t="s">
        <v>175</v>
      </c>
      <c r="B178" s="35">
        <v>1</v>
      </c>
    </row>
    <row r="179" spans="1:2" x14ac:dyDescent="0.25">
      <c r="A179" s="16" t="s">
        <v>62</v>
      </c>
      <c r="B179" s="35">
        <v>1</v>
      </c>
    </row>
    <row r="180" spans="1:2" x14ac:dyDescent="0.25">
      <c r="A180" s="16" t="s">
        <v>79</v>
      </c>
      <c r="B180" s="35">
        <v>1</v>
      </c>
    </row>
    <row r="181" spans="1:2" x14ac:dyDescent="0.25">
      <c r="A181" s="16" t="s">
        <v>257</v>
      </c>
      <c r="B181" s="35">
        <v>6</v>
      </c>
    </row>
    <row r="182" spans="1:2" x14ac:dyDescent="0.25">
      <c r="A182" s="16" t="s">
        <v>259</v>
      </c>
      <c r="B182" s="35">
        <v>2</v>
      </c>
    </row>
    <row r="183" spans="1:2" x14ac:dyDescent="0.25">
      <c r="A183" s="16" t="s">
        <v>1314</v>
      </c>
      <c r="B183" s="35">
        <v>1</v>
      </c>
    </row>
    <row r="184" spans="1:2" x14ac:dyDescent="0.25">
      <c r="A184" s="16" t="s">
        <v>395</v>
      </c>
      <c r="B184" s="35">
        <v>16</v>
      </c>
    </row>
    <row r="185" spans="1:2" x14ac:dyDescent="0.25">
      <c r="A185" s="16" t="s">
        <v>500</v>
      </c>
      <c r="B185" s="35">
        <v>4</v>
      </c>
    </row>
    <row r="186" spans="1:2" x14ac:dyDescent="0.25">
      <c r="A186" s="16" t="s">
        <v>438</v>
      </c>
      <c r="B186" s="35">
        <v>2</v>
      </c>
    </row>
    <row r="187" spans="1:2" x14ac:dyDescent="0.25">
      <c r="A187" s="16" t="s">
        <v>74</v>
      </c>
      <c r="B187" s="35">
        <v>2</v>
      </c>
    </row>
    <row r="188" spans="1:2" x14ac:dyDescent="0.25">
      <c r="A188" s="16" t="s">
        <v>344</v>
      </c>
      <c r="B188" s="35">
        <v>2</v>
      </c>
    </row>
    <row r="189" spans="1:2" x14ac:dyDescent="0.25">
      <c r="A189" s="16" t="s">
        <v>675</v>
      </c>
      <c r="B189" s="35">
        <v>1</v>
      </c>
    </row>
    <row r="190" spans="1:2" x14ac:dyDescent="0.25">
      <c r="A190" s="16" t="s">
        <v>289</v>
      </c>
      <c r="B190" s="35">
        <v>3</v>
      </c>
    </row>
    <row r="191" spans="1:2" x14ac:dyDescent="0.25">
      <c r="A191" s="16" t="s">
        <v>714</v>
      </c>
      <c r="B191" s="35">
        <v>2</v>
      </c>
    </row>
    <row r="192" spans="1:2" x14ac:dyDescent="0.25">
      <c r="A192" s="16" t="s">
        <v>432</v>
      </c>
      <c r="B192" s="35">
        <v>20</v>
      </c>
    </row>
    <row r="193" spans="1:2" x14ac:dyDescent="0.25">
      <c r="A193" s="16" t="s">
        <v>325</v>
      </c>
      <c r="B193" s="35">
        <v>11</v>
      </c>
    </row>
    <row r="194" spans="1:2" x14ac:dyDescent="0.25">
      <c r="A194" s="16" t="s">
        <v>512</v>
      </c>
      <c r="B194" s="35">
        <v>1</v>
      </c>
    </row>
    <row r="195" spans="1:2" x14ac:dyDescent="0.25">
      <c r="A195" s="16" t="s">
        <v>927</v>
      </c>
      <c r="B195" s="35">
        <v>6</v>
      </c>
    </row>
    <row r="196" spans="1:2" x14ac:dyDescent="0.25">
      <c r="A196" s="16" t="s">
        <v>707</v>
      </c>
      <c r="B196" s="35">
        <v>2</v>
      </c>
    </row>
    <row r="197" spans="1:2" x14ac:dyDescent="0.25">
      <c r="A197" s="16" t="s">
        <v>717</v>
      </c>
      <c r="B197" s="35">
        <v>8</v>
      </c>
    </row>
    <row r="198" spans="1:2" x14ac:dyDescent="0.25">
      <c r="A198" s="16" t="s">
        <v>879</v>
      </c>
      <c r="B198" s="35">
        <v>1</v>
      </c>
    </row>
    <row r="199" spans="1:2" x14ac:dyDescent="0.25">
      <c r="A199" s="16" t="s">
        <v>562</v>
      </c>
      <c r="B199" s="35">
        <v>7</v>
      </c>
    </row>
    <row r="200" spans="1:2" x14ac:dyDescent="0.25">
      <c r="A200" s="16" t="s">
        <v>346</v>
      </c>
      <c r="B200" s="35">
        <v>7</v>
      </c>
    </row>
    <row r="201" spans="1:2" x14ac:dyDescent="0.25">
      <c r="A201" s="16" t="s">
        <v>389</v>
      </c>
      <c r="B201" s="35">
        <v>4</v>
      </c>
    </row>
    <row r="202" spans="1:2" x14ac:dyDescent="0.25">
      <c r="A202" s="16" t="s">
        <v>350</v>
      </c>
      <c r="B202" s="35">
        <v>2</v>
      </c>
    </row>
    <row r="203" spans="1:2" x14ac:dyDescent="0.25">
      <c r="A203" s="16" t="s">
        <v>228</v>
      </c>
      <c r="B203" s="35">
        <v>88</v>
      </c>
    </row>
    <row r="204" spans="1:2" x14ac:dyDescent="0.25">
      <c r="A204" s="16" t="s">
        <v>313</v>
      </c>
      <c r="B204" s="35">
        <v>2</v>
      </c>
    </row>
    <row r="205" spans="1:2" x14ac:dyDescent="0.25">
      <c r="A205" s="16" t="s">
        <v>392</v>
      </c>
      <c r="B205" s="35">
        <v>8</v>
      </c>
    </row>
    <row r="206" spans="1:2" x14ac:dyDescent="0.25">
      <c r="A206" s="16" t="s">
        <v>1187</v>
      </c>
      <c r="B206" s="35">
        <v>2</v>
      </c>
    </row>
    <row r="207" spans="1:2" x14ac:dyDescent="0.25">
      <c r="A207" s="16" t="s">
        <v>385</v>
      </c>
      <c r="B207" s="35">
        <v>1</v>
      </c>
    </row>
    <row r="208" spans="1:2" x14ac:dyDescent="0.25">
      <c r="A208" s="16" t="s">
        <v>708</v>
      </c>
      <c r="B208" s="35">
        <v>3</v>
      </c>
    </row>
    <row r="209" spans="1:2" x14ac:dyDescent="0.25">
      <c r="A209" s="16" t="s">
        <v>709</v>
      </c>
      <c r="B209" s="35">
        <v>3</v>
      </c>
    </row>
    <row r="210" spans="1:2" x14ac:dyDescent="0.25">
      <c r="A210" s="16" t="s">
        <v>457</v>
      </c>
      <c r="B210" s="35">
        <v>4</v>
      </c>
    </row>
    <row r="211" spans="1:2" x14ac:dyDescent="0.25">
      <c r="A211" s="16" t="s">
        <v>348</v>
      </c>
      <c r="B211" s="35">
        <v>99</v>
      </c>
    </row>
    <row r="212" spans="1:2" x14ac:dyDescent="0.25">
      <c r="A212" s="16" t="s">
        <v>230</v>
      </c>
      <c r="B212" s="35">
        <v>8</v>
      </c>
    </row>
    <row r="213" spans="1:2" x14ac:dyDescent="0.25">
      <c r="A213" s="16" t="s">
        <v>510</v>
      </c>
      <c r="B213" s="35">
        <v>1</v>
      </c>
    </row>
    <row r="214" spans="1:2" x14ac:dyDescent="0.25">
      <c r="A214" s="16" t="s">
        <v>136</v>
      </c>
      <c r="B214" s="35">
        <v>8</v>
      </c>
    </row>
    <row r="215" spans="1:2" x14ac:dyDescent="0.25">
      <c r="A215" s="16" t="s">
        <v>558</v>
      </c>
      <c r="B215" s="35">
        <v>5</v>
      </c>
    </row>
    <row r="216" spans="1:2" x14ac:dyDescent="0.25">
      <c r="A216" s="16" t="s">
        <v>442</v>
      </c>
      <c r="B216" s="35">
        <v>4</v>
      </c>
    </row>
    <row r="217" spans="1:2" x14ac:dyDescent="0.25">
      <c r="A217" s="16" t="s">
        <v>427</v>
      </c>
      <c r="B217" s="35">
        <v>5</v>
      </c>
    </row>
    <row r="218" spans="1:2" x14ac:dyDescent="0.25">
      <c r="A218" s="16" t="s">
        <v>359</v>
      </c>
      <c r="B218" s="35">
        <v>24</v>
      </c>
    </row>
    <row r="219" spans="1:2" x14ac:dyDescent="0.25">
      <c r="A219" s="16" t="s">
        <v>1108</v>
      </c>
      <c r="B219" s="35">
        <v>7</v>
      </c>
    </row>
    <row r="220" spans="1:2" x14ac:dyDescent="0.25">
      <c r="A220" s="16" t="s">
        <v>679</v>
      </c>
      <c r="B220" s="35">
        <v>24</v>
      </c>
    </row>
    <row r="221" spans="1:2" x14ac:dyDescent="0.25">
      <c r="A221" s="16" t="s">
        <v>363</v>
      </c>
      <c r="B221" s="35">
        <v>12</v>
      </c>
    </row>
    <row r="222" spans="1:2" x14ac:dyDescent="0.25">
      <c r="A222" s="16" t="s">
        <v>678</v>
      </c>
      <c r="B222" s="35">
        <v>8</v>
      </c>
    </row>
    <row r="223" spans="1:2" x14ac:dyDescent="0.25">
      <c r="A223" s="16" t="s">
        <v>1084</v>
      </c>
      <c r="B223" s="35">
        <v>71</v>
      </c>
    </row>
    <row r="224" spans="1:2" x14ac:dyDescent="0.25">
      <c r="A224" s="16" t="s">
        <v>1312</v>
      </c>
      <c r="B224" s="35">
        <v>81</v>
      </c>
    </row>
    <row r="225" spans="1:2" x14ac:dyDescent="0.25">
      <c r="A225" s="16" t="s">
        <v>1085</v>
      </c>
      <c r="B225" s="35">
        <v>46</v>
      </c>
    </row>
    <row r="226" spans="1:2" x14ac:dyDescent="0.25">
      <c r="A226" s="16" t="s">
        <v>672</v>
      </c>
      <c r="B226" s="35">
        <v>1</v>
      </c>
    </row>
    <row r="227" spans="1:2" x14ac:dyDescent="0.25">
      <c r="A227" s="16" t="s">
        <v>105</v>
      </c>
      <c r="B227" s="35">
        <v>6</v>
      </c>
    </row>
    <row r="228" spans="1:2" x14ac:dyDescent="0.25">
      <c r="A228" s="16" t="s">
        <v>469</v>
      </c>
      <c r="B228" s="35">
        <v>5</v>
      </c>
    </row>
    <row r="229" spans="1:2" x14ac:dyDescent="0.25">
      <c r="A229" s="16" t="s">
        <v>445</v>
      </c>
      <c r="B229" s="35">
        <v>14</v>
      </c>
    </row>
    <row r="230" spans="1:2" x14ac:dyDescent="0.25">
      <c r="A230" s="16" t="s">
        <v>383</v>
      </c>
      <c r="B230" s="35">
        <v>4</v>
      </c>
    </row>
    <row r="231" spans="1:2" x14ac:dyDescent="0.25">
      <c r="A231" s="16" t="s">
        <v>1155</v>
      </c>
      <c r="B231" s="35">
        <v>11</v>
      </c>
    </row>
    <row r="232" spans="1:2" x14ac:dyDescent="0.25">
      <c r="A232" s="16" t="s">
        <v>262</v>
      </c>
      <c r="B232" s="35">
        <v>4</v>
      </c>
    </row>
    <row r="233" spans="1:2" x14ac:dyDescent="0.25">
      <c r="A233" s="16" t="s">
        <v>220</v>
      </c>
      <c r="B233" s="35">
        <v>6</v>
      </c>
    </row>
    <row r="234" spans="1:2" x14ac:dyDescent="0.25">
      <c r="A234" s="16" t="s">
        <v>451</v>
      </c>
      <c r="B234" s="35">
        <v>4</v>
      </c>
    </row>
    <row r="235" spans="1:2" x14ac:dyDescent="0.25">
      <c r="A235" s="16" t="s">
        <v>352</v>
      </c>
      <c r="B235" s="35">
        <v>12</v>
      </c>
    </row>
    <row r="236" spans="1:2" x14ac:dyDescent="0.25">
      <c r="A236" s="16" t="s">
        <v>111</v>
      </c>
      <c r="B236" s="35">
        <v>4</v>
      </c>
    </row>
    <row r="237" spans="1:2" x14ac:dyDescent="0.25">
      <c r="A237" s="16" t="s">
        <v>399</v>
      </c>
      <c r="B237" s="35">
        <v>1</v>
      </c>
    </row>
    <row r="238" spans="1:2" x14ac:dyDescent="0.25">
      <c r="A238" s="16" t="s">
        <v>307</v>
      </c>
      <c r="B238" s="35">
        <v>6</v>
      </c>
    </row>
    <row r="239" spans="1:2" x14ac:dyDescent="0.25">
      <c r="A239" s="16" t="s">
        <v>977</v>
      </c>
      <c r="B239" s="35">
        <v>4</v>
      </c>
    </row>
    <row r="240" spans="1:2" x14ac:dyDescent="0.25">
      <c r="A240" s="16" t="s">
        <v>377</v>
      </c>
      <c r="B240" s="35">
        <v>11</v>
      </c>
    </row>
    <row r="241" spans="1:2" x14ac:dyDescent="0.25">
      <c r="A241" s="16" t="s">
        <v>668</v>
      </c>
      <c r="B241" s="35">
        <v>7</v>
      </c>
    </row>
    <row r="242" spans="1:2" x14ac:dyDescent="0.25">
      <c r="A242" s="16" t="s">
        <v>401</v>
      </c>
      <c r="B242" s="35">
        <v>2</v>
      </c>
    </row>
    <row r="243" spans="1:2" x14ac:dyDescent="0.25">
      <c r="A243" s="16" t="s">
        <v>198</v>
      </c>
      <c r="B243" s="35">
        <v>4</v>
      </c>
    </row>
    <row r="244" spans="1:2" x14ac:dyDescent="0.25">
      <c r="A244" s="16" t="s">
        <v>413</v>
      </c>
      <c r="B244" s="35">
        <v>12</v>
      </c>
    </row>
    <row r="245" spans="1:2" x14ac:dyDescent="0.25">
      <c r="A245" s="16" t="s">
        <v>179</v>
      </c>
      <c r="B245" s="35">
        <v>2</v>
      </c>
    </row>
    <row r="246" spans="1:2" x14ac:dyDescent="0.25">
      <c r="A246" s="16" t="s">
        <v>293</v>
      </c>
      <c r="B246" s="35">
        <v>12</v>
      </c>
    </row>
    <row r="247" spans="1:2" x14ac:dyDescent="0.25">
      <c r="A247" s="16" t="s">
        <v>463</v>
      </c>
      <c r="B247" s="35">
        <v>10</v>
      </c>
    </row>
    <row r="248" spans="1:2" x14ac:dyDescent="0.25">
      <c r="A248" s="16" t="s">
        <v>109</v>
      </c>
      <c r="B248" s="35">
        <v>2</v>
      </c>
    </row>
    <row r="249" spans="1:2" x14ac:dyDescent="0.25">
      <c r="A249" s="16" t="s">
        <v>118</v>
      </c>
      <c r="B249" s="35">
        <v>2</v>
      </c>
    </row>
    <row r="250" spans="1:2" x14ac:dyDescent="0.25">
      <c r="A250" s="16" t="s">
        <v>222</v>
      </c>
      <c r="B250" s="35">
        <v>2</v>
      </c>
    </row>
    <row r="251" spans="1:2" x14ac:dyDescent="0.25">
      <c r="A251" s="16" t="s">
        <v>338</v>
      </c>
      <c r="B251" s="35">
        <v>3</v>
      </c>
    </row>
    <row r="252" spans="1:2" x14ac:dyDescent="0.25">
      <c r="A252" s="16" t="s">
        <v>878</v>
      </c>
      <c r="B252" s="35">
        <v>2</v>
      </c>
    </row>
    <row r="253" spans="1:2" x14ac:dyDescent="0.25">
      <c r="A253" s="16" t="s">
        <v>1300</v>
      </c>
      <c r="B253" s="35">
        <v>2</v>
      </c>
    </row>
    <row r="254" spans="1:2" x14ac:dyDescent="0.25">
      <c r="A254" s="16" t="s">
        <v>144</v>
      </c>
      <c r="B254" s="35">
        <v>4</v>
      </c>
    </row>
    <row r="255" spans="1:2" x14ac:dyDescent="0.25">
      <c r="A255" s="16" t="s">
        <v>173</v>
      </c>
      <c r="B255" s="35">
        <v>3</v>
      </c>
    </row>
    <row r="256" spans="1:2" x14ac:dyDescent="0.25">
      <c r="A256" s="16" t="s">
        <v>86</v>
      </c>
      <c r="B256" s="35">
        <v>5</v>
      </c>
    </row>
    <row r="257" spans="1:2" x14ac:dyDescent="0.25">
      <c r="A257" s="16" t="s">
        <v>161</v>
      </c>
      <c r="B257" s="35">
        <v>5</v>
      </c>
    </row>
    <row r="258" spans="1:2" x14ac:dyDescent="0.25">
      <c r="A258" s="16" t="s">
        <v>264</v>
      </c>
      <c r="B258" s="35">
        <v>4</v>
      </c>
    </row>
    <row r="259" spans="1:2" x14ac:dyDescent="0.25">
      <c r="A259" s="16" t="s">
        <v>973</v>
      </c>
      <c r="B259" s="35">
        <v>1</v>
      </c>
    </row>
    <row r="260" spans="1:2" x14ac:dyDescent="0.25">
      <c r="A260" s="16" t="s">
        <v>1251</v>
      </c>
      <c r="B260" s="35">
        <v>3</v>
      </c>
    </row>
    <row r="261" spans="1:2" x14ac:dyDescent="0.25">
      <c r="A261" s="16" t="s">
        <v>1098</v>
      </c>
      <c r="B261" s="35">
        <v>1</v>
      </c>
    </row>
    <row r="262" spans="1:2" x14ac:dyDescent="0.25">
      <c r="A262" s="16" t="s">
        <v>1016</v>
      </c>
      <c r="B262" s="35">
        <v>3</v>
      </c>
    </row>
    <row r="263" spans="1:2" x14ac:dyDescent="0.25">
      <c r="A263" s="16" t="s">
        <v>274</v>
      </c>
      <c r="B263" s="35">
        <v>14</v>
      </c>
    </row>
    <row r="264" spans="1:2" x14ac:dyDescent="0.25">
      <c r="A264" s="16" t="s">
        <v>317</v>
      </c>
      <c r="B264" s="35">
        <v>6</v>
      </c>
    </row>
    <row r="265" spans="1:2" x14ac:dyDescent="0.25">
      <c r="A265" s="16" t="s">
        <v>1242</v>
      </c>
      <c r="B265" s="35">
        <v>1</v>
      </c>
    </row>
    <row r="266" spans="1:2" x14ac:dyDescent="0.25">
      <c r="A266" s="16" t="s">
        <v>1240</v>
      </c>
      <c r="B266" s="35">
        <v>1</v>
      </c>
    </row>
    <row r="267" spans="1:2" x14ac:dyDescent="0.25">
      <c r="A267" s="16" t="s">
        <v>957</v>
      </c>
      <c r="B267" s="35">
        <v>1</v>
      </c>
    </row>
    <row r="268" spans="1:2" x14ac:dyDescent="0.25">
      <c r="A268" s="16" t="s">
        <v>1236</v>
      </c>
      <c r="B268" s="35">
        <v>1</v>
      </c>
    </row>
    <row r="269" spans="1:2" x14ac:dyDescent="0.25">
      <c r="A269" s="16" t="s">
        <v>1238</v>
      </c>
      <c r="B269" s="35">
        <v>1</v>
      </c>
    </row>
    <row r="270" spans="1:2" x14ac:dyDescent="0.25">
      <c r="A270" s="16" t="s">
        <v>1234</v>
      </c>
      <c r="B270" s="35">
        <v>1</v>
      </c>
    </row>
    <row r="271" spans="1:2" x14ac:dyDescent="0.25">
      <c r="A271" s="16" t="s">
        <v>1430</v>
      </c>
      <c r="B271" s="35">
        <v>4</v>
      </c>
    </row>
    <row r="272" spans="1:2" x14ac:dyDescent="0.25">
      <c r="A272" s="16" t="s">
        <v>321</v>
      </c>
      <c r="B272" s="35">
        <v>1</v>
      </c>
    </row>
    <row r="273" spans="1:2" x14ac:dyDescent="0.25">
      <c r="A273" s="16" t="s">
        <v>728</v>
      </c>
      <c r="B273" s="35">
        <v>4</v>
      </c>
    </row>
    <row r="274" spans="1:2" x14ac:dyDescent="0.25">
      <c r="A274" s="16" t="s">
        <v>206</v>
      </c>
      <c r="B274" s="35">
        <v>5</v>
      </c>
    </row>
    <row r="275" spans="1:2" x14ac:dyDescent="0.25">
      <c r="A275" s="16" t="s">
        <v>598</v>
      </c>
      <c r="B275" s="35">
        <v>4</v>
      </c>
    </row>
    <row r="276" spans="1:2" x14ac:dyDescent="0.25">
      <c r="A276" s="16" t="s">
        <v>653</v>
      </c>
      <c r="B276" s="35">
        <v>4</v>
      </c>
    </row>
    <row r="277" spans="1:2" x14ac:dyDescent="0.25">
      <c r="A277" s="16" t="s">
        <v>224</v>
      </c>
      <c r="B277" s="35">
        <v>3</v>
      </c>
    </row>
    <row r="278" spans="1:2" x14ac:dyDescent="0.25">
      <c r="A278" s="16" t="s">
        <v>440</v>
      </c>
      <c r="B278" s="35">
        <v>2</v>
      </c>
    </row>
    <row r="279" spans="1:2" x14ac:dyDescent="0.25">
      <c r="A279" s="16" t="s">
        <v>537</v>
      </c>
      <c r="B279" s="35">
        <v>4</v>
      </c>
    </row>
    <row r="280" spans="1:2" x14ac:dyDescent="0.25">
      <c r="A280" s="16" t="s">
        <v>90</v>
      </c>
      <c r="B280" s="35">
        <v>3</v>
      </c>
    </row>
    <row r="281" spans="1:2" x14ac:dyDescent="0.25">
      <c r="A281" s="16" t="s">
        <v>58</v>
      </c>
      <c r="B281" s="35">
        <v>4</v>
      </c>
    </row>
    <row r="282" spans="1:2" x14ac:dyDescent="0.25">
      <c r="A282" s="16" t="s">
        <v>295</v>
      </c>
      <c r="B282" s="35">
        <v>12</v>
      </c>
    </row>
    <row r="283" spans="1:2" x14ac:dyDescent="0.25">
      <c r="A283" s="16" t="s">
        <v>453</v>
      </c>
      <c r="B283" s="35">
        <v>7</v>
      </c>
    </row>
    <row r="284" spans="1:2" x14ac:dyDescent="0.25">
      <c r="A284" s="16" t="s">
        <v>272</v>
      </c>
      <c r="B284" s="35">
        <v>14</v>
      </c>
    </row>
    <row r="285" spans="1:2" x14ac:dyDescent="0.25">
      <c r="A285" s="16" t="s">
        <v>282</v>
      </c>
      <c r="B285" s="35">
        <v>4</v>
      </c>
    </row>
    <row r="286" spans="1:2" x14ac:dyDescent="0.25">
      <c r="A286" s="16" t="s">
        <v>1018</v>
      </c>
      <c r="B286" s="35">
        <v>1</v>
      </c>
    </row>
    <row r="287" spans="1:2" x14ac:dyDescent="0.25">
      <c r="A287" s="16" t="s">
        <v>133</v>
      </c>
      <c r="B287" s="35">
        <v>2</v>
      </c>
    </row>
    <row r="288" spans="1:2" x14ac:dyDescent="0.25">
      <c r="A288" s="16" t="s">
        <v>165</v>
      </c>
      <c r="B288" s="35">
        <v>1</v>
      </c>
    </row>
    <row r="289" spans="1:2" x14ac:dyDescent="0.25">
      <c r="A289" s="16" t="s">
        <v>1197</v>
      </c>
      <c r="B289" s="35">
        <v>8</v>
      </c>
    </row>
    <row r="290" spans="1:2" x14ac:dyDescent="0.25">
      <c r="A290" s="16" t="s">
        <v>37</v>
      </c>
      <c r="B290" s="35">
        <v>8</v>
      </c>
    </row>
    <row r="291" spans="1:2" x14ac:dyDescent="0.25">
      <c r="A291" s="16" t="s">
        <v>455</v>
      </c>
      <c r="B291" s="35">
        <v>8</v>
      </c>
    </row>
    <row r="292" spans="1:2" x14ac:dyDescent="0.25">
      <c r="A292" s="16" t="s">
        <v>213</v>
      </c>
      <c r="B292" s="35">
        <v>11</v>
      </c>
    </row>
    <row r="293" spans="1:2" x14ac:dyDescent="0.25">
      <c r="A293" s="16" t="s">
        <v>897</v>
      </c>
      <c r="B293" s="35">
        <v>7</v>
      </c>
    </row>
    <row r="294" spans="1:2" x14ac:dyDescent="0.25">
      <c r="A294" s="16" t="s">
        <v>986</v>
      </c>
      <c r="B294" s="35">
        <v>6</v>
      </c>
    </row>
    <row r="295" spans="1:2" x14ac:dyDescent="0.25">
      <c r="A295" s="16" t="s">
        <v>979</v>
      </c>
      <c r="B295" s="35">
        <v>1</v>
      </c>
    </row>
    <row r="296" spans="1:2" x14ac:dyDescent="0.25">
      <c r="A296" s="16" t="s">
        <v>490</v>
      </c>
      <c r="B296" s="35">
        <v>14</v>
      </c>
    </row>
    <row r="297" spans="1:2" x14ac:dyDescent="0.25">
      <c r="A297" s="16" t="s">
        <v>649</v>
      </c>
      <c r="B297" s="35">
        <v>16</v>
      </c>
    </row>
    <row r="298" spans="1:2" x14ac:dyDescent="0.25">
      <c r="A298" s="16" t="s">
        <v>150</v>
      </c>
      <c r="B298" s="35">
        <v>1</v>
      </c>
    </row>
    <row r="299" spans="1:2" x14ac:dyDescent="0.25">
      <c r="A299" s="16" t="s">
        <v>56</v>
      </c>
      <c r="B299" s="35">
        <v>23</v>
      </c>
    </row>
    <row r="300" spans="1:2" x14ac:dyDescent="0.25">
      <c r="A300" s="16" t="s">
        <v>1014</v>
      </c>
      <c r="B300" s="35">
        <v>2</v>
      </c>
    </row>
    <row r="301" spans="1:2" x14ac:dyDescent="0.25">
      <c r="A301" s="16" t="s">
        <v>303</v>
      </c>
      <c r="B301" s="35">
        <v>42</v>
      </c>
    </row>
    <row r="302" spans="1:2" x14ac:dyDescent="0.25">
      <c r="A302" s="16" t="s">
        <v>1420</v>
      </c>
      <c r="B302" s="35">
        <v>35</v>
      </c>
    </row>
    <row r="303" spans="1:2" x14ac:dyDescent="0.25">
      <c r="A303" s="16" t="s">
        <v>723</v>
      </c>
      <c r="B303" s="35">
        <v>9</v>
      </c>
    </row>
    <row r="304" spans="1:2" x14ac:dyDescent="0.25">
      <c r="A304" s="16" t="s">
        <v>138</v>
      </c>
      <c r="B304" s="35">
        <v>12</v>
      </c>
    </row>
    <row r="305" spans="1:2" x14ac:dyDescent="0.25">
      <c r="A305" s="16" t="s">
        <v>218</v>
      </c>
      <c r="B305" s="35">
        <v>46</v>
      </c>
    </row>
    <row r="306" spans="1:2" x14ac:dyDescent="0.25">
      <c r="A306" s="16" t="s">
        <v>1266</v>
      </c>
      <c r="B306" s="35">
        <v>2</v>
      </c>
    </row>
    <row r="307" spans="1:2" x14ac:dyDescent="0.25">
      <c r="A307" s="16" t="s">
        <v>1072</v>
      </c>
      <c r="B307" s="35">
        <v>5</v>
      </c>
    </row>
    <row r="308" spans="1:2" x14ac:dyDescent="0.25">
      <c r="A308" s="16" t="s">
        <v>724</v>
      </c>
      <c r="B308" s="35">
        <v>5</v>
      </c>
    </row>
    <row r="309" spans="1:2" x14ac:dyDescent="0.25">
      <c r="A309" s="16" t="s">
        <v>726</v>
      </c>
      <c r="B309" s="35">
        <v>5</v>
      </c>
    </row>
    <row r="310" spans="1:2" x14ac:dyDescent="0.25">
      <c r="A310" s="16" t="s">
        <v>582</v>
      </c>
      <c r="B310" s="35">
        <v>3</v>
      </c>
    </row>
    <row r="311" spans="1:2" x14ac:dyDescent="0.25">
      <c r="A311" s="16" t="s">
        <v>336</v>
      </c>
      <c r="B311" s="35">
        <v>2</v>
      </c>
    </row>
    <row r="312" spans="1:2" x14ac:dyDescent="0.25">
      <c r="A312" s="16" t="s">
        <v>361</v>
      </c>
      <c r="B312" s="35">
        <v>5</v>
      </c>
    </row>
    <row r="313" spans="1:2" x14ac:dyDescent="0.25">
      <c r="A313" s="16" t="s">
        <v>685</v>
      </c>
      <c r="B313" s="35">
        <v>11</v>
      </c>
    </row>
    <row r="314" spans="1:2" x14ac:dyDescent="0.25">
      <c r="A314" s="16" t="s">
        <v>249</v>
      </c>
      <c r="B314" s="35">
        <v>6</v>
      </c>
    </row>
    <row r="315" spans="1:2" x14ac:dyDescent="0.25">
      <c r="A315" s="16" t="s">
        <v>1195</v>
      </c>
      <c r="B315" s="35">
        <v>4</v>
      </c>
    </row>
    <row r="316" spans="1:2" x14ac:dyDescent="0.25">
      <c r="A316" s="16" t="s">
        <v>84</v>
      </c>
      <c r="B316" s="35">
        <v>1</v>
      </c>
    </row>
    <row r="317" spans="1:2" x14ac:dyDescent="0.25">
      <c r="A317" s="16" t="s">
        <v>738</v>
      </c>
      <c r="B317" s="35">
        <v>1</v>
      </c>
    </row>
    <row r="318" spans="1:2" x14ac:dyDescent="0.25">
      <c r="A318" s="16" t="s">
        <v>1342</v>
      </c>
      <c r="B318" s="35">
        <v>1</v>
      </c>
    </row>
    <row r="319" spans="1:2" x14ac:dyDescent="0.25">
      <c r="A319" s="16" t="s">
        <v>1340</v>
      </c>
      <c r="B319" s="35">
        <v>1</v>
      </c>
    </row>
    <row r="320" spans="1:2" x14ac:dyDescent="0.25">
      <c r="A320" s="16" t="s">
        <v>1332</v>
      </c>
      <c r="B320" s="35">
        <v>1</v>
      </c>
    </row>
    <row r="321" spans="1:2" x14ac:dyDescent="0.25">
      <c r="A321" s="16" t="s">
        <v>934</v>
      </c>
      <c r="B321" s="35">
        <v>10</v>
      </c>
    </row>
    <row r="322" spans="1:2" x14ac:dyDescent="0.25">
      <c r="A322" s="16" t="s">
        <v>1330</v>
      </c>
      <c r="B322" s="35">
        <v>1</v>
      </c>
    </row>
    <row r="323" spans="1:2" x14ac:dyDescent="0.25">
      <c r="A323" s="16" t="s">
        <v>434</v>
      </c>
      <c r="B323" s="35">
        <v>2</v>
      </c>
    </row>
    <row r="324" spans="1:2" x14ac:dyDescent="0.25">
      <c r="A324" s="16" t="s">
        <v>647</v>
      </c>
      <c r="B324" s="35">
        <v>3</v>
      </c>
    </row>
    <row r="325" spans="1:2" x14ac:dyDescent="0.25">
      <c r="A325" s="16" t="s">
        <v>33</v>
      </c>
      <c r="B325" s="35">
        <v>1</v>
      </c>
    </row>
    <row r="326" spans="1:2" x14ac:dyDescent="0.25">
      <c r="A326" s="16" t="s">
        <v>476</v>
      </c>
      <c r="B326" s="35">
        <v>9</v>
      </c>
    </row>
    <row r="327" spans="1:2" x14ac:dyDescent="0.25">
      <c r="A327" s="16" t="s">
        <v>488</v>
      </c>
      <c r="B327" s="35">
        <v>16</v>
      </c>
    </row>
    <row r="328" spans="1:2" x14ac:dyDescent="0.25">
      <c r="A328" s="16" t="s">
        <v>387</v>
      </c>
      <c r="B328" s="35">
        <v>5</v>
      </c>
    </row>
    <row r="329" spans="1:2" x14ac:dyDescent="0.25">
      <c r="A329" s="16" t="s">
        <v>982</v>
      </c>
      <c r="B329" s="35">
        <v>5</v>
      </c>
    </row>
    <row r="330" spans="1:2" x14ac:dyDescent="0.25">
      <c r="A330" s="16" t="s">
        <v>589</v>
      </c>
      <c r="B330" s="35">
        <v>8</v>
      </c>
    </row>
    <row r="331" spans="1:2" x14ac:dyDescent="0.25">
      <c r="A331" s="16" t="s">
        <v>419</v>
      </c>
      <c r="B331" s="35">
        <v>23</v>
      </c>
    </row>
    <row r="332" spans="1:2" x14ac:dyDescent="0.25">
      <c r="A332" s="16" t="s">
        <v>1316</v>
      </c>
      <c r="B332" s="35">
        <v>1</v>
      </c>
    </row>
    <row r="333" spans="1:2" x14ac:dyDescent="0.25">
      <c r="A333" s="16" t="s">
        <v>1338</v>
      </c>
      <c r="B333" s="35">
        <v>1</v>
      </c>
    </row>
    <row r="334" spans="1:2" x14ac:dyDescent="0.25">
      <c r="A334" s="16" t="s">
        <v>1336</v>
      </c>
      <c r="B334" s="35">
        <v>1</v>
      </c>
    </row>
    <row r="335" spans="1:2" x14ac:dyDescent="0.25">
      <c r="A335" s="16" t="s">
        <v>301</v>
      </c>
      <c r="B335" s="35">
        <v>2</v>
      </c>
    </row>
    <row r="336" spans="1:2" x14ac:dyDescent="0.25">
      <c r="A336" s="16" t="s">
        <v>1334</v>
      </c>
      <c r="B336" s="35">
        <v>1</v>
      </c>
    </row>
    <row r="337" spans="1:2" x14ac:dyDescent="0.25">
      <c r="A337" s="16" t="s">
        <v>496</v>
      </c>
      <c r="B337" s="35">
        <v>2</v>
      </c>
    </row>
    <row r="338" spans="1:2" x14ac:dyDescent="0.25">
      <c r="A338" s="16" t="s">
        <v>192</v>
      </c>
      <c r="B338" s="35">
        <v>3</v>
      </c>
    </row>
    <row r="339" spans="1:2" x14ac:dyDescent="0.25">
      <c r="A339" s="16" t="s">
        <v>1346</v>
      </c>
      <c r="B339" s="35">
        <v>1</v>
      </c>
    </row>
    <row r="340" spans="1:2" x14ac:dyDescent="0.25">
      <c r="A340" s="16" t="s">
        <v>1424</v>
      </c>
      <c r="B340" s="35">
        <v>1</v>
      </c>
    </row>
    <row r="341" spans="1:2" x14ac:dyDescent="0.25">
      <c r="A341" s="16" t="s">
        <v>1344</v>
      </c>
      <c r="B341" s="35">
        <v>1</v>
      </c>
    </row>
    <row r="342" spans="1:2" x14ac:dyDescent="0.25">
      <c r="A342" s="16" t="s">
        <v>146</v>
      </c>
      <c r="B342" s="35">
        <v>1</v>
      </c>
    </row>
    <row r="343" spans="1:2" x14ac:dyDescent="0.25">
      <c r="A343" s="16" t="s">
        <v>1326</v>
      </c>
      <c r="B343" s="35">
        <v>1</v>
      </c>
    </row>
    <row r="344" spans="1:2" x14ac:dyDescent="0.25">
      <c r="A344" s="16" t="s">
        <v>1421</v>
      </c>
      <c r="B344" s="35">
        <v>30</v>
      </c>
    </row>
    <row r="345" spans="1:2" x14ac:dyDescent="0.25">
      <c r="A345" s="16" t="s">
        <v>126</v>
      </c>
      <c r="B345" s="35">
        <v>7</v>
      </c>
    </row>
    <row r="346" spans="1:2" x14ac:dyDescent="0.25">
      <c r="A346" s="16" t="s">
        <v>742</v>
      </c>
      <c r="B346" s="35">
        <v>6</v>
      </c>
    </row>
    <row r="347" spans="1:2" x14ac:dyDescent="0.25">
      <c r="A347" s="16" t="s">
        <v>447</v>
      </c>
      <c r="B347" s="35">
        <v>13</v>
      </c>
    </row>
    <row r="348" spans="1:2" x14ac:dyDescent="0.25">
      <c r="A348" s="16" t="s">
        <v>148</v>
      </c>
      <c r="B348" s="35">
        <v>2</v>
      </c>
    </row>
    <row r="349" spans="1:2" x14ac:dyDescent="0.25">
      <c r="A349" s="16" t="s">
        <v>404</v>
      </c>
      <c r="B349" s="35">
        <v>2</v>
      </c>
    </row>
    <row r="350" spans="1:2" x14ac:dyDescent="0.25">
      <c r="A350" s="16" t="s">
        <v>114</v>
      </c>
      <c r="B350" s="35">
        <v>3</v>
      </c>
    </row>
    <row r="351" spans="1:2" x14ac:dyDescent="0.25">
      <c r="A351" s="16" t="s">
        <v>202</v>
      </c>
      <c r="B351" s="35">
        <v>7</v>
      </c>
    </row>
    <row r="352" spans="1:2" x14ac:dyDescent="0.25">
      <c r="A352" s="16" t="s">
        <v>297</v>
      </c>
      <c r="B352" s="35">
        <v>10</v>
      </c>
    </row>
    <row r="353" spans="1:2" x14ac:dyDescent="0.25">
      <c r="A353" s="16" t="s">
        <v>905</v>
      </c>
      <c r="B353" s="35">
        <v>2</v>
      </c>
    </row>
    <row r="354" spans="1:2" x14ac:dyDescent="0.25">
      <c r="A354" s="16" t="s">
        <v>686</v>
      </c>
      <c r="B354" s="35">
        <v>1</v>
      </c>
    </row>
    <row r="355" spans="1:2" x14ac:dyDescent="0.25">
      <c r="A355" s="16" t="s">
        <v>209</v>
      </c>
      <c r="B355" s="35">
        <v>19</v>
      </c>
    </row>
    <row r="356" spans="1:2" x14ac:dyDescent="0.25">
      <c r="A356" s="16" t="s">
        <v>1310</v>
      </c>
      <c r="B356" s="35">
        <v>2</v>
      </c>
    </row>
    <row r="357" spans="1:2" x14ac:dyDescent="0.25">
      <c r="A357" s="16" t="s">
        <v>660</v>
      </c>
      <c r="B357" s="35">
        <v>2</v>
      </c>
    </row>
    <row r="358" spans="1:2" x14ac:dyDescent="0.25">
      <c r="A358" s="16" t="s">
        <v>278</v>
      </c>
      <c r="B358" s="35">
        <v>1</v>
      </c>
    </row>
    <row r="359" spans="1:2" x14ac:dyDescent="0.25">
      <c r="A359" s="16" t="s">
        <v>183</v>
      </c>
      <c r="B359" s="35">
        <v>1</v>
      </c>
    </row>
    <row r="360" spans="1:2" x14ac:dyDescent="0.25">
      <c r="A360" s="16" t="s">
        <v>43</v>
      </c>
      <c r="B360" s="35">
        <v>10</v>
      </c>
    </row>
    <row r="361" spans="1:2" x14ac:dyDescent="0.25">
      <c r="A361" s="16" t="s">
        <v>592</v>
      </c>
      <c r="B361" s="35">
        <v>3</v>
      </c>
    </row>
    <row r="362" spans="1:2" x14ac:dyDescent="0.25">
      <c r="A362" s="16" t="s">
        <v>901</v>
      </c>
      <c r="B362" s="35">
        <v>4</v>
      </c>
    </row>
    <row r="363" spans="1:2" x14ac:dyDescent="0.25">
      <c r="A363" s="16" t="s">
        <v>266</v>
      </c>
      <c r="B363" s="35">
        <v>8</v>
      </c>
    </row>
    <row r="364" spans="1:2" x14ac:dyDescent="0.25">
      <c r="A364" s="16" t="s">
        <v>486</v>
      </c>
      <c r="B364" s="35">
        <v>4</v>
      </c>
    </row>
    <row r="365" spans="1:2" x14ac:dyDescent="0.25">
      <c r="A365" s="16" t="s">
        <v>1089</v>
      </c>
      <c r="B365" s="35">
        <v>5</v>
      </c>
    </row>
    <row r="366" spans="1:2" x14ac:dyDescent="0.25">
      <c r="A366" s="16" t="s">
        <v>1001</v>
      </c>
      <c r="B366" s="35">
        <v>22</v>
      </c>
    </row>
    <row r="367" spans="1:2" x14ac:dyDescent="0.25">
      <c r="A367" s="16" t="s">
        <v>627</v>
      </c>
      <c r="B367" s="35">
        <v>3</v>
      </c>
    </row>
    <row r="368" spans="1:2" x14ac:dyDescent="0.25">
      <c r="A368" s="16" t="s">
        <v>76</v>
      </c>
      <c r="B368" s="35">
        <v>16</v>
      </c>
    </row>
    <row r="369" spans="1:2" x14ac:dyDescent="0.25">
      <c r="A369" s="16" t="s">
        <v>524</v>
      </c>
      <c r="B369" s="35">
        <v>4</v>
      </c>
    </row>
    <row r="370" spans="1:2" x14ac:dyDescent="0.25">
      <c r="A370" s="16" t="s">
        <v>1053</v>
      </c>
      <c r="B370" s="35">
        <v>5</v>
      </c>
    </row>
    <row r="371" spans="1:2" x14ac:dyDescent="0.25">
      <c r="A371" s="16" t="s">
        <v>1091</v>
      </c>
      <c r="B371" s="35">
        <v>10</v>
      </c>
    </row>
    <row r="372" spans="1:2" x14ac:dyDescent="0.25">
      <c r="A372" s="16" t="s">
        <v>1088</v>
      </c>
      <c r="B372" s="35">
        <v>2</v>
      </c>
    </row>
    <row r="373" spans="1:2" x14ac:dyDescent="0.25">
      <c r="A373" s="16" t="s">
        <v>1020</v>
      </c>
      <c r="B373" s="35">
        <v>3</v>
      </c>
    </row>
    <row r="374" spans="1:2" x14ac:dyDescent="0.25">
      <c r="A374" s="16" t="s">
        <v>1120</v>
      </c>
      <c r="B374" s="35">
        <v>7</v>
      </c>
    </row>
    <row r="375" spans="1:2" x14ac:dyDescent="0.25">
      <c r="A375" s="16" t="s">
        <v>482</v>
      </c>
      <c r="B375" s="35">
        <v>12</v>
      </c>
    </row>
    <row r="376" spans="1:2" x14ac:dyDescent="0.25">
      <c r="A376" s="16" t="s">
        <v>563</v>
      </c>
      <c r="B376" s="35">
        <v>4</v>
      </c>
    </row>
    <row r="377" spans="1:2" x14ac:dyDescent="0.25">
      <c r="A377" s="16" t="s">
        <v>971</v>
      </c>
      <c r="B377" s="35">
        <v>8</v>
      </c>
    </row>
    <row r="378" spans="1:2" x14ac:dyDescent="0.25">
      <c r="A378" s="16" t="s">
        <v>241</v>
      </c>
      <c r="B378" s="35">
        <v>4</v>
      </c>
    </row>
    <row r="379" spans="1:2" x14ac:dyDescent="0.25">
      <c r="A379" s="16" t="s">
        <v>239</v>
      </c>
      <c r="B379" s="35">
        <v>126</v>
      </c>
    </row>
    <row r="380" spans="1:2" x14ac:dyDescent="0.25">
      <c r="A380" s="16" t="s">
        <v>26</v>
      </c>
      <c r="B380" s="35">
        <v>5</v>
      </c>
    </row>
    <row r="381" spans="1:2" x14ac:dyDescent="0.25">
      <c r="A381" s="16" t="s">
        <v>1122</v>
      </c>
      <c r="B381" s="35">
        <v>4</v>
      </c>
    </row>
    <row r="382" spans="1:2" x14ac:dyDescent="0.25">
      <c r="A382" s="16" t="s">
        <v>81</v>
      </c>
      <c r="B382" s="35">
        <v>6</v>
      </c>
    </row>
    <row r="383" spans="1:2" x14ac:dyDescent="0.25">
      <c r="A383" s="16" t="s">
        <v>1062</v>
      </c>
      <c r="B383" s="35">
        <v>1</v>
      </c>
    </row>
    <row r="384" spans="1:2" x14ac:dyDescent="0.25">
      <c r="A384" s="16" t="s">
        <v>1034</v>
      </c>
      <c r="B384" s="35">
        <v>3</v>
      </c>
    </row>
    <row r="385" spans="1:2" x14ac:dyDescent="0.25">
      <c r="A385" s="16" t="s">
        <v>959</v>
      </c>
      <c r="B385" s="35">
        <v>1</v>
      </c>
    </row>
    <row r="386" spans="1:2" x14ac:dyDescent="0.25">
      <c r="A386" s="16" t="s">
        <v>730</v>
      </c>
      <c r="B386" s="35">
        <v>2</v>
      </c>
    </row>
    <row r="387" spans="1:2" x14ac:dyDescent="0.25">
      <c r="A387" s="16" t="s">
        <v>1109</v>
      </c>
      <c r="B387" s="35">
        <v>10</v>
      </c>
    </row>
    <row r="388" spans="1:2" x14ac:dyDescent="0.25">
      <c r="A388" s="16" t="s">
        <v>984</v>
      </c>
      <c r="B388" s="35">
        <v>2</v>
      </c>
    </row>
    <row r="389" spans="1:2" x14ac:dyDescent="0.25">
      <c r="A389" s="16" t="s">
        <v>286</v>
      </c>
      <c r="B389" s="35">
        <v>11</v>
      </c>
    </row>
    <row r="390" spans="1:2" x14ac:dyDescent="0.25">
      <c r="A390" s="16" t="s">
        <v>140</v>
      </c>
      <c r="B390" s="35">
        <v>2</v>
      </c>
    </row>
    <row r="391" spans="1:2" x14ac:dyDescent="0.25">
      <c r="A391" s="16" t="s">
        <v>200</v>
      </c>
      <c r="B391" s="35">
        <v>2</v>
      </c>
    </row>
    <row r="392" spans="1:2" x14ac:dyDescent="0.25">
      <c r="A392" s="16" t="s">
        <v>66</v>
      </c>
      <c r="B392" s="35">
        <v>1</v>
      </c>
    </row>
    <row r="393" spans="1:2" x14ac:dyDescent="0.25">
      <c r="A393" s="16" t="s">
        <v>232</v>
      </c>
      <c r="B393" s="35">
        <v>1</v>
      </c>
    </row>
    <row r="394" spans="1:2" x14ac:dyDescent="0.25">
      <c r="A394" s="16" t="s">
        <v>329</v>
      </c>
      <c r="B394" s="35">
        <v>4</v>
      </c>
    </row>
    <row r="395" spans="1:2" x14ac:dyDescent="0.25">
      <c r="A395" s="16" t="s">
        <v>235</v>
      </c>
      <c r="B395" s="35">
        <v>8</v>
      </c>
    </row>
    <row r="396" spans="1:2" x14ac:dyDescent="0.25">
      <c r="A396" s="16" t="s">
        <v>119</v>
      </c>
      <c r="B396" s="35">
        <v>3</v>
      </c>
    </row>
    <row r="397" spans="1:2" x14ac:dyDescent="0.25">
      <c r="A397" s="16" t="s">
        <v>342</v>
      </c>
      <c r="B397" s="35">
        <v>14</v>
      </c>
    </row>
    <row r="398" spans="1:2" x14ac:dyDescent="0.25">
      <c r="A398" s="16" t="s">
        <v>309</v>
      </c>
      <c r="B398" s="35">
        <v>8</v>
      </c>
    </row>
    <row r="399" spans="1:2" x14ac:dyDescent="0.25">
      <c r="A399" s="16" t="s">
        <v>251</v>
      </c>
      <c r="B399" s="35">
        <v>12</v>
      </c>
    </row>
    <row r="400" spans="1:2" x14ac:dyDescent="0.25">
      <c r="A400" s="16" t="s">
        <v>415</v>
      </c>
      <c r="B400" s="35">
        <v>4</v>
      </c>
    </row>
    <row r="401" spans="1:2" x14ac:dyDescent="0.25">
      <c r="A401" s="16" t="s">
        <v>542</v>
      </c>
      <c r="B401" s="35">
        <v>1</v>
      </c>
    </row>
    <row r="402" spans="1:2" x14ac:dyDescent="0.25">
      <c r="A402" s="16" t="s">
        <v>188</v>
      </c>
      <c r="B402" s="35">
        <v>20</v>
      </c>
    </row>
    <row r="403" spans="1:2" x14ac:dyDescent="0.25">
      <c r="A403" s="16" t="s">
        <v>659</v>
      </c>
      <c r="B403" s="35">
        <v>2</v>
      </c>
    </row>
    <row r="404" spans="1:2" x14ac:dyDescent="0.25">
      <c r="A404" s="16" t="s">
        <v>305</v>
      </c>
      <c r="B404" s="35">
        <v>17</v>
      </c>
    </row>
    <row r="405" spans="1:2" x14ac:dyDescent="0.25">
      <c r="A405" s="16" t="s">
        <v>492</v>
      </c>
      <c r="B405" s="35">
        <v>17</v>
      </c>
    </row>
    <row r="406" spans="1:2" x14ac:dyDescent="0.25">
      <c r="A406" s="16" t="s">
        <v>1298</v>
      </c>
      <c r="B406" s="35">
        <v>1</v>
      </c>
    </row>
    <row r="407" spans="1:2" x14ac:dyDescent="0.25">
      <c r="A407" s="16" t="s">
        <v>992</v>
      </c>
      <c r="B407" s="35">
        <v>1</v>
      </c>
    </row>
    <row r="408" spans="1:2" x14ac:dyDescent="0.25">
      <c r="A408" s="16" t="s">
        <v>331</v>
      </c>
      <c r="B408" s="35">
        <v>5</v>
      </c>
    </row>
    <row r="409" spans="1:2" x14ac:dyDescent="0.25">
      <c r="A409" s="16" t="s">
        <v>340</v>
      </c>
      <c r="B409" s="35">
        <v>4</v>
      </c>
    </row>
    <row r="410" spans="1:2" x14ac:dyDescent="0.25">
      <c r="A410" s="16" t="s">
        <v>255</v>
      </c>
      <c r="B410" s="35">
        <v>2</v>
      </c>
    </row>
    <row r="411" spans="1:2" x14ac:dyDescent="0.25">
      <c r="A411" s="16" t="s">
        <v>683</v>
      </c>
      <c r="B411" s="35">
        <v>5</v>
      </c>
    </row>
    <row r="412" spans="1:2" x14ac:dyDescent="0.25">
      <c r="A412" s="16" t="s">
        <v>270</v>
      </c>
      <c r="B412" s="35">
        <v>9</v>
      </c>
    </row>
    <row r="413" spans="1:2" x14ac:dyDescent="0.25">
      <c r="A413" s="16" t="s">
        <v>397</v>
      </c>
      <c r="B413" s="35">
        <v>13</v>
      </c>
    </row>
    <row r="414" spans="1:2" x14ac:dyDescent="0.25">
      <c r="A414" s="16" t="s">
        <v>375</v>
      </c>
      <c r="B414" s="35">
        <v>9</v>
      </c>
    </row>
    <row r="415" spans="1:2" x14ac:dyDescent="0.25">
      <c r="A415" s="16" t="s">
        <v>681</v>
      </c>
      <c r="B415" s="35">
        <v>2</v>
      </c>
    </row>
    <row r="416" spans="1:2" x14ac:dyDescent="0.25">
      <c r="A416" s="16" t="s">
        <v>930</v>
      </c>
      <c r="B416" s="35">
        <v>51</v>
      </c>
    </row>
    <row r="417" spans="1:2" x14ac:dyDescent="0.25">
      <c r="A417" s="16" t="s">
        <v>899</v>
      </c>
      <c r="B417" s="35">
        <v>8</v>
      </c>
    </row>
    <row r="418" spans="1:2" x14ac:dyDescent="0.25">
      <c r="A418" s="16" t="s">
        <v>740</v>
      </c>
      <c r="B418" s="35">
        <v>2</v>
      </c>
    </row>
    <row r="419" spans="1:2" x14ac:dyDescent="0.25">
      <c r="A419" s="16" t="s">
        <v>47</v>
      </c>
      <c r="B419" s="35">
        <v>1</v>
      </c>
    </row>
    <row r="420" spans="1:2" x14ac:dyDescent="0.25">
      <c r="A420" s="16" t="s">
        <v>888</v>
      </c>
      <c r="B420" s="35">
        <v>1</v>
      </c>
    </row>
    <row r="421" spans="1:2" x14ac:dyDescent="0.25">
      <c r="A421" s="16" t="s">
        <v>1223</v>
      </c>
      <c r="B421" s="35">
        <v>1</v>
      </c>
    </row>
    <row r="422" spans="1:2" x14ac:dyDescent="0.25">
      <c r="A422" s="16" t="s">
        <v>1230</v>
      </c>
      <c r="B422" s="35">
        <v>1</v>
      </c>
    </row>
    <row r="423" spans="1:2" x14ac:dyDescent="0.25">
      <c r="A423" s="16" t="s">
        <v>918</v>
      </c>
      <c r="B423" s="35">
        <v>1</v>
      </c>
    </row>
    <row r="424" spans="1:2" x14ac:dyDescent="0.25">
      <c r="A424" s="16" t="s">
        <v>1232</v>
      </c>
      <c r="B424" s="35">
        <v>1</v>
      </c>
    </row>
    <row r="425" spans="1:2" x14ac:dyDescent="0.25">
      <c r="A425" s="16" t="s">
        <v>605</v>
      </c>
      <c r="B425" s="35">
        <v>253</v>
      </c>
    </row>
    <row r="426" spans="1:2" x14ac:dyDescent="0.25">
      <c r="A426" s="16" t="s">
        <v>484</v>
      </c>
      <c r="B426" s="35">
        <v>40</v>
      </c>
    </row>
    <row r="427" spans="1:2" x14ac:dyDescent="0.25">
      <c r="A427" s="16" t="s">
        <v>1302</v>
      </c>
      <c r="B427" s="35">
        <v>1</v>
      </c>
    </row>
    <row r="428" spans="1:2" x14ac:dyDescent="0.25">
      <c r="A428" s="16" t="s">
        <v>622</v>
      </c>
      <c r="B428" s="35">
        <v>2</v>
      </c>
    </row>
    <row r="429" spans="1:2" x14ac:dyDescent="0.25">
      <c r="A429" s="16" t="s">
        <v>953</v>
      </c>
      <c r="B429" s="35">
        <v>2</v>
      </c>
    </row>
    <row r="430" spans="1:2" x14ac:dyDescent="0.25">
      <c r="A430" s="16" t="s">
        <v>498</v>
      </c>
      <c r="B430" s="35">
        <v>4</v>
      </c>
    </row>
    <row r="431" spans="1:2" x14ac:dyDescent="0.25">
      <c r="A431" s="16" t="s">
        <v>621</v>
      </c>
      <c r="B431" s="35">
        <v>1</v>
      </c>
    </row>
    <row r="432" spans="1:2" x14ac:dyDescent="0.25">
      <c r="A432" s="16" t="s">
        <v>92</v>
      </c>
      <c r="B432" s="35">
        <v>7</v>
      </c>
    </row>
    <row r="433" spans="1:2" x14ac:dyDescent="0.25">
      <c r="A433" s="16" t="s">
        <v>472</v>
      </c>
      <c r="B433" s="35">
        <v>13</v>
      </c>
    </row>
    <row r="434" spans="1:2" x14ac:dyDescent="0.25">
      <c r="A434" s="16" t="s">
        <v>194</v>
      </c>
      <c r="B434" s="35">
        <v>1</v>
      </c>
    </row>
    <row r="435" spans="1:2" x14ac:dyDescent="0.25">
      <c r="A435" s="16" t="s">
        <v>474</v>
      </c>
      <c r="B435" s="35">
        <v>1</v>
      </c>
    </row>
    <row r="436" spans="1:2" x14ac:dyDescent="0.25">
      <c r="A436" s="16" t="s">
        <v>142</v>
      </c>
      <c r="B436" s="35">
        <v>1</v>
      </c>
    </row>
    <row r="437" spans="1:2" x14ac:dyDescent="0.25">
      <c r="A437" s="16" t="s">
        <v>1248</v>
      </c>
      <c r="B437" s="35">
        <v>1</v>
      </c>
    </row>
    <row r="438" spans="1:2" x14ac:dyDescent="0.25">
      <c r="A438" s="16" t="s">
        <v>380</v>
      </c>
      <c r="B438" s="35">
        <v>2</v>
      </c>
    </row>
    <row r="439" spans="1:2" x14ac:dyDescent="0.25">
      <c r="A439" s="16" t="s">
        <v>425</v>
      </c>
      <c r="B439" s="35">
        <v>1</v>
      </c>
    </row>
    <row r="440" spans="1:2" x14ac:dyDescent="0.25">
      <c r="A440" s="16" t="s">
        <v>152</v>
      </c>
      <c r="B440" s="35">
        <v>1</v>
      </c>
    </row>
    <row r="441" spans="1:2" x14ac:dyDescent="0.25">
      <c r="A441" s="16" t="s">
        <v>1246</v>
      </c>
      <c r="B441" s="35">
        <v>1</v>
      </c>
    </row>
    <row r="442" spans="1:2" x14ac:dyDescent="0.25">
      <c r="A442" s="16" t="s">
        <v>1244</v>
      </c>
      <c r="B442" s="35">
        <v>1</v>
      </c>
    </row>
    <row r="443" spans="1:2" x14ac:dyDescent="0.25">
      <c r="A443" s="16" t="s">
        <v>1171</v>
      </c>
      <c r="B443" s="35">
        <v>1</v>
      </c>
    </row>
    <row r="444" spans="1:2" x14ac:dyDescent="0.25">
      <c r="A444" s="16" t="s">
        <v>526</v>
      </c>
      <c r="B444" s="35">
        <v>4</v>
      </c>
    </row>
    <row r="445" spans="1:2" x14ac:dyDescent="0.25">
      <c r="A445" s="16" t="s">
        <v>889</v>
      </c>
      <c r="B445" s="35">
        <v>64</v>
      </c>
    </row>
    <row r="446" spans="1:2" x14ac:dyDescent="0.25">
      <c r="A446" s="16" t="s">
        <v>894</v>
      </c>
      <c r="B446" s="35">
        <v>52</v>
      </c>
    </row>
    <row r="447" spans="1:2" x14ac:dyDescent="0.25">
      <c r="A447" s="16" t="s">
        <v>1003</v>
      </c>
      <c r="B447" s="35">
        <v>42</v>
      </c>
    </row>
    <row r="448" spans="1:2" x14ac:dyDescent="0.25">
      <c r="A448" s="16" t="s">
        <v>669</v>
      </c>
      <c r="B448" s="35">
        <v>1</v>
      </c>
    </row>
    <row r="449" spans="1:2" x14ac:dyDescent="0.25">
      <c r="A449" s="16" t="s">
        <v>245</v>
      </c>
      <c r="B449" s="35">
        <v>144</v>
      </c>
    </row>
    <row r="450" spans="1:2" x14ac:dyDescent="0.25">
      <c r="A450" s="16" t="s">
        <v>167</v>
      </c>
      <c r="B450" s="35">
        <v>13</v>
      </c>
    </row>
    <row r="451" spans="1:2" x14ac:dyDescent="0.25">
      <c r="A451" s="16" t="s">
        <v>243</v>
      </c>
      <c r="B451" s="35">
        <v>2</v>
      </c>
    </row>
    <row r="452" spans="1:2" x14ac:dyDescent="0.25">
      <c r="A452" s="16" t="s">
        <v>41</v>
      </c>
      <c r="B452" s="35">
        <v>4</v>
      </c>
    </row>
    <row r="453" spans="1:2" x14ac:dyDescent="0.25">
      <c r="A453" s="16" t="s">
        <v>910</v>
      </c>
      <c r="B453" s="35">
        <v>4</v>
      </c>
    </row>
    <row r="454" spans="1:2" x14ac:dyDescent="0.25">
      <c r="A454" s="16" t="s">
        <v>103</v>
      </c>
      <c r="B454" s="35">
        <v>1</v>
      </c>
    </row>
    <row r="455" spans="1:2" x14ac:dyDescent="0.25">
      <c r="A455" s="16" t="s">
        <v>35</v>
      </c>
      <c r="B455" s="35">
        <v>3</v>
      </c>
    </row>
    <row r="456" spans="1:2" x14ac:dyDescent="0.25">
      <c r="A456" s="16" t="s">
        <v>29</v>
      </c>
      <c r="B456" s="35">
        <v>3</v>
      </c>
    </row>
    <row r="457" spans="1:2" x14ac:dyDescent="0.25">
      <c r="A457" s="16" t="s">
        <v>97</v>
      </c>
      <c r="B457" s="35">
        <v>4</v>
      </c>
    </row>
    <row r="458" spans="1:2" x14ac:dyDescent="0.25">
      <c r="A458" s="16" t="s">
        <v>99</v>
      </c>
      <c r="B458" s="35">
        <v>3</v>
      </c>
    </row>
    <row r="459" spans="1:2" x14ac:dyDescent="0.25">
      <c r="A459" s="16" t="s">
        <v>186</v>
      </c>
      <c r="B459" s="35">
        <v>2</v>
      </c>
    </row>
    <row r="460" spans="1:2" x14ac:dyDescent="0.25">
      <c r="A460" s="16" t="s">
        <v>531</v>
      </c>
      <c r="B460" s="35">
        <v>2</v>
      </c>
    </row>
    <row r="461" spans="1:2" x14ac:dyDescent="0.25">
      <c r="A461" s="16" t="s">
        <v>253</v>
      </c>
      <c r="B461" s="35">
        <v>20</v>
      </c>
    </row>
    <row r="462" spans="1:2" x14ac:dyDescent="0.25">
      <c r="A462" s="16" t="s">
        <v>677</v>
      </c>
      <c r="B462" s="35">
        <v>4</v>
      </c>
    </row>
    <row r="463" spans="1:2" x14ac:dyDescent="0.25">
      <c r="A463" s="16" t="s">
        <v>247</v>
      </c>
      <c r="B463" s="35">
        <v>2</v>
      </c>
    </row>
    <row r="464" spans="1:2" x14ac:dyDescent="0.25">
      <c r="A464" s="16" t="s">
        <v>23</v>
      </c>
      <c r="B464" s="35">
        <v>37</v>
      </c>
    </row>
    <row r="465" spans="1:2" x14ac:dyDescent="0.25">
      <c r="A465" s="16" t="s">
        <v>642</v>
      </c>
      <c r="B465" s="35">
        <v>8</v>
      </c>
    </row>
    <row r="466" spans="1:2" x14ac:dyDescent="0.25">
      <c r="A466" s="16" t="s">
        <v>406</v>
      </c>
      <c r="B466" s="35">
        <v>8</v>
      </c>
    </row>
    <row r="467" spans="1:2" x14ac:dyDescent="0.25">
      <c r="A467" s="16" t="s">
        <v>39</v>
      </c>
      <c r="B467" s="35">
        <v>1</v>
      </c>
    </row>
    <row r="468" spans="1:2" x14ac:dyDescent="0.25">
      <c r="A468" s="16" t="s">
        <v>616</v>
      </c>
      <c r="B468" s="35">
        <v>1</v>
      </c>
    </row>
    <row r="469" spans="1:2" x14ac:dyDescent="0.25">
      <c r="A469" s="16" t="s">
        <v>95</v>
      </c>
      <c r="B469" s="35">
        <v>6</v>
      </c>
    </row>
    <row r="470" spans="1:2" x14ac:dyDescent="0.25">
      <c r="A470" s="16" t="s">
        <v>64</v>
      </c>
      <c r="B470" s="35">
        <v>4</v>
      </c>
    </row>
    <row r="471" spans="1:2" x14ac:dyDescent="0.25">
      <c r="A471" s="16" t="s">
        <v>544</v>
      </c>
      <c r="B471" s="35">
        <v>6</v>
      </c>
    </row>
    <row r="472" spans="1:2" x14ac:dyDescent="0.25">
      <c r="A472" s="16" t="s">
        <v>423</v>
      </c>
      <c r="B472" s="35">
        <v>44</v>
      </c>
    </row>
    <row r="473" spans="1:2" x14ac:dyDescent="0.25">
      <c r="A473" s="16" t="s">
        <v>88</v>
      </c>
      <c r="B473" s="35">
        <v>2</v>
      </c>
    </row>
    <row r="474" spans="1:2" x14ac:dyDescent="0.25">
      <c r="A474" s="16" t="s">
        <v>872</v>
      </c>
      <c r="B474" s="35">
        <v>4</v>
      </c>
    </row>
    <row r="475" spans="1:2" x14ac:dyDescent="0.25">
      <c r="A475" s="16" t="s">
        <v>311</v>
      </c>
      <c r="B475" s="35">
        <v>7</v>
      </c>
    </row>
    <row r="476" spans="1:2" x14ac:dyDescent="0.25">
      <c r="A476" s="16" t="s">
        <v>600</v>
      </c>
      <c r="B476" s="35">
        <v>21</v>
      </c>
    </row>
    <row r="477" spans="1:2" x14ac:dyDescent="0.25">
      <c r="A477" s="16" t="s">
        <v>586</v>
      </c>
      <c r="B477" s="35">
        <v>21</v>
      </c>
    </row>
    <row r="478" spans="1:2" x14ac:dyDescent="0.25">
      <c r="A478" s="16" t="s">
        <v>599</v>
      </c>
      <c r="B478" s="35">
        <v>24</v>
      </c>
    </row>
    <row r="479" spans="1:2" x14ac:dyDescent="0.25">
      <c r="A479" s="16" t="s">
        <v>1094</v>
      </c>
      <c r="B479" s="35">
        <v>2</v>
      </c>
    </row>
    <row r="480" spans="1:2" x14ac:dyDescent="0.25">
      <c r="A480" s="16" t="s">
        <v>1031</v>
      </c>
      <c r="B480" s="35">
        <v>2</v>
      </c>
    </row>
    <row r="481" spans="1:2" x14ac:dyDescent="0.25">
      <c r="A481" s="16" t="s">
        <v>1193</v>
      </c>
      <c r="B481" s="35">
        <v>1</v>
      </c>
    </row>
    <row r="482" spans="1:2" x14ac:dyDescent="0.25">
      <c r="A482" s="16" t="s">
        <v>597</v>
      </c>
      <c r="B482" s="35">
        <v>6</v>
      </c>
    </row>
    <row r="483" spans="1:2" x14ac:dyDescent="0.25">
      <c r="A483" s="16" t="s">
        <v>371</v>
      </c>
      <c r="B483" s="35">
        <v>49</v>
      </c>
    </row>
    <row r="484" spans="1:2" x14ac:dyDescent="0.25">
      <c r="A484" s="16" t="s">
        <v>1096</v>
      </c>
      <c r="B484" s="35">
        <v>1</v>
      </c>
    </row>
    <row r="485" spans="1:2" x14ac:dyDescent="0.25">
      <c r="A485" s="16" t="s">
        <v>1086</v>
      </c>
      <c r="B485" s="35">
        <v>4</v>
      </c>
    </row>
    <row r="486" spans="1:2" x14ac:dyDescent="0.25">
      <c r="A486" s="16" t="s">
        <v>68</v>
      </c>
      <c r="B486" s="35">
        <v>57</v>
      </c>
    </row>
    <row r="487" spans="1:2" x14ac:dyDescent="0.25">
      <c r="A487" s="16" t="s">
        <v>1159</v>
      </c>
      <c r="B487" s="35">
        <v>4</v>
      </c>
    </row>
    <row r="488" spans="1:2" x14ac:dyDescent="0.25">
      <c r="A488" s="16" t="s">
        <v>1157</v>
      </c>
      <c r="B488" s="35">
        <v>33</v>
      </c>
    </row>
    <row r="489" spans="1:2" x14ac:dyDescent="0.25">
      <c r="A489" s="16" t="s">
        <v>1158</v>
      </c>
      <c r="B489" s="35">
        <v>60</v>
      </c>
    </row>
    <row r="490" spans="1:2" x14ac:dyDescent="0.25">
      <c r="A490" s="16" t="s">
        <v>1160</v>
      </c>
      <c r="B490" s="35">
        <v>6</v>
      </c>
    </row>
    <row r="491" spans="1:2" x14ac:dyDescent="0.25">
      <c r="A491" s="16" t="s">
        <v>539</v>
      </c>
      <c r="B491" s="35">
        <v>2</v>
      </c>
    </row>
    <row r="492" spans="1:2" x14ac:dyDescent="0.25">
      <c r="A492" s="16" t="s">
        <v>327</v>
      </c>
      <c r="B492" s="35">
        <v>4</v>
      </c>
    </row>
    <row r="493" spans="1:2" x14ac:dyDescent="0.25">
      <c r="A493" s="16" t="s">
        <v>276</v>
      </c>
      <c r="B493" s="35">
        <v>2</v>
      </c>
    </row>
    <row r="494" spans="1:2" x14ac:dyDescent="0.25">
      <c r="A494" s="16" t="s">
        <v>480</v>
      </c>
      <c r="B494" s="35">
        <v>4</v>
      </c>
    </row>
    <row r="495" spans="1:2" x14ac:dyDescent="0.25">
      <c r="A495" s="16" t="s">
        <v>645</v>
      </c>
      <c r="B495" s="35">
        <v>1</v>
      </c>
    </row>
    <row r="496" spans="1:2" x14ac:dyDescent="0.25">
      <c r="A496" s="16" t="s">
        <v>508</v>
      </c>
      <c r="B496" s="35">
        <v>2</v>
      </c>
    </row>
    <row r="497" spans="1:2" x14ac:dyDescent="0.25">
      <c r="A497" s="16" t="s">
        <v>682</v>
      </c>
      <c r="B497" s="35">
        <v>2</v>
      </c>
    </row>
    <row r="498" spans="1:2" x14ac:dyDescent="0.25">
      <c r="A498" s="16" t="s">
        <v>1070</v>
      </c>
      <c r="B498" s="35">
        <v>3</v>
      </c>
    </row>
    <row r="499" spans="1:2" x14ac:dyDescent="0.25">
      <c r="A499" s="16" t="s">
        <v>684</v>
      </c>
      <c r="B499" s="35">
        <v>39</v>
      </c>
    </row>
    <row r="500" spans="1:2" x14ac:dyDescent="0.25">
      <c r="A500" s="16" t="s">
        <v>674</v>
      </c>
      <c r="B500" s="35">
        <v>6</v>
      </c>
    </row>
    <row r="501" spans="1:2" x14ac:dyDescent="0.25">
      <c r="A501" s="16" t="s">
        <v>1067</v>
      </c>
      <c r="B501" s="35">
        <v>10</v>
      </c>
    </row>
    <row r="502" spans="1:2" x14ac:dyDescent="0.25">
      <c r="A502" s="16" t="s">
        <v>158</v>
      </c>
      <c r="B502" s="35">
        <v>14</v>
      </c>
    </row>
    <row r="503" spans="1:2" x14ac:dyDescent="0.25">
      <c r="A503" s="16" t="s">
        <v>1296</v>
      </c>
      <c r="B503" s="35">
        <v>12</v>
      </c>
    </row>
    <row r="504" spans="1:2" x14ac:dyDescent="0.25">
      <c r="A504" s="16" t="s">
        <v>680</v>
      </c>
      <c r="B504" s="35">
        <v>2</v>
      </c>
    </row>
    <row r="505" spans="1:2" x14ac:dyDescent="0.25">
      <c r="A505" s="16" t="s">
        <v>1294</v>
      </c>
      <c r="B505" s="35">
        <v>3</v>
      </c>
    </row>
    <row r="506" spans="1:2" x14ac:dyDescent="0.25">
      <c r="A506" s="16" t="s">
        <v>1023</v>
      </c>
      <c r="B506" s="35">
        <v>52</v>
      </c>
    </row>
    <row r="507" spans="1:2" x14ac:dyDescent="0.25">
      <c r="A507" s="16" t="s">
        <v>673</v>
      </c>
      <c r="B507" s="35">
        <v>1</v>
      </c>
    </row>
    <row r="508" spans="1:2" x14ac:dyDescent="0.25">
      <c r="A508" s="16" t="s">
        <v>951</v>
      </c>
      <c r="B508" s="35">
        <v>4</v>
      </c>
    </row>
    <row r="509" spans="1:2" x14ac:dyDescent="0.25">
      <c r="A509" s="16" t="s">
        <v>676</v>
      </c>
      <c r="B509" s="35">
        <v>1</v>
      </c>
    </row>
    <row r="510" spans="1:2" x14ac:dyDescent="0.25">
      <c r="A510" s="16" t="s">
        <v>459</v>
      </c>
      <c r="B510" s="35">
        <v>4</v>
      </c>
    </row>
    <row r="511" spans="1:2" x14ac:dyDescent="0.25">
      <c r="A511" s="16" t="s">
        <v>367</v>
      </c>
      <c r="B511" s="35">
        <v>9</v>
      </c>
    </row>
    <row r="512" spans="1:2" x14ac:dyDescent="0.25">
      <c r="A512" s="16" t="s">
        <v>652</v>
      </c>
      <c r="B512" s="35">
        <v>1</v>
      </c>
    </row>
    <row r="513" spans="1:2" x14ac:dyDescent="0.25">
      <c r="A513" s="16" t="s">
        <v>131</v>
      </c>
      <c r="B513" s="35">
        <v>2</v>
      </c>
    </row>
    <row r="514" spans="1:2" x14ac:dyDescent="0.25">
      <c r="A514" s="16" t="s">
        <v>735</v>
      </c>
      <c r="B514" s="35">
        <v>2</v>
      </c>
    </row>
    <row r="515" spans="1:2" x14ac:dyDescent="0.25">
      <c r="A515" s="16" t="s">
        <v>620</v>
      </c>
      <c r="B515" s="35">
        <v>3</v>
      </c>
    </row>
    <row r="516" spans="1:2" x14ac:dyDescent="0.25">
      <c r="A516" s="16" t="s">
        <v>156</v>
      </c>
      <c r="B516" s="35">
        <v>28</v>
      </c>
    </row>
    <row r="517" spans="1:2" x14ac:dyDescent="0.25">
      <c r="A517" s="16" t="s">
        <v>514</v>
      </c>
      <c r="B517" s="35">
        <v>15</v>
      </c>
    </row>
    <row r="518" spans="1:2" x14ac:dyDescent="0.25">
      <c r="A518" s="16" t="s">
        <v>319</v>
      </c>
      <c r="B518" s="35">
        <v>32</v>
      </c>
    </row>
    <row r="519" spans="1:2" x14ac:dyDescent="0.25">
      <c r="A519" s="16" t="s">
        <v>31</v>
      </c>
      <c r="B519" s="35">
        <v>2</v>
      </c>
    </row>
    <row r="520" spans="1:2" x14ac:dyDescent="0.25">
      <c r="A520" s="16" t="s">
        <v>315</v>
      </c>
      <c r="B520" s="35">
        <v>2</v>
      </c>
    </row>
    <row r="521" spans="1:2" x14ac:dyDescent="0.25">
      <c r="A521" s="16" t="s">
        <v>237</v>
      </c>
      <c r="B521" s="35">
        <v>2</v>
      </c>
    </row>
    <row r="522" spans="1:2" x14ac:dyDescent="0.25">
      <c r="A522" s="16" t="s">
        <v>975</v>
      </c>
      <c r="B522" s="35">
        <v>1</v>
      </c>
    </row>
    <row r="523" spans="1:2" x14ac:dyDescent="0.25">
      <c r="A523" s="16" t="s">
        <v>955</v>
      </c>
      <c r="B523" s="35">
        <v>5</v>
      </c>
    </row>
    <row r="524" spans="1:2" x14ac:dyDescent="0.25">
      <c r="A524" s="16" t="s">
        <v>664</v>
      </c>
      <c r="B524" s="35">
        <v>1</v>
      </c>
    </row>
    <row r="525" spans="1:2" x14ac:dyDescent="0.25">
      <c r="A525" s="16" t="s">
        <v>560</v>
      </c>
      <c r="B525" s="35">
        <v>2</v>
      </c>
    </row>
    <row r="526" spans="1:2" x14ac:dyDescent="0.25">
      <c r="A526" s="16" t="s">
        <v>555</v>
      </c>
      <c r="B526" s="35">
        <v>2</v>
      </c>
    </row>
    <row r="527" spans="1:2" x14ac:dyDescent="0.25">
      <c r="A527" s="16" t="s">
        <v>554</v>
      </c>
      <c r="B527" s="35">
        <v>2</v>
      </c>
    </row>
    <row r="528" spans="1:2" x14ac:dyDescent="0.25">
      <c r="A528" s="16" t="s">
        <v>1212</v>
      </c>
      <c r="B528" s="35">
        <v>1</v>
      </c>
    </row>
    <row r="529" spans="1:2" x14ac:dyDescent="0.25">
      <c r="A529" s="16" t="s">
        <v>732</v>
      </c>
      <c r="B529" s="35">
        <v>1</v>
      </c>
    </row>
    <row r="530" spans="1:2" x14ac:dyDescent="0.25">
      <c r="A530" s="16" t="s">
        <v>533</v>
      </c>
      <c r="B530" s="35">
        <v>3</v>
      </c>
    </row>
    <row r="531" spans="1:2" x14ac:dyDescent="0.25">
      <c r="A531" s="16" t="s">
        <v>467</v>
      </c>
      <c r="B531" s="35">
        <v>4</v>
      </c>
    </row>
    <row r="532" spans="1:2" x14ac:dyDescent="0.25">
      <c r="A532" s="16" t="s">
        <v>715</v>
      </c>
      <c r="B532" s="35">
        <v>4</v>
      </c>
    </row>
    <row r="533" spans="1:2" x14ac:dyDescent="0.25">
      <c r="A533" s="16" t="s">
        <v>517</v>
      </c>
      <c r="B533" s="35">
        <v>4</v>
      </c>
    </row>
    <row r="534" spans="1:2" x14ac:dyDescent="0.25">
      <c r="A534" s="16" t="s">
        <v>1285</v>
      </c>
      <c r="B534" s="35">
        <v>14</v>
      </c>
    </row>
    <row r="535" spans="1:2" x14ac:dyDescent="0.25">
      <c r="A535" s="16" t="s">
        <v>1121</v>
      </c>
      <c r="B535" s="35">
        <v>22</v>
      </c>
    </row>
    <row r="536" spans="1:2" x14ac:dyDescent="0.25">
      <c r="A536" s="16" t="s">
        <v>734</v>
      </c>
      <c r="B536" s="35">
        <v>2</v>
      </c>
    </row>
    <row r="537" spans="1:2" x14ac:dyDescent="0.25">
      <c r="A537" s="16" t="s">
        <v>49</v>
      </c>
      <c r="B537" s="35">
        <v>10</v>
      </c>
    </row>
    <row r="538" spans="1:2" x14ac:dyDescent="0.25">
      <c r="A538" s="16" t="s">
        <v>204</v>
      </c>
      <c r="B538" s="35">
        <v>29</v>
      </c>
    </row>
    <row r="539" spans="1:2" x14ac:dyDescent="0.25">
      <c r="A539" s="16" t="s">
        <v>1182</v>
      </c>
      <c r="B539" s="35">
        <v>3</v>
      </c>
    </row>
    <row r="540" spans="1:2" x14ac:dyDescent="0.25">
      <c r="A540" s="16" t="s">
        <v>177</v>
      </c>
      <c r="B540" s="35">
        <v>1</v>
      </c>
    </row>
    <row r="541" spans="1:2" x14ac:dyDescent="0.25">
      <c r="A541" s="16" t="s">
        <v>521</v>
      </c>
      <c r="B541" s="35">
        <v>8</v>
      </c>
    </row>
    <row r="542" spans="1:2" x14ac:dyDescent="0.25">
      <c r="A542" s="16" t="s">
        <v>1156</v>
      </c>
      <c r="B542" s="35">
        <v>2</v>
      </c>
    </row>
    <row r="543" spans="1:2" x14ac:dyDescent="0.25">
      <c r="A543" s="16" t="s">
        <v>1522</v>
      </c>
      <c r="B543" s="35">
        <v>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RM 2019-2026 </vt:lpstr>
      <vt:lpstr>RM</vt:lpstr>
      <vt:lpstr>RMC 2019-2026</vt:lpstr>
      <vt:lpstr>RMC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</dc:creator>
  <cp:lastModifiedBy>Alejandra Lizarazo</cp:lastModifiedBy>
  <cp:lastPrinted>2019-07-04T21:41:26Z</cp:lastPrinted>
  <dcterms:created xsi:type="dcterms:W3CDTF">2018-11-13T19:55:27Z</dcterms:created>
  <dcterms:modified xsi:type="dcterms:W3CDTF">2026-01-15T18:29:57Z</dcterms:modified>
</cp:coreProperties>
</file>